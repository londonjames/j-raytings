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ilms" sheetId="1" r:id="rId3"/>
    <sheet state="visible" name="all books" sheetId="2" r:id="rId4"/>
    <sheet state="visible" name="Favourite 100ish songs" sheetId="3" r:id="rId5"/>
    <sheet state="hidden" name="Claude Cache" sheetId="4" r:id="rId6"/>
  </sheets>
  <definedNames>
    <definedName hidden="1" localSheetId="0" name="_xlnm._FilterDatabase">'all films'!$A$2:$N$1732</definedName>
    <definedName hidden="1" localSheetId="1" name="_xlnm._FilterDatabase">'all books'!$A$2:$N$737</definedName>
  </definedNames>
  <calcPr/>
</workbook>
</file>

<file path=xl/sharedStrings.xml><?xml version="1.0" encoding="utf-8"?>
<sst xmlns="http://schemas.openxmlformats.org/spreadsheetml/2006/main" count="10095" uniqueCount="3327">
  <si>
    <t>Order</t>
  </si>
  <si>
    <t>Date Film Seen</t>
  </si>
  <si>
    <t>Film</t>
  </si>
  <si>
    <t>J-Rayting</t>
  </si>
  <si>
    <t>Score</t>
  </si>
  <si>
    <t>Year</t>
  </si>
  <si>
    <t>Location Seen</t>
  </si>
  <si>
    <t>Film Format</t>
  </si>
  <si>
    <t>Film Year</t>
  </si>
  <si>
    <t>Rotten Tomatoes</t>
  </si>
  <si>
    <t>Film Length</t>
  </si>
  <si>
    <t>RT% per minute</t>
  </si>
  <si>
    <t>1990s</t>
  </si>
  <si>
    <t>A+</t>
  </si>
  <si>
    <t>Pre-2006</t>
  </si>
  <si>
    <t>London</t>
  </si>
  <si>
    <t>VHS</t>
  </si>
  <si>
    <t>Boston</t>
  </si>
  <si>
    <t>2000s</t>
  </si>
  <si>
    <t>A/A+</t>
  </si>
  <si>
    <t>Palo Alto</t>
  </si>
  <si>
    <t>DVD</t>
  </si>
  <si>
    <t>1980s</t>
  </si>
  <si>
    <t>Jaws</t>
  </si>
  <si>
    <t>A</t>
  </si>
  <si>
    <t>Peninsula</t>
  </si>
  <si>
    <t>Theatre</t>
  </si>
  <si>
    <t>San Fran</t>
  </si>
  <si>
    <t>Stanford</t>
  </si>
  <si>
    <t>Florida</t>
  </si>
  <si>
    <t>April-97</t>
  </si>
  <si>
    <t>August-94</t>
  </si>
  <si>
    <t>2006</t>
  </si>
  <si>
    <t>Burn After Reading</t>
  </si>
  <si>
    <t>A-/A</t>
  </si>
  <si>
    <t>Lafayette</t>
  </si>
  <si>
    <t>Deer Hunter,The</t>
  </si>
  <si>
    <t>Fresno</t>
  </si>
  <si>
    <t>Godfather II, The</t>
  </si>
  <si>
    <t>Grapes of Wrath, The</t>
  </si>
  <si>
    <t>In Good Company</t>
  </si>
  <si>
    <t>Inception</t>
  </si>
  <si>
    <t>Indiana Jones and the Last Crusade</t>
  </si>
  <si>
    <t>Last King of Scotland, The</t>
  </si>
  <si>
    <t>Patton</t>
  </si>
  <si>
    <t>Star Wars II: The Empire Strikes Back</t>
  </si>
  <si>
    <t>Up</t>
  </si>
  <si>
    <t>On-Demand/PPV</t>
  </si>
  <si>
    <t>Adventures in Babysitting</t>
  </si>
  <si>
    <t>A-</t>
  </si>
  <si>
    <t>American History X</t>
  </si>
  <si>
    <t>American Hustle</t>
  </si>
  <si>
    <t>Batman Begins</t>
  </si>
  <si>
    <t>Bedroom Window</t>
  </si>
  <si>
    <t>Big</t>
  </si>
  <si>
    <t>Black Swan</t>
  </si>
  <si>
    <t>Bourne Ultimatum, The</t>
  </si>
  <si>
    <t>Casino Royale</t>
  </si>
  <si>
    <t>Portola Valley</t>
  </si>
  <si>
    <t>Clueless</t>
  </si>
  <si>
    <t>Crocodile Dundee I</t>
  </si>
  <si>
    <t>Dark Knight, The</t>
  </si>
  <si>
    <t>Hong Kong</t>
  </si>
  <si>
    <t>Dazed and Confused</t>
  </si>
  <si>
    <t>Dirty Rotten Scoundrels</t>
  </si>
  <si>
    <t>Election</t>
  </si>
  <si>
    <t>Canada</t>
  </si>
  <si>
    <t>Few Good Men, A</t>
  </si>
  <si>
    <t>Fish Called Wanda, The</t>
  </si>
  <si>
    <t>Frost/Nixon</t>
  </si>
  <si>
    <t>Fugitive, The</t>
  </si>
  <si>
    <t>Home Alone I</t>
  </si>
  <si>
    <t>In the Line of Fire</t>
  </si>
  <si>
    <t>In The Name of the Father</t>
  </si>
  <si>
    <t>Inconvenient Truth, An</t>
  </si>
  <si>
    <t>Into The Wild</t>
  </si>
  <si>
    <t>King of Kong, The</t>
  </si>
  <si>
    <t>Netflix</t>
  </si>
  <si>
    <t>Letters from Iwo Jima</t>
  </si>
  <si>
    <t>Lives of Others, The</t>
  </si>
  <si>
    <t>Lord of the Rings I</t>
  </si>
  <si>
    <t>Steamboat</t>
  </si>
  <si>
    <t>Amazon Instant</t>
  </si>
  <si>
    <t>No Way Out</t>
  </si>
  <si>
    <t>Notting Hill</t>
  </si>
  <si>
    <t>Patriot Games</t>
  </si>
  <si>
    <t>Raiders of the Lost Ark</t>
  </si>
  <si>
    <t>Rear Window</t>
  </si>
  <si>
    <t>Remains of the Day, The</t>
  </si>
  <si>
    <t>Revolutionary Road</t>
  </si>
  <si>
    <t>Spider-Man I</t>
  </si>
  <si>
    <t>Pensinsula</t>
  </si>
  <si>
    <t>Spy Who Loved Me, The</t>
  </si>
  <si>
    <t>Star Wars I</t>
  </si>
  <si>
    <t>Thomas Crown Affair, The</t>
  </si>
  <si>
    <t>To Kill a Mockingbird</t>
  </si>
  <si>
    <t>Sunnyvale</t>
  </si>
  <si>
    <t>Toy Story III</t>
  </si>
  <si>
    <t>Toy Story I</t>
  </si>
  <si>
    <t>Toy Story II</t>
  </si>
  <si>
    <t>True Lies</t>
  </si>
  <si>
    <t>Up In The Air</t>
  </si>
  <si>
    <t>Woodsman, The</t>
  </si>
  <si>
    <t>Iceland</t>
  </si>
  <si>
    <t>Wrestler, The</t>
  </si>
  <si>
    <t>American Beauty</t>
  </si>
  <si>
    <t>B+/A-</t>
  </si>
  <si>
    <t>American Gangster</t>
  </si>
  <si>
    <t>American Graffiti</t>
  </si>
  <si>
    <t>Apollo 13</t>
  </si>
  <si>
    <t>Austin Powers I</t>
  </si>
  <si>
    <t>Aviator, The</t>
  </si>
  <si>
    <t>Bastards of the Party</t>
  </si>
  <si>
    <t>Best in Show</t>
  </si>
  <si>
    <t>Beverly Hills Cop I</t>
  </si>
  <si>
    <t>Bigger, Stronger, Faster*</t>
  </si>
  <si>
    <t>Blood Diamond</t>
  </si>
  <si>
    <t>Boyz N The Hood</t>
  </si>
  <si>
    <t>Breaking Away</t>
  </si>
  <si>
    <t>Can't Hardly Wait</t>
  </si>
  <si>
    <t>Seattle</t>
  </si>
  <si>
    <t>Carlito's Way</t>
  </si>
  <si>
    <t>Cars</t>
  </si>
  <si>
    <t>Charlie Wilson's War</t>
  </si>
  <si>
    <t>East Bay</t>
  </si>
  <si>
    <t>Chicago</t>
  </si>
  <si>
    <t>Plane</t>
  </si>
  <si>
    <t>Constant Gardener, The</t>
  </si>
  <si>
    <t>Contact</t>
  </si>
  <si>
    <t>Cool Runnings</t>
  </si>
  <si>
    <t>Crash</t>
  </si>
  <si>
    <t>Day of the Jackal, The</t>
  </si>
  <si>
    <t>Dead Again</t>
  </si>
  <si>
    <t>Departed, The</t>
  </si>
  <si>
    <t>Double Indemnity</t>
  </si>
  <si>
    <t>Fatal Attraction</t>
  </si>
  <si>
    <t>Finding Nemo</t>
  </si>
  <si>
    <t>Four Weddings and a Funeral</t>
  </si>
  <si>
    <t>Full Monty, The</t>
  </si>
  <si>
    <t>Ghost Town</t>
  </si>
  <si>
    <t>Gone, Baby, Gone</t>
  </si>
  <si>
    <t>Good, the Bad, and the Ugly, The</t>
  </si>
  <si>
    <t>Grease</t>
  </si>
  <si>
    <t>Redwood City</t>
  </si>
  <si>
    <t>Harry Potter V</t>
  </si>
  <si>
    <t>History Boys, The</t>
  </si>
  <si>
    <t>Hunger Games 2: Catching Fire, The</t>
  </si>
  <si>
    <t>Pensinula</t>
  </si>
  <si>
    <t>Incredibles, The</t>
  </si>
  <si>
    <t>Insider, The</t>
  </si>
  <si>
    <t>Iron Man</t>
  </si>
  <si>
    <t>It Happened One Night</t>
  </si>
  <si>
    <t>Jiro Dreams of Sushi</t>
  </si>
  <si>
    <t>Denver</t>
  </si>
  <si>
    <t>Kung Fu Panda</t>
  </si>
  <si>
    <t>ATWT</t>
  </si>
  <si>
    <t>Last of the Mohicans, The</t>
  </si>
  <si>
    <t>Lethal Weapon I</t>
  </si>
  <si>
    <t>Lethal Weapon II</t>
  </si>
  <si>
    <t>Major League I</t>
  </si>
  <si>
    <t>Mamma Mia</t>
  </si>
  <si>
    <t>Man for  All Seasons, A</t>
  </si>
  <si>
    <t>Manchurian Candidate, The (original)</t>
  </si>
  <si>
    <t>Memento</t>
  </si>
  <si>
    <t>Michael Clayton</t>
  </si>
  <si>
    <t>Murderball</t>
  </si>
  <si>
    <t>Naked Gun I</t>
  </si>
  <si>
    <t>Narrow Margin</t>
  </si>
  <si>
    <t>Ocean's Eleven</t>
  </si>
  <si>
    <t>NA</t>
  </si>
  <si>
    <t>Pirates of the Caribbean</t>
  </si>
  <si>
    <t>Place Beyond the Pines, The</t>
  </si>
  <si>
    <t>Prestige, The</t>
  </si>
  <si>
    <t>Private Parts</t>
  </si>
  <si>
    <t>Pulp Fiction</t>
  </si>
  <si>
    <t>Rock, The</t>
  </si>
  <si>
    <t>Rocky IV</t>
  </si>
  <si>
    <t>Romancing The Stone</t>
  </si>
  <si>
    <t>Rush</t>
  </si>
  <si>
    <t>Silence of the Lambs, The</t>
  </si>
  <si>
    <t>Slumdog Millionaire</t>
  </si>
  <si>
    <t>Speed</t>
  </si>
  <si>
    <t>Spider-Man II</t>
  </si>
  <si>
    <t>Los Angeles</t>
  </si>
  <si>
    <t>Star Trek</t>
  </si>
  <si>
    <t>Star Wars III (Return of the Jedi)</t>
  </si>
  <si>
    <t>Superman II</t>
  </si>
  <si>
    <t>Syriana</t>
  </si>
  <si>
    <t>Terms of Endearment</t>
  </si>
  <si>
    <t>Thank You For Smoking</t>
  </si>
  <si>
    <t>The Kids Are All Right</t>
  </si>
  <si>
    <t>There's Something About Mary</t>
  </si>
  <si>
    <t xml:space="preserve">Traffic </t>
  </si>
  <si>
    <t>Vicky Cristina Barcelona</t>
  </si>
  <si>
    <t>Visitor, The</t>
  </si>
  <si>
    <t>Walk the Line</t>
  </si>
  <si>
    <t>While You Were Sleeping</t>
  </si>
  <si>
    <t>Whiplash</t>
  </si>
  <si>
    <t>Wonder Boys</t>
  </si>
  <si>
    <t>Jackson Hole</t>
  </si>
  <si>
    <t>X-Men: First Class</t>
  </si>
  <si>
    <t>B+</t>
  </si>
  <si>
    <t>50/50</t>
  </si>
  <si>
    <t>10 Things I Hate About You</t>
  </si>
  <si>
    <t>21 Grams</t>
  </si>
  <si>
    <t>500 Days of Summer</t>
  </si>
  <si>
    <t>A Time to Kill</t>
  </si>
  <si>
    <t>About Schmidt</t>
  </si>
  <si>
    <t>HBO</t>
  </si>
  <si>
    <t>Air Force One</t>
  </si>
  <si>
    <t>Amadeus</t>
  </si>
  <si>
    <t>Amazing Grace</t>
  </si>
  <si>
    <t>American Pie</t>
  </si>
  <si>
    <t>Anger Management</t>
  </si>
  <si>
    <t>Annie Hall</t>
  </si>
  <si>
    <t>Aristrocrats, The</t>
  </si>
  <si>
    <t>Dubai</t>
  </si>
  <si>
    <t>As Good As it Gets</t>
  </si>
  <si>
    <t>Atonement</t>
  </si>
  <si>
    <t>Babel</t>
  </si>
  <si>
    <t>Bambi</t>
  </si>
  <si>
    <t>Bank Job, The</t>
  </si>
  <si>
    <t>Basic Instinct</t>
  </si>
  <si>
    <t>East Coast</t>
  </si>
  <si>
    <t>Before Midnight</t>
  </si>
  <si>
    <t>Before Sunrise</t>
  </si>
  <si>
    <t>Bill and Ted's Excellent Adventure I</t>
  </si>
  <si>
    <t>Black Hawk Down</t>
  </si>
  <si>
    <t>Blades of Glory</t>
  </si>
  <si>
    <t>Blood Sport</t>
  </si>
  <si>
    <t>Disney Plus</t>
  </si>
  <si>
    <t>Boogie Nights</t>
  </si>
  <si>
    <t>Bourne Identity, The</t>
  </si>
  <si>
    <t>Bowfinger</t>
  </si>
  <si>
    <t>Breakfast Club, The</t>
  </si>
  <si>
    <t>Bull Durham</t>
  </si>
  <si>
    <t>Bulworth</t>
  </si>
  <si>
    <t>Bus 174</t>
  </si>
  <si>
    <t>Butch Cassidy and the Sundance Kid</t>
  </si>
  <si>
    <t>Can't Buy Me Love</t>
  </si>
  <si>
    <t>Cape Fear (DeNiro)</t>
  </si>
  <si>
    <t>Catch Me if You Can</t>
  </si>
  <si>
    <t>Chariots of Fire</t>
  </si>
  <si>
    <t>Charlie and the Chocolate Factory</t>
  </si>
  <si>
    <t>Peninusula</t>
  </si>
  <si>
    <t>Cider House Rules, The</t>
  </si>
  <si>
    <t>Cinderella Man</t>
  </si>
  <si>
    <t>Cliffhanger</t>
  </si>
  <si>
    <t>Collateral</t>
  </si>
  <si>
    <t>Color of Money, The</t>
  </si>
  <si>
    <t>Control Room</t>
  </si>
  <si>
    <t>Deliverance</t>
  </si>
  <si>
    <t>Demolition Man</t>
  </si>
  <si>
    <t>Descendants, The</t>
  </si>
  <si>
    <t>Devil Wears Prada, The</t>
  </si>
  <si>
    <t>Die Another Day</t>
  </si>
  <si>
    <t>Die Hard I</t>
  </si>
  <si>
    <t>Die Hard II</t>
  </si>
  <si>
    <t>Dirty Dancing</t>
  </si>
  <si>
    <t>Disclosure</t>
  </si>
  <si>
    <t>Donnie Brasco</t>
  </si>
  <si>
    <t>Dr. No</t>
  </si>
  <si>
    <t>Dumb &amp; Dumber</t>
  </si>
  <si>
    <t>Eastern Promises</t>
  </si>
  <si>
    <t>Disney +</t>
  </si>
  <si>
    <t>English Patient, The</t>
  </si>
  <si>
    <t>Enron: The Smartest Guys in the Room</t>
  </si>
  <si>
    <t>Escape From Alcatraz</t>
  </si>
  <si>
    <t>Falling Down</t>
  </si>
  <si>
    <t>Family Man, The</t>
  </si>
  <si>
    <t>Father of the Bride</t>
  </si>
  <si>
    <t>Fighter, The</t>
  </si>
  <si>
    <t>Final Analysis</t>
  </si>
  <si>
    <t>Fletch</t>
  </si>
  <si>
    <t>Fletch Lives</t>
  </si>
  <si>
    <t>Footloose</t>
  </si>
  <si>
    <t>For Your Eyes Only</t>
  </si>
  <si>
    <t>DVR</t>
  </si>
  <si>
    <t>Ford  vs. Ferrari</t>
  </si>
  <si>
    <t>Amazon Prime</t>
  </si>
  <si>
    <t>Freaky Friday</t>
  </si>
  <si>
    <t>French Connection, The</t>
  </si>
  <si>
    <t>Friday Night Lights</t>
  </si>
  <si>
    <t>Game, The</t>
  </si>
  <si>
    <t>Garden State</t>
  </si>
  <si>
    <t>Gattaca</t>
  </si>
  <si>
    <t>Get Shorty</t>
  </si>
  <si>
    <t>Girl With the Dragon Tattoo, The</t>
  </si>
  <si>
    <t>Gladiator</t>
  </si>
  <si>
    <t>Goldfinger</t>
  </si>
  <si>
    <t>Gone With the Wind</t>
  </si>
  <si>
    <t>Graduate, The</t>
  </si>
  <si>
    <t>Gravity</t>
  </si>
  <si>
    <t>Gremlins</t>
  </si>
  <si>
    <t>Hairspray</t>
  </si>
  <si>
    <t>Happy Gilmore</t>
  </si>
  <si>
    <t>Hard to Kill</t>
  </si>
  <si>
    <t xml:space="preserve">Harry Potter and the Deathly Hallows - Part 1 </t>
  </si>
  <si>
    <t>Honey, I Shrunk the Kids</t>
  </si>
  <si>
    <t>Hurt Locker, The</t>
  </si>
  <si>
    <t>Ides of March, The</t>
  </si>
  <si>
    <t>Inside Man, The</t>
  </si>
  <si>
    <t>Invincible</t>
  </si>
  <si>
    <t>Italian Job, The</t>
  </si>
  <si>
    <t>Jack Reacher</t>
  </si>
  <si>
    <t>Jagged Edge</t>
  </si>
  <si>
    <t>Jaws II</t>
  </si>
  <si>
    <t>Jerry Maguire</t>
  </si>
  <si>
    <t>Joe Dirt</t>
  </si>
  <si>
    <t>Jonestown: The Life and Death of Peoples Temple</t>
  </si>
  <si>
    <t>Jungle Book, The</t>
  </si>
  <si>
    <t>Karate Kid I, The</t>
  </si>
  <si>
    <t>Kindergarten Cop</t>
  </si>
  <si>
    <t>Kings of Summer, The</t>
  </si>
  <si>
    <t>Knight's Tale, A</t>
  </si>
  <si>
    <t>Knocked Up</t>
  </si>
  <si>
    <t>Kramer vs. Kramer</t>
  </si>
  <si>
    <t>L.A. Confidential</t>
  </si>
  <si>
    <t>League of Ordinary Gentlemen</t>
  </si>
  <si>
    <t>League of Their Own, A</t>
  </si>
  <si>
    <t>Lethal Weapon III</t>
  </si>
  <si>
    <t>Liar Liar</t>
  </si>
  <si>
    <t>Lincoln Lawyer, The</t>
  </si>
  <si>
    <t>Lion King, The</t>
  </si>
  <si>
    <t>Lock, Stock, and Two Smoking Barrels</t>
  </si>
  <si>
    <t>Look Whose Talking I</t>
  </si>
  <si>
    <t>Lost Boys, The</t>
  </si>
  <si>
    <t>M*A*S*H</t>
  </si>
  <si>
    <t>Man With the Golden Gun, The</t>
  </si>
  <si>
    <t>Mask of Zorro I, The</t>
  </si>
  <si>
    <t>Matilda</t>
  </si>
  <si>
    <t>Men In Black I</t>
  </si>
  <si>
    <t>Milk</t>
  </si>
  <si>
    <t>Million Dollar Baby</t>
  </si>
  <si>
    <t>Misery</t>
  </si>
  <si>
    <t>Mission Impossible I</t>
  </si>
  <si>
    <t xml:space="preserve">Monsters Inc. </t>
  </si>
  <si>
    <t>Moonraker</t>
  </si>
  <si>
    <t>Mr. Smith Goes to Washington</t>
  </si>
  <si>
    <t>Mrs. Doubtfire</t>
  </si>
  <si>
    <t>My Cousin Vinny</t>
  </si>
  <si>
    <t>Namesake, The</t>
  </si>
  <si>
    <t>National Lampoon's Vacation</t>
  </si>
  <si>
    <t>New Jack City</t>
  </si>
  <si>
    <t>No Country for Old Men</t>
  </si>
  <si>
    <t>North Country</t>
  </si>
  <si>
    <t>Ocean's Thirteen</t>
  </si>
  <si>
    <t>One Flew Over the Cuckoo's Nest</t>
  </si>
  <si>
    <t>Disney+</t>
  </si>
  <si>
    <t>Parenthood</t>
  </si>
  <si>
    <t>Perks of being a Wallflower, The</t>
  </si>
  <si>
    <t>Point Break</t>
  </si>
  <si>
    <t>Prefontaine</t>
  </si>
  <si>
    <t>Pretty Woman</t>
  </si>
  <si>
    <t>Primal Fear</t>
  </si>
  <si>
    <t>Professional, The</t>
  </si>
  <si>
    <t>Punch-Drunk Love</t>
  </si>
  <si>
    <t>Quantum of Solace</t>
  </si>
  <si>
    <t>Raging Bull</t>
  </si>
  <si>
    <t>Rain Man</t>
  </si>
  <si>
    <t>Ray</t>
  </si>
  <si>
    <t>Reversal of Fortune</t>
  </si>
  <si>
    <t>Risky Business</t>
  </si>
  <si>
    <t>Road to Perdition, The</t>
  </si>
  <si>
    <t>Robin Hood (cartoon)</t>
  </si>
  <si>
    <t>Rocky III</t>
  </si>
  <si>
    <t>Royal Tennenbaums, The</t>
  </si>
  <si>
    <t>Running Man, The</t>
  </si>
  <si>
    <t>Safety Not Guaranteed</t>
  </si>
  <si>
    <t>Saturday Night Fever</t>
  </si>
  <si>
    <t>Scarface</t>
  </si>
  <si>
    <t>Scream I</t>
  </si>
  <si>
    <t>Searching for Bobby Fischer</t>
  </si>
  <si>
    <t>Portland</t>
  </si>
  <si>
    <t>Sense and Sensibility</t>
  </si>
  <si>
    <t>Shakespeare in Love</t>
  </si>
  <si>
    <t>Shoot to Kill (Deadly Pursuit)</t>
  </si>
  <si>
    <t xml:space="preserve">Shrek </t>
  </si>
  <si>
    <t>Sleeping with the Enemy</t>
  </si>
  <si>
    <t>Mountain View</t>
  </si>
  <si>
    <t>Squid and the Whale, The</t>
  </si>
  <si>
    <t>Stakeout</t>
  </si>
  <si>
    <t>Super Size Me</t>
  </si>
  <si>
    <t>Superman I</t>
  </si>
  <si>
    <t>Sweeney Todd: The Demon Barber of Fleet St</t>
  </si>
  <si>
    <t>Talented Mr. Ripley, The</t>
  </si>
  <si>
    <t>Taken</t>
  </si>
  <si>
    <t>Tango &amp; Cash</t>
  </si>
  <si>
    <t>Thelma &amp; Louise</t>
  </si>
  <si>
    <t>Thirteen</t>
  </si>
  <si>
    <t>This is England</t>
  </si>
  <si>
    <t>Thor</t>
  </si>
  <si>
    <t>Three Kings</t>
  </si>
  <si>
    <t>Three Men and a Baby</t>
  </si>
  <si>
    <t>Tootsie</t>
  </si>
  <si>
    <t>Top Gun</t>
  </si>
  <si>
    <t>Top Secret!</t>
  </si>
  <si>
    <t>Total Recall</t>
  </si>
  <si>
    <t>Town, The</t>
  </si>
  <si>
    <t>On-Demand</t>
  </si>
  <si>
    <t>Tropic Thunder</t>
  </si>
  <si>
    <t>Two Lovers</t>
  </si>
  <si>
    <t>Unforgiven</t>
  </si>
  <si>
    <t>Untouchables, The</t>
  </si>
  <si>
    <t>Usual Suspects, The</t>
  </si>
  <si>
    <t>V for Vendetta</t>
  </si>
  <si>
    <t>View to a Kill, A</t>
  </si>
  <si>
    <t>Wall St</t>
  </si>
  <si>
    <t>Wanted</t>
  </si>
  <si>
    <t>War of the Roses, The</t>
  </si>
  <si>
    <t>When Harry Met Sally</t>
  </si>
  <si>
    <t>Dover</t>
  </si>
  <si>
    <t>White Men Can't Jump</t>
  </si>
  <si>
    <t>Without Limits</t>
  </si>
  <si>
    <t>Witness</t>
  </si>
  <si>
    <t>Wizard of Oz, The</t>
  </si>
  <si>
    <t>Wolf of Wall Stret, The</t>
  </si>
  <si>
    <t>LA</t>
  </si>
  <si>
    <t>Working Girl</t>
  </si>
  <si>
    <t>X-Men I</t>
  </si>
  <si>
    <t>X-Men II</t>
  </si>
  <si>
    <t>4 Months, 3 Days, 2 Hours</t>
  </si>
  <si>
    <t>B/B+</t>
  </si>
  <si>
    <t>Accused, The</t>
  </si>
  <si>
    <t>Adventureland</t>
  </si>
  <si>
    <t>All the President's Men</t>
  </si>
  <si>
    <t>American Dreamz</t>
  </si>
  <si>
    <t>American Splendor</t>
  </si>
  <si>
    <t>Assassination of Jesse James, The</t>
  </si>
  <si>
    <t>Austin Powers II</t>
  </si>
  <si>
    <t>Bad Boys</t>
  </si>
  <si>
    <t>Beach, The</t>
  </si>
  <si>
    <t>Bean</t>
  </si>
  <si>
    <t>Beautiful Girls</t>
  </si>
  <si>
    <t>Beauty &amp; The Beast</t>
  </si>
  <si>
    <t>Before Sunset</t>
  </si>
  <si>
    <t>Billy Madison</t>
  </si>
  <si>
    <t>Bird on a Wire</t>
  </si>
  <si>
    <t>Black Rain</t>
  </si>
  <si>
    <t>Blair Witch Project, The</t>
  </si>
  <si>
    <t>Blind Side, The</t>
  </si>
  <si>
    <t>Blow Out</t>
  </si>
  <si>
    <t>Boiler Room</t>
  </si>
  <si>
    <t>Bonnie and Clyde</t>
  </si>
  <si>
    <t>Bourne Supremacy, The</t>
  </si>
  <si>
    <t>Breach</t>
  </si>
  <si>
    <t>Monterey</t>
  </si>
  <si>
    <t>Capturing the Friedmans</t>
  </si>
  <si>
    <t>Peninsulat</t>
  </si>
  <si>
    <t>Children of Men</t>
  </si>
  <si>
    <t>Chocolat</t>
  </si>
  <si>
    <t>City Slickers</t>
  </si>
  <si>
    <t>Civil Action, A</t>
  </si>
  <si>
    <t>Clear and Present Danger</t>
  </si>
  <si>
    <t>Close Encounters of the Third Kind</t>
  </si>
  <si>
    <t>Cocaine Cowboys</t>
  </si>
  <si>
    <t>Cocktail</t>
  </si>
  <si>
    <t>Crazy, Stupid, Love</t>
  </si>
  <si>
    <t>Cruel Intentions</t>
  </si>
  <si>
    <t>Curious Case of Benjamin Button, The</t>
  </si>
  <si>
    <t>Curse of the Were-Rabbit, The</t>
  </si>
  <si>
    <t>Dark Knight Rises, The</t>
  </si>
  <si>
    <t>Dave</t>
  </si>
  <si>
    <t>Dick Tracy</t>
  </si>
  <si>
    <t>Distinguished Gentleman, The</t>
  </si>
  <si>
    <t>Diving Bell and the Butterfly, The</t>
  </si>
  <si>
    <t>Django Unchained</t>
  </si>
  <si>
    <t>Miami</t>
  </si>
  <si>
    <t>Dodgeball</t>
  </si>
  <si>
    <t>Dr. Strangelove</t>
  </si>
  <si>
    <t>Dragnet</t>
  </si>
  <si>
    <t>HBO Max</t>
  </si>
  <si>
    <t>Edge, The</t>
  </si>
  <si>
    <t>Erin Brockovich</t>
  </si>
  <si>
    <t>F9 The Fast Saga</t>
  </si>
  <si>
    <t>Santa Cruz</t>
  </si>
  <si>
    <t>Fantastic Lies</t>
  </si>
  <si>
    <t>Fantastic Mr. Fox</t>
  </si>
  <si>
    <t>Fargo</t>
  </si>
  <si>
    <t>Fast and the Furious 6: The</t>
  </si>
  <si>
    <t>Field of Dreams</t>
  </si>
  <si>
    <t>Fifth Element, The</t>
  </si>
  <si>
    <t>Neflix</t>
  </si>
  <si>
    <t>Firm, The</t>
  </si>
  <si>
    <t>Flags of our Fathers</t>
  </si>
  <si>
    <t>Forgetting Sarah Marshall</t>
  </si>
  <si>
    <t>Friends with Benefits</t>
  </si>
  <si>
    <t>Gangs of New York</t>
  </si>
  <si>
    <t>Ghost</t>
  </si>
  <si>
    <t>Ghostbusters</t>
  </si>
  <si>
    <t>Glengarry Glen Ross</t>
  </si>
  <si>
    <t>Go</t>
  </si>
  <si>
    <t>GoldenEye</t>
  </si>
  <si>
    <t>Great Escape, The</t>
  </si>
  <si>
    <t>Groundhog Day</t>
  </si>
  <si>
    <t>Hand That Rocks The Cradle, The</t>
  </si>
  <si>
    <t>Harry Potter I</t>
  </si>
  <si>
    <t>Harry Potter II</t>
  </si>
  <si>
    <t>Harry Potter III</t>
  </si>
  <si>
    <t>Harry Potter IV</t>
  </si>
  <si>
    <t>High Fidelity</t>
  </si>
  <si>
    <t>Hoax, The</t>
  </si>
  <si>
    <t>Hoosiers</t>
  </si>
  <si>
    <t>Human Stain, The</t>
  </si>
  <si>
    <t>I Know What You Did Last Summer</t>
  </si>
  <si>
    <t>Illusionist, The</t>
  </si>
  <si>
    <t>Indiana Jones and the Temple of Doom</t>
  </si>
  <si>
    <t xml:space="preserve">Plane
</t>
  </si>
  <si>
    <t>James &amp; The Giant Peach</t>
  </si>
  <si>
    <t>Juno</t>
  </si>
  <si>
    <t>Kissing Jessica Stein</t>
  </si>
  <si>
    <t>TV</t>
  </si>
  <si>
    <t>Les Miserables</t>
  </si>
  <si>
    <t>Legally Blonde</t>
  </si>
  <si>
    <t>Limey, The</t>
  </si>
  <si>
    <t>Little Children</t>
  </si>
  <si>
    <t>Live and Let Die</t>
  </si>
  <si>
    <t>Lolita</t>
  </si>
  <si>
    <t>Love Actually</t>
  </si>
  <si>
    <t>Man in the Iron Mask, The</t>
  </si>
  <si>
    <t>Man Without a Face, The</t>
  </si>
  <si>
    <t>Mars Attacks!</t>
  </si>
  <si>
    <t>Matador, The</t>
  </si>
  <si>
    <t>Match Point</t>
  </si>
  <si>
    <t>Me, Myself, and Irene</t>
  </si>
  <si>
    <t>Midnight Run</t>
  </si>
  <si>
    <t>Millions</t>
  </si>
  <si>
    <t>Minority Report</t>
  </si>
  <si>
    <t xml:space="preserve">Miracle </t>
  </si>
  <si>
    <t>Mission Impossible 4</t>
  </si>
  <si>
    <t>Money Pit, The</t>
  </si>
  <si>
    <t>Mr. Deeds</t>
  </si>
  <si>
    <t>Mr.Saturday Night</t>
  </si>
  <si>
    <t>My Fair Lady</t>
  </si>
  <si>
    <t>My Kid Could Paint That</t>
  </si>
  <si>
    <t>No Man's Land</t>
  </si>
  <si>
    <t>Nutty Professor, The</t>
  </si>
  <si>
    <t>October Sky</t>
  </si>
  <si>
    <t>Officer and a Gentleman, An</t>
  </si>
  <si>
    <t>Oliver Twist</t>
  </si>
  <si>
    <t>On Her Majesty's Secret Service</t>
  </si>
  <si>
    <t>Once Brothers (ESPN 30 for 30)</t>
  </si>
  <si>
    <t>Out of Sight</t>
  </si>
  <si>
    <t>Patriot, The</t>
  </si>
  <si>
    <t>Perfect Murder, A</t>
  </si>
  <si>
    <t>Perfect Storm, The</t>
  </si>
  <si>
    <t>Peter's Friends</t>
  </si>
  <si>
    <t>Platoon</t>
  </si>
  <si>
    <t>Point of No Return</t>
  </si>
  <si>
    <t>Power of One, The</t>
  </si>
  <si>
    <t>Pride &amp; Prejudice</t>
  </si>
  <si>
    <t>Primary Colors</t>
  </si>
  <si>
    <t>Prizzi's Honor</t>
  </si>
  <si>
    <t>Queen, The</t>
  </si>
  <si>
    <t>Rachel Getting Married</t>
  </si>
  <si>
    <t>Rainmaker, The</t>
  </si>
  <si>
    <t>Rambo: First Blood</t>
  </si>
  <si>
    <t>Reader, The</t>
  </si>
  <si>
    <t>Remember the Titans</t>
  </si>
  <si>
    <t>Rescue Dawn</t>
  </si>
  <si>
    <t>Right Stuff, The</t>
  </si>
  <si>
    <t>River Wild, The</t>
  </si>
  <si>
    <t>Road House</t>
  </si>
  <si>
    <t>Rocky I</t>
  </si>
  <si>
    <t>Rocky VI</t>
  </si>
  <si>
    <t>Role Models</t>
  </si>
  <si>
    <t>Roman Holiday</t>
  </si>
  <si>
    <t>Romeo and Juliet</t>
  </si>
  <si>
    <t>Rookie, The</t>
  </si>
  <si>
    <t>Rudy</t>
  </si>
  <si>
    <t>Runaway Jury, The</t>
  </si>
  <si>
    <t>Saint, The</t>
  </si>
  <si>
    <t>Saving Private Ryan</t>
  </si>
  <si>
    <t>Scary Movie</t>
  </si>
  <si>
    <t>Sydney</t>
  </si>
  <si>
    <t>School Ties</t>
  </si>
  <si>
    <t>Sea of Love</t>
  </si>
  <si>
    <t>Secret of My Success, The</t>
  </si>
  <si>
    <t>Shut Up and Sing</t>
  </si>
  <si>
    <t>Sideways</t>
  </si>
  <si>
    <t>Side Effects</t>
  </si>
  <si>
    <t>Silver Linings Playbook</t>
  </si>
  <si>
    <t>Skyfall</t>
  </si>
  <si>
    <t>Snatch</t>
  </si>
  <si>
    <t>Sole Man</t>
  </si>
  <si>
    <t>Some Like It Hot</t>
  </si>
  <si>
    <t>Something's Gotta Give</t>
  </si>
  <si>
    <t>Source Code</t>
  </si>
  <si>
    <t>Starter for 10</t>
  </si>
  <si>
    <t>Startup.com</t>
  </si>
  <si>
    <t>Still of the Night</t>
  </si>
  <si>
    <t>Sunset Boulevard</t>
  </si>
  <si>
    <t>Superman Returns</t>
  </si>
  <si>
    <t>Swingers</t>
  </si>
  <si>
    <t>Taxi Driver</t>
  </si>
  <si>
    <t>Teen Wolf I</t>
  </si>
  <si>
    <t>The 40-Year-Old Virgin</t>
  </si>
  <si>
    <t>There Will be Blood</t>
  </si>
  <si>
    <t>Thor: The Dark World</t>
  </si>
  <si>
    <t>To Catch a Thief</t>
  </si>
  <si>
    <t>Training Day</t>
  </si>
  <si>
    <t>Trainspotting</t>
  </si>
  <si>
    <t>True Romance</t>
  </si>
  <si>
    <t>Truman Show, The</t>
  </si>
  <si>
    <t>Twins</t>
  </si>
  <si>
    <t>Tyson</t>
  </si>
  <si>
    <t>Under Siege</t>
  </si>
  <si>
    <t>Wayne's World I</t>
  </si>
  <si>
    <t>Willy Wonka &amp; The Chocolate Factory</t>
  </si>
  <si>
    <t>X-Men III</t>
  </si>
  <si>
    <t>Young Adult</t>
  </si>
  <si>
    <t>Zoolander</t>
  </si>
  <si>
    <t>15 Minutes</t>
  </si>
  <si>
    <t>B</t>
  </si>
  <si>
    <t>3:10 to Yuma</t>
  </si>
  <si>
    <t>48 Hours</t>
  </si>
  <si>
    <t>African Queen, The</t>
  </si>
  <si>
    <t>Aladdin</t>
  </si>
  <si>
    <t>Along Came Polly</t>
  </si>
  <si>
    <t>Amazing Spider-Man, The</t>
  </si>
  <si>
    <t>American Flyers</t>
  </si>
  <si>
    <t>Analyze That</t>
  </si>
  <si>
    <t>Analyze This</t>
  </si>
  <si>
    <t>Animal House</t>
  </si>
  <si>
    <t>Annie</t>
  </si>
  <si>
    <t>Apartment, The</t>
  </si>
  <si>
    <t>Armageddon</t>
  </si>
  <si>
    <t>Au Revoir Les Enfants</t>
  </si>
  <si>
    <t>Austin Powers III</t>
  </si>
  <si>
    <t>Back to the Future II</t>
  </si>
  <si>
    <t>Backdraft</t>
  </si>
  <si>
    <t>Bad Santa</t>
  </si>
  <si>
    <t>Batman</t>
  </si>
  <si>
    <t>Batman Forever</t>
  </si>
  <si>
    <t>Batman Returns</t>
  </si>
  <si>
    <t>Before the Devil Knows You're Dead</t>
  </si>
  <si>
    <t>Better Off Dead</t>
  </si>
  <si>
    <t>Beverly Hills Cop II</t>
  </si>
  <si>
    <t>Big Chill, The</t>
  </si>
  <si>
    <t>Big Daddy</t>
  </si>
  <si>
    <t>Billy Elliott</t>
  </si>
  <si>
    <t>Bodyguard, The</t>
  </si>
  <si>
    <t>Bone Collector, The</t>
  </si>
  <si>
    <t>Borat</t>
  </si>
  <si>
    <t>Breakdown</t>
  </si>
  <si>
    <t>Brewster's Millions</t>
  </si>
  <si>
    <t>Bridget Jones's Diary</t>
  </si>
  <si>
    <t>Brokedown Palace</t>
  </si>
  <si>
    <t>Brothers McMullen, The</t>
  </si>
  <si>
    <t>Caddyshack</t>
  </si>
  <si>
    <t>Cannonball Run I, The</t>
  </si>
  <si>
    <t>Cannonball Run II, The</t>
  </si>
  <si>
    <t>Casablanca</t>
  </si>
  <si>
    <t>Celeste and Jesse Forever</t>
  </si>
  <si>
    <t>Campbell</t>
  </si>
  <si>
    <t>Charlie's Angels I</t>
  </si>
  <si>
    <t>Changeling</t>
  </si>
  <si>
    <t>Chinatown</t>
  </si>
  <si>
    <t>Click</t>
  </si>
  <si>
    <t>Clockwork Orange, A</t>
  </si>
  <si>
    <t>Cobra</t>
  </si>
  <si>
    <t>Commando</t>
  </si>
  <si>
    <t>Cop Land</t>
  </si>
  <si>
    <t>Copycat</t>
  </si>
  <si>
    <t>Crocodile Dundee II</t>
  </si>
  <si>
    <t>Dead Calm</t>
  </si>
  <si>
    <t>Dead Poet's Society</t>
  </si>
  <si>
    <t>Death Warrant</t>
  </si>
  <si>
    <t>Devil's Advocate</t>
  </si>
  <si>
    <t>Die Hard IV</t>
  </si>
  <si>
    <t>Do The Right Thing</t>
  </si>
  <si>
    <t>Doctor Zhivago</t>
  </si>
  <si>
    <t>Dr. Dolittle</t>
  </si>
  <si>
    <t>Dragonheart</t>
  </si>
  <si>
    <t>Easy A</t>
  </si>
  <si>
    <t>iTunes</t>
  </si>
  <si>
    <t>Easy Rider</t>
  </si>
  <si>
    <t>Eddie Strongman</t>
  </si>
  <si>
    <t>EdTV</t>
  </si>
  <si>
    <t>Edward Scissorhands</t>
  </si>
  <si>
    <t>Enemy of the State</t>
  </si>
  <si>
    <t>Entrapment</t>
  </si>
  <si>
    <t>Executive Decision</t>
  </si>
  <si>
    <t>Fabulous Baker Boys, The</t>
  </si>
  <si>
    <t>Fahrenheit 9/11</t>
  </si>
  <si>
    <t>Fierce Creatures</t>
  </si>
  <si>
    <t>Finding Forrester</t>
  </si>
  <si>
    <t>Flash Gordon</t>
  </si>
  <si>
    <t>Food Inc.</t>
  </si>
  <si>
    <t>Frankie and Johnny</t>
  </si>
  <si>
    <t>Friday the 13th</t>
  </si>
  <si>
    <t>From Russia With Love</t>
  </si>
  <si>
    <t>Full Metal Jacket</t>
  </si>
  <si>
    <t>Funny People</t>
  </si>
  <si>
    <t>Get Smart</t>
  </si>
  <si>
    <t>Giant Mechanical Man, The</t>
  </si>
  <si>
    <t>Tahoe</t>
  </si>
  <si>
    <t>Gleaming the Cube</t>
  </si>
  <si>
    <t>Godfather III, The</t>
  </si>
  <si>
    <t>Good Son, The</t>
  </si>
  <si>
    <t>Gran Torino</t>
  </si>
  <si>
    <t>Grosse Point Blank</t>
  </si>
  <si>
    <t>Halloween</t>
  </si>
  <si>
    <t>Hamlet 2</t>
  </si>
  <si>
    <t>Hangover, The</t>
  </si>
  <si>
    <t>Hanna</t>
  </si>
  <si>
    <t>Hard Way, The</t>
  </si>
  <si>
    <t>Harry and the Hendersons</t>
  </si>
  <si>
    <t>Heat</t>
  </si>
  <si>
    <t>High Noon</t>
  </si>
  <si>
    <t>Hitch</t>
  </si>
  <si>
    <t>Horse Whisperer, The</t>
  </si>
  <si>
    <t>Hot Shots</t>
  </si>
  <si>
    <t xml:space="preserve">House Party </t>
  </si>
  <si>
    <t>How The Grinch Stole Christmas</t>
  </si>
  <si>
    <t>In A World</t>
  </si>
  <si>
    <t>In &amp; Out</t>
  </si>
  <si>
    <t>In Search of a Midnight Kiss</t>
  </si>
  <si>
    <t>Indecent Proposal</t>
  </si>
  <si>
    <t>Independence Day</t>
  </si>
  <si>
    <t>Indiana Jones and the Kingdom of the Crystal Skull</t>
  </si>
  <si>
    <t>Informant, The</t>
  </si>
  <si>
    <t>Internship, The</t>
  </si>
  <si>
    <t>Interview with the Vampire</t>
  </si>
  <si>
    <t>January Man, The</t>
  </si>
  <si>
    <t>JFK</t>
  </si>
  <si>
    <t>Johnny English</t>
  </si>
  <si>
    <t>Jurassic Park</t>
  </si>
  <si>
    <t>Kim Swims</t>
  </si>
  <si>
    <t>Kingpin</t>
  </si>
  <si>
    <t>Last Boy Scout, The</t>
  </si>
  <si>
    <t xml:space="preserve">Peninsula
</t>
  </si>
  <si>
    <t>Legal Eagles</t>
  </si>
  <si>
    <t>License to Drive</t>
  </si>
  <si>
    <t>License to Kill</t>
  </si>
  <si>
    <t>Limitless</t>
  </si>
  <si>
    <t>Little Miss Sunshine</t>
  </si>
  <si>
    <t>Lock Up</t>
  </si>
  <si>
    <t>Lone Star</t>
  </si>
  <si>
    <t>Lord of the Rings II</t>
  </si>
  <si>
    <t>Lucas</t>
  </si>
  <si>
    <t>Major League II</t>
  </si>
  <si>
    <t>Maltese Falcon, The</t>
  </si>
  <si>
    <t>Menlo Park</t>
  </si>
  <si>
    <t>Married Life</t>
  </si>
  <si>
    <t>Mary Poppins</t>
  </si>
  <si>
    <t>Master and Commander</t>
  </si>
  <si>
    <t>Mean Girls</t>
  </si>
  <si>
    <t>Meet the Parents</t>
  </si>
  <si>
    <t>Meet the Parents II: Meet the Fockers</t>
  </si>
  <si>
    <t>Men In Black II</t>
  </si>
  <si>
    <t>Midnight Cowboy</t>
  </si>
  <si>
    <t>Mirror Has Two Faces, The</t>
  </si>
  <si>
    <t>Mission Impossible III</t>
  </si>
  <si>
    <t xml:space="preserve">Portola Valley
</t>
  </si>
  <si>
    <t>Moneyball</t>
  </si>
  <si>
    <t>Mosquito Coast, The</t>
  </si>
  <si>
    <t>Mr. and Mrs. Smith</t>
  </si>
  <si>
    <t>Much Ado About Nothing</t>
  </si>
  <si>
    <t>Mulholland Drive</t>
  </si>
  <si>
    <t>Music &amp; Lyrics</t>
  </si>
  <si>
    <t>My Big Fat Greek Wedding</t>
  </si>
  <si>
    <t>Naked Gun 2 1/2</t>
  </si>
  <si>
    <t>Napoleon Dynamite</t>
  </si>
  <si>
    <t>National Lampoon's European Vacation</t>
  </si>
  <si>
    <t>National Treasure</t>
  </si>
  <si>
    <t>Natural, The</t>
  </si>
  <si>
    <t>Network</t>
  </si>
  <si>
    <t>Never Say Never</t>
  </si>
  <si>
    <t>DC</t>
  </si>
  <si>
    <t>Never Say Never Again</t>
  </si>
  <si>
    <t>Next Stop, Wonderland</t>
  </si>
  <si>
    <t>Nightmare on Elm St I</t>
  </si>
  <si>
    <t>Not Another Teen Movie</t>
  </si>
  <si>
    <t>Object of My Affection, The</t>
  </si>
  <si>
    <t>Octopussy</t>
  </si>
  <si>
    <t>Office Space</t>
  </si>
  <si>
    <t>Once</t>
  </si>
  <si>
    <t>Old School</t>
  </si>
  <si>
    <t>Outrageous Fortune</t>
  </si>
  <si>
    <t>Over The Top</t>
  </si>
  <si>
    <t>Saratoga</t>
  </si>
  <si>
    <t>Panic Room</t>
  </si>
  <si>
    <t>Parent Trap, The</t>
  </si>
  <si>
    <t>Passenger 57</t>
  </si>
  <si>
    <t>Flight</t>
  </si>
  <si>
    <t>Patch Adams</t>
  </si>
  <si>
    <t>Pelican Brief, The</t>
  </si>
  <si>
    <t>People vs. Larry Flynt, The</t>
  </si>
  <si>
    <t>Perfect World, A</t>
  </si>
  <si>
    <t>Peter Pan</t>
  </si>
  <si>
    <t>Phenomenon</t>
  </si>
  <si>
    <t>Philadelphia</t>
  </si>
  <si>
    <t>Pleasantville</t>
  </si>
  <si>
    <t>Pledge, The</t>
  </si>
  <si>
    <t>Police Academy</t>
  </si>
  <si>
    <t>Porky's II</t>
  </si>
  <si>
    <t>Practice, The</t>
  </si>
  <si>
    <t>Premium Rush</t>
  </si>
  <si>
    <t>Presidio, The</t>
  </si>
  <si>
    <t>Pumping Iron</t>
  </si>
  <si>
    <t>Ransom</t>
  </si>
  <si>
    <t>Rising Sun</t>
  </si>
  <si>
    <t>Albuquerque</t>
  </si>
  <si>
    <t>N/A</t>
  </si>
  <si>
    <t>Robin Hood: Prince of Thieves</t>
  </si>
  <si>
    <t>Rocky II</t>
  </si>
  <si>
    <t>Romy and Michele's High School Reunion</t>
  </si>
  <si>
    <t>Rushmore</t>
  </si>
  <si>
    <t>Schindler's List</t>
  </si>
  <si>
    <t>Scoop</t>
  </si>
  <si>
    <t>Shallow Hal</t>
  </si>
  <si>
    <t>She's Out of my League</t>
  </si>
  <si>
    <t>She's The One</t>
  </si>
  <si>
    <t>Short Circuit</t>
  </si>
  <si>
    <t>Shrek II</t>
  </si>
  <si>
    <t>Simpsons, The</t>
  </si>
  <si>
    <t>Six Degrees of Separation</t>
  </si>
  <si>
    <t>Sixth Sense, The</t>
  </si>
  <si>
    <t>Sketches of Frank Gehry</t>
  </si>
  <si>
    <t>Slaying the Badger (ESPN 30 for 30)</t>
  </si>
  <si>
    <t>Sleepers</t>
  </si>
  <si>
    <t>Smart People</t>
  </si>
  <si>
    <t>Snow White and the Seven Dwarfs</t>
  </si>
  <si>
    <t>Spiderman 3</t>
  </si>
  <si>
    <t>Spy Game</t>
  </si>
  <si>
    <t>St Elmo's Fire</t>
  </si>
  <si>
    <t>Starship Troopers</t>
  </si>
  <si>
    <t>St Kings</t>
  </si>
  <si>
    <t>Stcar Named Desire, A</t>
  </si>
  <si>
    <t>Sunshine Cleaning</t>
  </si>
  <si>
    <t>Sweet Home Alabama</t>
  </si>
  <si>
    <t>Tequila Sunrise</t>
  </si>
  <si>
    <t>Terminator II, The</t>
  </si>
  <si>
    <t>Terminator, The</t>
  </si>
  <si>
    <t>Thirteen Days</t>
  </si>
  <si>
    <t>This is 40</t>
  </si>
  <si>
    <t>Three Amigos</t>
  </si>
  <si>
    <t>Thunderball</t>
  </si>
  <si>
    <t>Timecop</t>
  </si>
  <si>
    <t>Tin Cup</t>
  </si>
  <si>
    <t>Tomorrow Never Dies</t>
  </si>
  <si>
    <t>Touching the Void</t>
  </si>
  <si>
    <t>Truth About Cats &amp; Dogs, The</t>
  </si>
  <si>
    <t>Twister</t>
  </si>
  <si>
    <t>Uncle Buck</t>
  </si>
  <si>
    <t>Untamed Heart</t>
  </si>
  <si>
    <t>Varsity Blues</t>
  </si>
  <si>
    <t>Waiting for Guffman</t>
  </si>
  <si>
    <t>We Own the Night</t>
  </si>
  <si>
    <t>Weekend at Bernie's</t>
  </si>
  <si>
    <t>West Side Story</t>
  </si>
  <si>
    <t>What's Eating Gilbert Grape</t>
  </si>
  <si>
    <t>Who Framed Roger Rabbit</t>
  </si>
  <si>
    <t>Who Killed The Electric Car</t>
  </si>
  <si>
    <t>Widow of St. Pierre, The</t>
  </si>
  <si>
    <t>Wild Bunch, The</t>
  </si>
  <si>
    <t>Willow</t>
  </si>
  <si>
    <t>Winter's Bone</t>
  </si>
  <si>
    <t>Wolf</t>
  </si>
  <si>
    <t>Wordplay</t>
  </si>
  <si>
    <t>You Don't Mess With the Zohan</t>
  </si>
  <si>
    <t>Zack &amp; Miri Make A Porno</t>
  </si>
  <si>
    <t>21 Jump St</t>
  </si>
  <si>
    <t>B-/B</t>
  </si>
  <si>
    <t>Above The Rim</t>
  </si>
  <si>
    <t>An American Tail</t>
  </si>
  <si>
    <t>Any Given Sunday</t>
  </si>
  <si>
    <t>BMX Bandits</t>
  </si>
  <si>
    <t>Bullitt</t>
  </si>
  <si>
    <t>Crouching Tiger, Hidden Dragon</t>
  </si>
  <si>
    <t>Dan in Real Life</t>
  </si>
  <si>
    <t>Definitely, Maybe</t>
  </si>
  <si>
    <t>Other</t>
  </si>
  <si>
    <t>Santa Barbara</t>
  </si>
  <si>
    <t>Door in the Floor, The</t>
  </si>
  <si>
    <t>Doubt</t>
  </si>
  <si>
    <t>Elysium</t>
  </si>
  <si>
    <t>Fever Pitch</t>
  </si>
  <si>
    <t>Forever Young</t>
  </si>
  <si>
    <t>Freedom Writers</t>
  </si>
  <si>
    <t>Friends with Kids</t>
  </si>
  <si>
    <t>From Here to Eternity</t>
  </si>
  <si>
    <t>Game Changers, The</t>
  </si>
  <si>
    <t>George of the Jungle</t>
  </si>
  <si>
    <t>Ghost World</t>
  </si>
  <si>
    <t>House of Games</t>
  </si>
  <si>
    <t>Hunger Games, The</t>
  </si>
  <si>
    <t>Hunted, The</t>
  </si>
  <si>
    <t>I Am Legend</t>
  </si>
  <si>
    <t>I Love You, Man</t>
  </si>
  <si>
    <t>Imposter, The</t>
  </si>
  <si>
    <t>Invisible Guest, The</t>
  </si>
  <si>
    <t>Famly camp</t>
  </si>
  <si>
    <t>Lawrence of Arabia</t>
  </si>
  <si>
    <t>Lethal Weapon IV</t>
  </si>
  <si>
    <t>Little Mermaid, The</t>
  </si>
  <si>
    <t>My Best Friend's Wedding</t>
  </si>
  <si>
    <t>Never Been Kissed</t>
  </si>
  <si>
    <t>Nick &amp; Nora's Infinite Playlist</t>
  </si>
  <si>
    <t>Nixon</t>
  </si>
  <si>
    <t>O Brother, Where Art Thou?</t>
  </si>
  <si>
    <t>Ocean's Twelve</t>
  </si>
  <si>
    <t>Outsiders, The</t>
  </si>
  <si>
    <t>Lake Tahoe</t>
  </si>
  <si>
    <t>Rounders</t>
  </si>
  <si>
    <t>Salute</t>
  </si>
  <si>
    <t>School of Rock, The</t>
  </si>
  <si>
    <t>Searchers, The</t>
  </si>
  <si>
    <t>Shallow Grave</t>
  </si>
  <si>
    <t>Sherlock Holmes</t>
  </si>
  <si>
    <t>Singles</t>
  </si>
  <si>
    <t>Snake Eyes</t>
  </si>
  <si>
    <t>Something Ventured</t>
  </si>
  <si>
    <t>Sommersby</t>
  </si>
  <si>
    <t>Sound of Music, The</t>
  </si>
  <si>
    <t>Stranger Than Fiction</t>
  </si>
  <si>
    <t>Superbad</t>
  </si>
  <si>
    <t>Super 8</t>
  </si>
  <si>
    <t>Twelve Monkeys</t>
  </si>
  <si>
    <t>Two Weeks Notice</t>
  </si>
  <si>
    <t>Unlawful Entry</t>
  </si>
  <si>
    <t>Up Close &amp; Personal</t>
  </si>
  <si>
    <t>Waitress</t>
  </si>
  <si>
    <t>Walk Hard: The Dewey Cox Story</t>
  </si>
  <si>
    <t>What Happens in Vegas</t>
  </si>
  <si>
    <t>Whole Nine Yards, The</t>
  </si>
  <si>
    <t>Y Tu Mama Tambien</t>
  </si>
  <si>
    <t>Young Guns I</t>
  </si>
  <si>
    <t>Youngblood</t>
  </si>
  <si>
    <t>You've Got Mail</t>
  </si>
  <si>
    <t>2001: A Space Odyssey</t>
  </si>
  <si>
    <t>B-</t>
  </si>
  <si>
    <t>%</t>
  </si>
  <si>
    <t>6 Days and 7 Nights</t>
  </si>
  <si>
    <t>61*</t>
  </si>
  <si>
    <t>8 Mile</t>
  </si>
  <si>
    <t>Above the Law</t>
  </si>
  <si>
    <t>Absolute Power</t>
  </si>
  <si>
    <t>Abyss, The</t>
  </si>
  <si>
    <t>Ace Ventura I: Pet Detective</t>
  </si>
  <si>
    <t>Ace Ventura II: When Nature Calls</t>
  </si>
  <si>
    <t>All The Pretty Horses</t>
  </si>
  <si>
    <t>All The Right Moves</t>
  </si>
  <si>
    <t>Along Came a Spider</t>
  </si>
  <si>
    <t>Amazing Spider-Man 2, The</t>
  </si>
  <si>
    <t>American Pie II</t>
  </si>
  <si>
    <t>Apocalypse Now</t>
  </si>
  <si>
    <t>On-Demand PPV</t>
  </si>
  <si>
    <t>Arrival, The</t>
  </si>
  <si>
    <t>Assassins</t>
  </si>
  <si>
    <t>Avengers, The</t>
  </si>
  <si>
    <t>Bachelor Party</t>
  </si>
  <si>
    <t>Back to the Future III</t>
  </si>
  <si>
    <t>Bad Boys II</t>
  </si>
  <si>
    <t>Basketball Diaries, The</t>
  </si>
  <si>
    <t>Batman &amp; Robin</t>
  </si>
  <si>
    <t>Batteries Not Included</t>
  </si>
  <si>
    <t>Behind Enemy Lines</t>
  </si>
  <si>
    <t>Being John Malkovich</t>
  </si>
  <si>
    <t>Bernard and the Genie</t>
  </si>
  <si>
    <t>Beverly Hills Cop III</t>
  </si>
  <si>
    <t>Big Momma's House</t>
  </si>
  <si>
    <t>Big Trouble in Little China</t>
  </si>
  <si>
    <t>Bill and Ted's Excellent Adventure II</t>
  </si>
  <si>
    <t>Birdcage, The</t>
  </si>
  <si>
    <t>Black Widow</t>
  </si>
  <si>
    <t>Blade</t>
  </si>
  <si>
    <t>Bladerunner</t>
  </si>
  <si>
    <t>Blown Away</t>
  </si>
  <si>
    <t>Bourne Legacy, The</t>
  </si>
  <si>
    <t>Bring It On</t>
  </si>
  <si>
    <t>Bringing Down The House</t>
  </si>
  <si>
    <t>Broken Flowers</t>
  </si>
  <si>
    <t>SoCal</t>
  </si>
  <si>
    <t>Bulletproof</t>
  </si>
  <si>
    <t>Burbs, The</t>
  </si>
  <si>
    <t>Newark</t>
  </si>
  <si>
    <t>Casino</t>
  </si>
  <si>
    <t>Cast Away</t>
  </si>
  <si>
    <t>Chicken Run</t>
  </si>
  <si>
    <t>Child's Play</t>
  </si>
  <si>
    <t>City of Angels</t>
  </si>
  <si>
    <t>City Slickers II</t>
  </si>
  <si>
    <t>Class</t>
  </si>
  <si>
    <t>Clerks</t>
  </si>
  <si>
    <t>Coach Carter</t>
  </si>
  <si>
    <t>Coming to America</t>
  </si>
  <si>
    <t>Commitments, The</t>
  </si>
  <si>
    <t>Con Air</t>
  </si>
  <si>
    <t>Conspiracy Theory</t>
  </si>
  <si>
    <t>Cool Hand Luke</t>
  </si>
  <si>
    <t>Coyote Ugly</t>
  </si>
  <si>
    <t>Craft, The</t>
  </si>
  <si>
    <t>Crow, The</t>
  </si>
  <si>
    <t>Crying Game, The</t>
  </si>
  <si>
    <t>Cutting Edge, The</t>
  </si>
  <si>
    <t>Dances With Wolves</t>
  </si>
  <si>
    <t>Dangerous Minds</t>
  </si>
  <si>
    <t>Date Night</t>
  </si>
  <si>
    <t>DaVinci Code, The</t>
  </si>
  <si>
    <t>David Bowie: The Man Who Changed The World</t>
  </si>
  <si>
    <t>Days of Thunder</t>
  </si>
  <si>
    <t>Death Becomes Her</t>
  </si>
  <si>
    <t>Deuce Bigalow: Male Gigolo</t>
  </si>
  <si>
    <t>Devil's Own, The</t>
  </si>
  <si>
    <t>Diamonds Are Forever</t>
  </si>
  <si>
    <t>Die Hard III</t>
  </si>
  <si>
    <t>Doc Hollywood</t>
  </si>
  <si>
    <t>Don't Say a Word</t>
  </si>
  <si>
    <t>Double Jeopardy</t>
  </si>
  <si>
    <t>Dr T and the Women</t>
  </si>
  <si>
    <t>Drive</t>
  </si>
  <si>
    <t>Drive Me Crazy</t>
  </si>
  <si>
    <t>Eddie</t>
  </si>
  <si>
    <t>Empire Records</t>
  </si>
  <si>
    <t>Englishman Who Went Up a Mountain, The</t>
  </si>
  <si>
    <t>Ernest Goes to Camp</t>
  </si>
  <si>
    <t>Escape from L.A.</t>
  </si>
  <si>
    <t>Eurotrip</t>
  </si>
  <si>
    <t>Ever After</t>
  </si>
  <si>
    <t>Redwooc City</t>
  </si>
  <si>
    <t>Expendables, The</t>
  </si>
  <si>
    <t>Extreme Measures</t>
  </si>
  <si>
    <t>Family Business</t>
  </si>
  <si>
    <t>Fan, The</t>
  </si>
  <si>
    <t>Fast Time at Ridgemont High</t>
  </si>
  <si>
    <t>Father of the Bride II</t>
  </si>
  <si>
    <t>Father's Day</t>
  </si>
  <si>
    <t>Fear</t>
  </si>
  <si>
    <t>First Wives Club, The</t>
  </si>
  <si>
    <t>Fly, The</t>
  </si>
  <si>
    <t>For Love of the Game</t>
  </si>
  <si>
    <t>Frantic</t>
  </si>
  <si>
    <t>Free Willy</t>
  </si>
  <si>
    <t>Freeway</t>
  </si>
  <si>
    <t>G.I. Jane</t>
  </si>
  <si>
    <t>Golden Child, The</t>
  </si>
  <si>
    <t>Gone in 60 Seconds</t>
  </si>
  <si>
    <t>Good Morning Vietnam</t>
  </si>
  <si>
    <t>Gremlins II</t>
  </si>
  <si>
    <t>Grumpy Old Men</t>
  </si>
  <si>
    <t>Guess Who</t>
  </si>
  <si>
    <t>Hackers</t>
  </si>
  <si>
    <t>Halloween II</t>
  </si>
  <si>
    <t>Hannah and her Sisters</t>
  </si>
  <si>
    <t>He Got Game</t>
  </si>
  <si>
    <t>Heart of the Game, The</t>
  </si>
  <si>
    <t>Heathers</t>
  </si>
  <si>
    <t>Holiday, The</t>
  </si>
  <si>
    <t>Home Alone II</t>
  </si>
  <si>
    <t>Honey, I Blew Up the Kids</t>
  </si>
  <si>
    <t>Hook</t>
  </si>
  <si>
    <t>Hope Floats</t>
  </si>
  <si>
    <t>Horrible Bosses</t>
  </si>
  <si>
    <t>Hot Shots Part Deux</t>
  </si>
  <si>
    <t>House Party II</t>
  </si>
  <si>
    <t>Housesitter</t>
  </si>
  <si>
    <t>Hudsucker Proxy, The</t>
  </si>
  <si>
    <t>Hush</t>
  </si>
  <si>
    <t>I Now Pronounce You Chuck and Larry</t>
  </si>
  <si>
    <t>Inside Llewyn Davis</t>
  </si>
  <si>
    <t>Instinct</t>
  </si>
  <si>
    <t>Internal Affairs</t>
  </si>
  <si>
    <t>Iron Man 2</t>
  </si>
  <si>
    <t>Island, The</t>
  </si>
  <si>
    <t>Jackal, The</t>
  </si>
  <si>
    <t>Vancouver</t>
  </si>
  <si>
    <t>Jewel of the Nile, The</t>
  </si>
  <si>
    <t>Joe Strummer: The Future is Unwritten</t>
  </si>
  <si>
    <t>Joe Versus the Volcano</t>
  </si>
  <si>
    <t>Junebug</t>
  </si>
  <si>
    <t>Jungle Fever</t>
  </si>
  <si>
    <t>Junior</t>
  </si>
  <si>
    <t>Kalifornia</t>
  </si>
  <si>
    <t>Karate Kid II, The</t>
  </si>
  <si>
    <t>Karate Kid III, The</t>
  </si>
  <si>
    <t>Kickboxer</t>
  </si>
  <si>
    <t>Kill Bill: Volume 1</t>
  </si>
  <si>
    <t>Kiss of Death</t>
  </si>
  <si>
    <t>Kiss the Girls</t>
  </si>
  <si>
    <t>Knight &amp; Day</t>
  </si>
  <si>
    <t>L.A. Story</t>
  </si>
  <si>
    <t>Last Action Hero</t>
  </si>
  <si>
    <t>Layer Cake</t>
  </si>
  <si>
    <t>Legend of Bagger Vance, The</t>
  </si>
  <si>
    <t>Lionheart</t>
  </si>
  <si>
    <t>Little Women</t>
  </si>
  <si>
    <t>Living Daylights, The</t>
  </si>
  <si>
    <t>Look Whose Talking II</t>
  </si>
  <si>
    <t>Looper</t>
  </si>
  <si>
    <t>Made In America</t>
  </si>
  <si>
    <t>Maid in Manhattan</t>
  </si>
  <si>
    <t>Majestic, The</t>
  </si>
  <si>
    <t>Manchurian Candidate, The (2004)</t>
  </si>
  <si>
    <t>Margin Call</t>
  </si>
  <si>
    <t>Marked for Death</t>
  </si>
  <si>
    <t>Mask, The</t>
  </si>
  <si>
    <t>Matrix II, The</t>
  </si>
  <si>
    <t>Maverick</t>
  </si>
  <si>
    <t>Maxed Out</t>
  </si>
  <si>
    <t>Men At Work</t>
  </si>
  <si>
    <t>Menace II Society</t>
  </si>
  <si>
    <t>Miami Vice</t>
  </si>
  <si>
    <t>Michael Jackson's This is It</t>
  </si>
  <si>
    <t>Mickey Blue Eyes</t>
  </si>
  <si>
    <t>Mighty Ducks, The</t>
  </si>
  <si>
    <t>Mission Impossible II</t>
  </si>
  <si>
    <t>Murder at 1600</t>
  </si>
  <si>
    <t>My Girl</t>
  </si>
  <si>
    <t>Mystic Pizza</t>
  </si>
  <si>
    <t>Naked Gun 33 1/3</t>
  </si>
  <si>
    <t>National Lampoon's Christmas Vacation</t>
  </si>
  <si>
    <t>Necessary Roughness</t>
  </si>
  <si>
    <t>Negotiator, The</t>
  </si>
  <si>
    <t>Net, The</t>
  </si>
  <si>
    <t>Nightmare on Elm St II</t>
  </si>
  <si>
    <t>Nobody's Fool</t>
  </si>
  <si>
    <t>Nothing to Lose</t>
  </si>
  <si>
    <t>Nutty Professor II, The</t>
  </si>
  <si>
    <t>One Crazy Summer</t>
  </si>
  <si>
    <t>One Fine Day</t>
  </si>
  <si>
    <t>One Wild Night (Career Opportunities)</t>
  </si>
  <si>
    <t>Pacific Heights</t>
  </si>
  <si>
    <t>Pan's Labyrinth</t>
  </si>
  <si>
    <t>Paradise Motel</t>
  </si>
  <si>
    <t>Payback</t>
  </si>
  <si>
    <t>Peacemaker, The</t>
  </si>
  <si>
    <t>Plains, Trains, and Automobiles</t>
  </si>
  <si>
    <t>Poison Ivy</t>
  </si>
  <si>
    <t>Police Academy II</t>
  </si>
  <si>
    <t>Police Academy III</t>
  </si>
  <si>
    <t>Police Academy IV</t>
  </si>
  <si>
    <t>Porky's III</t>
  </si>
  <si>
    <t>Prayer of the Rollerboys</t>
  </si>
  <si>
    <t>Predator</t>
  </si>
  <si>
    <t>Prime</t>
  </si>
  <si>
    <t>Priscilla, Queen of the Desert</t>
  </si>
  <si>
    <t>Proof of Life</t>
  </si>
  <si>
    <t>Psycho</t>
  </si>
  <si>
    <t>Pump Up the Volume</t>
  </si>
  <si>
    <t>Pump Up The Volume</t>
  </si>
  <si>
    <t>Punchline</t>
  </si>
  <si>
    <t>Pushing Tin</t>
  </si>
  <si>
    <t>Ratatouille</t>
  </si>
  <si>
    <t>Raw Deal</t>
  </si>
  <si>
    <t>Red Heat</t>
  </si>
  <si>
    <t>Renaissance Man</t>
  </si>
  <si>
    <t>Reservoir Dogs</t>
  </si>
  <si>
    <t>Ricochet</t>
  </si>
  <si>
    <t>Riding Giants</t>
  </si>
  <si>
    <t>Riding in Cars with Boys</t>
  </si>
  <si>
    <t>Road Trip</t>
  </si>
  <si>
    <t>Rocky Balboa</t>
  </si>
  <si>
    <t>Rocky V</t>
  </si>
  <si>
    <t>Rookie of the Year</t>
  </si>
  <si>
    <t>Rumor Has It</t>
  </si>
  <si>
    <t>Runaway Bride</t>
  </si>
  <si>
    <t>Rush Hour</t>
  </si>
  <si>
    <t>Russia House, The</t>
  </si>
  <si>
    <t>Score, The</t>
  </si>
  <si>
    <t>Scream II</t>
  </si>
  <si>
    <t>Scream III</t>
  </si>
  <si>
    <t>Seven</t>
  </si>
  <si>
    <t>She's All That</t>
  </si>
  <si>
    <t>Shining, The</t>
  </si>
  <si>
    <t>Shopgirl</t>
  </si>
  <si>
    <t>Shrek The Third</t>
  </si>
  <si>
    <t>D.C.</t>
  </si>
  <si>
    <t>Siege, The</t>
  </si>
  <si>
    <t>Simple Plan, A</t>
  </si>
  <si>
    <t>Single White Female</t>
  </si>
  <si>
    <t>Sleepwalk with Me</t>
  </si>
  <si>
    <t>Sliding Doors</t>
  </si>
  <si>
    <t>Sliver</t>
  </si>
  <si>
    <t>Sneakers</t>
  </si>
  <si>
    <t>Space Cowboys</t>
  </si>
  <si>
    <t>Specialist, The</t>
  </si>
  <si>
    <t>Stakeout II</t>
  </si>
  <si>
    <t>Star Wars IV (new film #1)</t>
  </si>
  <si>
    <t>Star Wars V: (new film #2)</t>
  </si>
  <si>
    <t>Star Wars VI: (new film #3)</t>
  </si>
  <si>
    <t>Starsky &amp; Hutch</t>
  </si>
  <si>
    <t>Staying Alive</t>
  </si>
  <si>
    <t>Striking Distance</t>
  </si>
  <si>
    <t>Substitute, The</t>
  </si>
  <si>
    <t>Sum of All Fears, The</t>
  </si>
  <si>
    <t>Summer School</t>
  </si>
  <si>
    <t>Swordfish</t>
  </si>
  <si>
    <t>Netlix</t>
  </si>
  <si>
    <t>Tailor of Panama, The</t>
  </si>
  <si>
    <t>Talladega Nights: The Legend of Ricky Bobby</t>
  </si>
  <si>
    <t>Teenage Mutant Ninja Turtles</t>
  </si>
  <si>
    <t>That Thing You Do</t>
  </si>
  <si>
    <t>Things to Do in Denver When You're Dead</t>
  </si>
  <si>
    <t>This Is The End</t>
  </si>
  <si>
    <t>Throw Momma From the Train</t>
  </si>
  <si>
    <t>Titanic</t>
  </si>
  <si>
    <t>To Do List, The</t>
  </si>
  <si>
    <t>Total Rebuild</t>
  </si>
  <si>
    <t>Tough Guys</t>
  </si>
  <si>
    <t>Trespass</t>
  </si>
  <si>
    <t>U.S. Marshals</t>
  </si>
  <si>
    <t>Unbreakable</t>
  </si>
  <si>
    <t>Unfrosted</t>
  </si>
  <si>
    <t>Universal Soldier</t>
  </si>
  <si>
    <t>Van Wilder 2: The Rise of Taj</t>
  </si>
  <si>
    <t>Vanishing, The</t>
  </si>
  <si>
    <t>Vice Versa</t>
  </si>
  <si>
    <t>Volcano</t>
  </si>
  <si>
    <t>Waiting for Superman</t>
  </si>
  <si>
    <t>War Games</t>
  </si>
  <si>
    <t>Waterworld</t>
  </si>
  <si>
    <t>Wayne's World II</t>
  </si>
  <si>
    <t>Wedding Crashers</t>
  </si>
  <si>
    <t>What Dreams May Come</t>
  </si>
  <si>
    <t>What Women Want</t>
  </si>
  <si>
    <t>White Chicks</t>
  </si>
  <si>
    <t>PPV</t>
  </si>
  <si>
    <t>White Squall</t>
  </si>
  <si>
    <t>Why We Fight</t>
  </si>
  <si>
    <t>Wildcats</t>
  </si>
  <si>
    <t>Winged Migration</t>
  </si>
  <si>
    <t>Word Wars</t>
  </si>
  <si>
    <t>World is Not Enough, The</t>
  </si>
  <si>
    <t>X-Men : The Last Stand</t>
  </si>
  <si>
    <t>XXX</t>
  </si>
  <si>
    <t>Croatia</t>
  </si>
  <si>
    <t>A Lot Like Love</t>
  </si>
  <si>
    <t>C+/B-</t>
  </si>
  <si>
    <t>Autumn in New York</t>
  </si>
  <si>
    <t>Beverly Hills Ninja</t>
  </si>
  <si>
    <t>Disne Plus</t>
  </si>
  <si>
    <t>Bling Ring, The</t>
  </si>
  <si>
    <t>Forces of Nature</t>
  </si>
  <si>
    <t>Girl Next Door, The</t>
  </si>
  <si>
    <t>Grand, The</t>
  </si>
  <si>
    <t>Guardian, The</t>
  </si>
  <si>
    <t>Hot Chick, The</t>
  </si>
  <si>
    <t>How to Lose a Guy in 10 Days</t>
  </si>
  <si>
    <t>Jarhead</t>
  </si>
  <si>
    <t>Jobs</t>
  </si>
  <si>
    <t>John Tucker Must Die</t>
  </si>
  <si>
    <t>Made of Honor</t>
  </si>
  <si>
    <t>Pirates of the Caribbean 2: Dead Man's Chest</t>
  </si>
  <si>
    <t>Red Eye</t>
  </si>
  <si>
    <t>Short Circuit II</t>
  </si>
  <si>
    <t>Something to Talk About</t>
  </si>
  <si>
    <t>Valkyrie</t>
  </si>
  <si>
    <t>You Only Live Twice</t>
  </si>
  <si>
    <t>C+</t>
  </si>
  <si>
    <t>Anchorman 2: The Legend Continues</t>
  </si>
  <si>
    <t>Baby Mama</t>
  </si>
  <si>
    <t>Bad Teacher</t>
  </si>
  <si>
    <t>Barbarians At The Gate</t>
  </si>
  <si>
    <t>Breakup, The</t>
  </si>
  <si>
    <t>Bridesmaids</t>
  </si>
  <si>
    <t>Cable Guy</t>
  </si>
  <si>
    <t>Catch and Release</t>
  </si>
  <si>
    <t>Charlies's Angels II</t>
  </si>
  <si>
    <t>Chase, The</t>
  </si>
  <si>
    <t>Citizen Kane</t>
  </si>
  <si>
    <t>Color of Night</t>
  </si>
  <si>
    <t>Confessions of a Superhero</t>
  </si>
  <si>
    <t>Cyborg</t>
  </si>
  <si>
    <t>Dave Chappelle's Block Party</t>
  </si>
  <si>
    <t>Dinner for Schmucks</t>
  </si>
  <si>
    <t>Divergent</t>
  </si>
  <si>
    <t>Double Impact</t>
  </si>
  <si>
    <t>Drop Dead Fred</t>
  </si>
  <si>
    <t>Face Off</t>
  </si>
  <si>
    <t>Fracture</t>
  </si>
  <si>
    <t>Get Him to the Greek</t>
  </si>
  <si>
    <t>Ghostbusters II</t>
  </si>
  <si>
    <t>Goal</t>
  </si>
  <si>
    <t>Goods, The</t>
  </si>
  <si>
    <t>Hall Pass</t>
  </si>
  <si>
    <t>Nefflix</t>
  </si>
  <si>
    <t>Howard The Duck</t>
  </si>
  <si>
    <t>Hudson Hawk</t>
  </si>
  <si>
    <t>Incredible Hulk, The</t>
  </si>
  <si>
    <t>Jaws IV</t>
  </si>
  <si>
    <t>Lars and the Real Girl</t>
  </si>
  <si>
    <t>Last Chance Harvey</t>
  </si>
  <si>
    <t>Little Shop of Horrors</t>
  </si>
  <si>
    <t>Major League III</t>
  </si>
  <si>
    <t>Matrix III, The</t>
  </si>
  <si>
    <t>Matrix, The</t>
  </si>
  <si>
    <t xml:space="preserve">Netflix
</t>
  </si>
  <si>
    <t>Nick of Time</t>
  </si>
  <si>
    <t>Night at the Museum</t>
  </si>
  <si>
    <t>No Strings Attached</t>
  </si>
  <si>
    <t>Out for Justice</t>
  </si>
  <si>
    <t>Proposal, The</t>
  </si>
  <si>
    <t>Recruit, The</t>
  </si>
  <si>
    <t>Rock of Ages</t>
  </si>
  <si>
    <t>Save The Last Dance</t>
  </si>
  <si>
    <t>Apple TV</t>
  </si>
  <si>
    <t>Sentinel, The</t>
  </si>
  <si>
    <t>Sixteen Candles</t>
  </si>
  <si>
    <t>Stop! Or My Mom Will Shoot</t>
  </si>
  <si>
    <t>Supergirl</t>
  </si>
  <si>
    <t>Superman IV</t>
  </si>
  <si>
    <t>Ted</t>
  </si>
  <si>
    <t>Peninsual</t>
  </si>
  <si>
    <t>Terminal Velocity</t>
  </si>
  <si>
    <t>Three Men and a Little Lady</t>
  </si>
  <si>
    <t>Too Big To Fail</t>
  </si>
  <si>
    <t>Trading Places</t>
  </si>
  <si>
    <t>Transformers</t>
  </si>
  <si>
    <t>Twenty One</t>
  </si>
  <si>
    <t>Vanilla Sky</t>
  </si>
  <si>
    <t>Victory</t>
  </si>
  <si>
    <t>W.</t>
  </si>
  <si>
    <t>Wall St 2: Money Never Sleeps</t>
  </si>
  <si>
    <t>Wind</t>
  </si>
  <si>
    <t>Wizard, The</t>
  </si>
  <si>
    <t>You, Me, and Dupree</t>
  </si>
  <si>
    <t>Akeelah &amp; the Bee</t>
  </si>
  <si>
    <t>C/C+</t>
  </si>
  <si>
    <t>American Pie IV: American Wedding</t>
  </si>
  <si>
    <t>Bridget Jones: Edge of Reason</t>
  </si>
  <si>
    <t>Invention of Lying, The</t>
  </si>
  <si>
    <t>Must Love Dogs</t>
  </si>
  <si>
    <t>Pirates of the Caribbean 3: At World's End</t>
  </si>
  <si>
    <t>Serendipidity</t>
  </si>
  <si>
    <t>Sin City</t>
  </si>
  <si>
    <t>C</t>
  </si>
  <si>
    <t>A Good Year</t>
  </si>
  <si>
    <t>American Pie III</t>
  </si>
  <si>
    <t>Barbed Wire</t>
  </si>
  <si>
    <t>Closer</t>
  </si>
  <si>
    <t>Cooler, The</t>
  </si>
  <si>
    <t>Dark Crystal, The</t>
  </si>
  <si>
    <t>Darkman</t>
  </si>
  <si>
    <t>Daylight</t>
  </si>
  <si>
    <t>Did You Hear About The Morgans</t>
  </si>
  <si>
    <t>Family Stone, The</t>
  </si>
  <si>
    <t>Fantastic Four</t>
  </si>
  <si>
    <t>Fight Club</t>
  </si>
  <si>
    <t>Flight Plan</t>
  </si>
  <si>
    <t>Ghost Rider</t>
  </si>
  <si>
    <t>Halloween III</t>
  </si>
  <si>
    <t>Heartbreak Kid, The</t>
  </si>
  <si>
    <t>Hot Tub Time Machine</t>
  </si>
  <si>
    <t>Intolerable Cruelty</t>
  </si>
  <si>
    <t>Message in a Bottle</t>
  </si>
  <si>
    <t>Natural Born Killers</t>
  </si>
  <si>
    <t>Nightmare on Elm St III</t>
  </si>
  <si>
    <t>Nightmare on Elm St IV</t>
  </si>
  <si>
    <t>Nightmare on Elm St V</t>
  </si>
  <si>
    <t>Oscar</t>
  </si>
  <si>
    <t>Semi-Pro</t>
  </si>
  <si>
    <t>Universal Soldier: The Return</t>
  </si>
  <si>
    <t>Valentine's Day</t>
  </si>
  <si>
    <t>Vertigo</t>
  </si>
  <si>
    <t>Wimbledon</t>
  </si>
  <si>
    <t>Man of Steel</t>
  </si>
  <si>
    <t>C-</t>
  </si>
  <si>
    <t>Bend It Like Beckham</t>
  </si>
  <si>
    <t>Bobby</t>
  </si>
  <si>
    <t>Fun with Dick &amp; Jane</t>
  </si>
  <si>
    <t>Hollywood Homicide</t>
  </si>
  <si>
    <t xml:space="preserve">Amazon Prime
</t>
  </si>
  <si>
    <t>Superman III</t>
  </si>
  <si>
    <t>Teen Wolf II</t>
  </si>
  <si>
    <t>Unstoppable</t>
  </si>
  <si>
    <t>Elektra</t>
  </si>
  <si>
    <t>D+</t>
  </si>
  <si>
    <t>40 Days and 40 Nights</t>
  </si>
  <si>
    <t>D</t>
  </si>
  <si>
    <t>Ex, The</t>
  </si>
  <si>
    <t>Hancock</t>
  </si>
  <si>
    <t>Jaws III</t>
  </si>
  <si>
    <t>My Super Ex-Girlfriend</t>
  </si>
  <si>
    <t>New Zeal</t>
  </si>
  <si>
    <t>Total Average:</t>
  </si>
  <si>
    <t>Total Films:</t>
  </si>
  <si>
    <t>Pre-2006 Films</t>
  </si>
  <si>
    <t xml:space="preserve">AFI Top 100: </t>
  </si>
  <si>
    <t>AFI Top 100 List</t>
  </si>
  <si>
    <t>Seen</t>
  </si>
  <si>
    <t>Rank</t>
  </si>
  <si>
    <t>1. CITIZEN KANE (1941)</t>
  </si>
  <si>
    <t>Yes</t>
  </si>
  <si>
    <t>2. CASABLANCA (1942)</t>
  </si>
  <si>
    <t>3. THE GODFATHER (1972)</t>
  </si>
  <si>
    <t>4. GONE WITH THE WIND (1939)</t>
  </si>
  <si>
    <t>5. LAWRENCE OF ARABIA (1962)</t>
  </si>
  <si>
    <t>6. THE WIZARD OF OZ (1939)</t>
  </si>
  <si>
    <t>7. THE GRADUATE (1967)</t>
  </si>
  <si>
    <t>8. ON THE WATERFRONT (19)</t>
  </si>
  <si>
    <t>9. SCHINDLER'S LIST (1993)</t>
  </si>
  <si>
    <t>11. IT'S A WONDERFUL LIFE (1946)</t>
  </si>
  <si>
    <t>12. SUNSET BOULEVARD (1950)</t>
  </si>
  <si>
    <t>13. THE BRIDGE ON THE RIVER KWAI (1957)</t>
  </si>
  <si>
    <t>14. SOME LIKE IT HOT (1959)</t>
  </si>
  <si>
    <t>15. STAR WARS (1977)</t>
  </si>
  <si>
    <t>16. ALL ABOUT EVE (1950)</t>
  </si>
  <si>
    <t>17. THE AFRICAN QUEEN (1951)</t>
  </si>
  <si>
    <t>18. PSYCHO (1960)</t>
  </si>
  <si>
    <t>19. CHINATOWN (1974)</t>
  </si>
  <si>
    <t>20. ONE FLEW OVER THE CUCKOO'S NEST (1975)</t>
  </si>
  <si>
    <t>21. THE GRAPES OF WRATH (1940)</t>
  </si>
  <si>
    <t>22. 2001: A SPACE ODYSSEY (1968)</t>
  </si>
  <si>
    <t>23. THE MALTESE FALCON (1941)</t>
  </si>
  <si>
    <t>24. RAGING BULL (1980)</t>
  </si>
  <si>
    <t>25. E.T. THE EXTRA-TERRESTRIAL (1982)</t>
  </si>
  <si>
    <t>26. DR. STRANGELOVE (1964)</t>
  </si>
  <si>
    <t>27. BONNIE AND CLYDE (1967)</t>
  </si>
  <si>
    <t>28. APOCALYPSE NOW (1979)</t>
  </si>
  <si>
    <t>29. MR. SMITH GOES TO WASHINGTON (1939)</t>
  </si>
  <si>
    <t>31. ANNIE HALL (1977)</t>
  </si>
  <si>
    <t>32. THE GODFATHER PART II (1974)</t>
  </si>
  <si>
    <t>33. HIGH NOON (1952)</t>
  </si>
  <si>
    <t>34. TO KILL A MOCKINGBIRD (1962)</t>
  </si>
  <si>
    <t>35. IT HAPPENED ONE NIGHT (1934)</t>
  </si>
  <si>
    <t>36. MIDNIGHT COWBOY (1969)</t>
  </si>
  <si>
    <t>38. DOUBLE INDEMNITY (1944)</t>
  </si>
  <si>
    <t>39. DOCTOR ZHIVAGO (1965)</t>
  </si>
  <si>
    <t>40. NORTH BY NORTHWEST (1959)</t>
  </si>
  <si>
    <t>41. WEST SIDE STORY (1961)</t>
  </si>
  <si>
    <t>42. REAR WINDOW (19)</t>
  </si>
  <si>
    <t>45. A STCAR NAMED DESIRE (1951)</t>
  </si>
  <si>
    <t>46. A CLOCKWORK ORANGE (1971)</t>
  </si>
  <si>
    <t>47. TAXI DRIVER (1976)</t>
  </si>
  <si>
    <t>48. JAWS (1975)</t>
  </si>
  <si>
    <t>49. SNOW WHITE AND THE SEVEN DWARFS (1937)</t>
  </si>
  <si>
    <t>50. BUTCH CASSIDY AND THE SUNDANCE KID (1969)</t>
  </si>
  <si>
    <t>51. THE PHILADELPHIA STORY (1940)</t>
  </si>
  <si>
    <t>52. FROM HERE TO ETERNITY (1953)</t>
  </si>
  <si>
    <t>53. AMADEUS (1984)</t>
  </si>
  <si>
    <t>55. THE SOUND OF MUSIC (1965)</t>
  </si>
  <si>
    <t>56. M*A*S*H (1970)</t>
  </si>
  <si>
    <t>57. THE THIRD MAN (1949)</t>
  </si>
  <si>
    <t>58. FANTASIA (1940)</t>
  </si>
  <si>
    <t>59. REBEL WITHOUT A CAUSE (1955)</t>
  </si>
  <si>
    <t>60. RAIDERS OF THE LOST ARK (1981)</t>
  </si>
  <si>
    <t>61. VERTIGO (1958)</t>
  </si>
  <si>
    <t>62. TOOTSIE (1982)</t>
  </si>
  <si>
    <t>64. CLOSE ENCOUNTERS OF THE THIRD KIND (1977)</t>
  </si>
  <si>
    <t>65. THE SILENCE OF THE LAMBS (1991)</t>
  </si>
  <si>
    <t>66. NETWORK (1976)</t>
  </si>
  <si>
    <t>67. THE MANCHURIAN CANDIDATE (1962)</t>
  </si>
  <si>
    <t>70. THE FRENCH CONNECTION (1971)</t>
  </si>
  <si>
    <t>71. FORREST GUMP (1994)</t>
  </si>
  <si>
    <t>75. DANCES WITH WOLVES (1990)</t>
  </si>
  <si>
    <t>77. AMERICAN GRAFFITI (1973)</t>
  </si>
  <si>
    <t>78. ROCKY (1976)</t>
  </si>
  <si>
    <t>79. THE DEER HUNTER (1978)</t>
  </si>
  <si>
    <t>80. THE WILD BUNCH (1969)</t>
  </si>
  <si>
    <t>83. PLATOON (1986)</t>
  </si>
  <si>
    <t>84. FARGO (1996)</t>
  </si>
  <si>
    <t>88. EASY RIDER (1969)</t>
  </si>
  <si>
    <t>89. PATTON (1970)</t>
  </si>
  <si>
    <t>91. MY FAIR LADY (1964)</t>
  </si>
  <si>
    <t>93. THE APARTMENT (1960)</t>
  </si>
  <si>
    <t>94. GOODFELLAS (1990)</t>
  </si>
  <si>
    <t>95. PULP FICTION (1994)</t>
  </si>
  <si>
    <t>96. THE SEARCHERS (1956)</t>
  </si>
  <si>
    <t>98. UNFORGIVEN (1992)</t>
  </si>
  <si>
    <t>10. SINGIN' IN THE RAIN (1952)</t>
  </si>
  <si>
    <t>No</t>
  </si>
  <si>
    <t>30. THE TREASURE OF THE SIERRA MADRE (1948)</t>
  </si>
  <si>
    <t>37. THE BEST YEARS OF OUR LIVES (1946)</t>
  </si>
  <si>
    <t>43. KING KONG (1933)</t>
  </si>
  <si>
    <t>44. THE BIRTH OF A NATION (1915)</t>
  </si>
  <si>
    <t>. ALL QUIET ON THE WESTERN FRONT (1930)</t>
  </si>
  <si>
    <t>63. STAGECOACH (1939)</t>
  </si>
  <si>
    <t>68. AN AMERICAN IN PARIS (1951)</t>
  </si>
  <si>
    <t>69. SHANE (1953)</t>
  </si>
  <si>
    <t>72. BEN-HUR (1959)</t>
  </si>
  <si>
    <t>73. WUTHERING HEIGHTS (1939)</t>
  </si>
  <si>
    <t>74. THE GOLD RUSH (1925)</t>
  </si>
  <si>
    <t>76. CITY LIGHTS (1931)</t>
  </si>
  <si>
    <t>81. MODERN TIMES (1936)</t>
  </si>
  <si>
    <t>82. GIANT (1956)</t>
  </si>
  <si>
    <t>85. DUCK SOUP (1933)</t>
  </si>
  <si>
    <t>86. MUTINY ON THE BOUNTY (1935)</t>
  </si>
  <si>
    <t>87. FRANKENSTEIN (1931)</t>
  </si>
  <si>
    <t>90. THE JAZZ SINGER (1927)</t>
  </si>
  <si>
    <t>92. A PLACE IN THE SUN (1951)</t>
  </si>
  <si>
    <t>97. BRINGING UP BABY (1938)</t>
  </si>
  <si>
    <t>99. GUESS WHO'S COMING TO DINNER (1967)</t>
  </si>
  <si>
    <t>100. YANKEE DOODLE DANDY (1942)</t>
  </si>
  <si>
    <t>"</t>
  </si>
  <si>
    <t>Date Read</t>
  </si>
  <si>
    <t>Book Name</t>
  </si>
  <si>
    <t>Author</t>
  </si>
  <si>
    <t>Details &amp; Commentary</t>
  </si>
  <si>
    <t>Type</t>
  </si>
  <si>
    <t>Pages</t>
  </si>
  <si>
    <t>Form</t>
  </si>
  <si>
    <t>Notes in Notion</t>
  </si>
  <si>
    <t>Wolfe, Tom</t>
  </si>
  <si>
    <t>Fighter pilots and space race - 1950s: love Tom Wolfe's style + love element of competition blended with much broader societal change</t>
  </si>
  <si>
    <t>NF/SOC</t>
  </si>
  <si>
    <t>Book</t>
  </si>
  <si>
    <t>NO</t>
  </si>
  <si>
    <t>Amateurs, The</t>
  </si>
  <si>
    <t>Halberstam, David</t>
  </si>
  <si>
    <t>4 rowers trying to make 1984 Olympics in single scull; David Halberstam is brilliant writer and I first read while I was maniacally into rowing</t>
  </si>
  <si>
    <t>NF/SPORT</t>
  </si>
  <si>
    <t>A Civil Action</t>
  </si>
  <si>
    <t>Harr, Jonathan</t>
  </si>
  <si>
    <t>W.R. Grace and Beatrice Foods and Dumping; don't let "OK" John Travolta film turn you off from tremendous book</t>
  </si>
  <si>
    <t>Animal Farm</t>
  </si>
  <si>
    <t>Orwell, George</t>
  </si>
  <si>
    <t>Napoleon (Stalin), Snowball (Trotsky) and Russian revolution; succeeds on both story and societal level</t>
  </si>
  <si>
    <t>FICT</t>
  </si>
  <si>
    <t>Ethan Frome</t>
  </si>
  <si>
    <t>Wharton, Edith</t>
  </si>
  <si>
    <t>New Zealand set story of marital challenges</t>
  </si>
  <si>
    <t>Gold in the Water: The True Story of Ordinary Men and their Extraordinary Dream of Olympic Glory</t>
  </si>
  <si>
    <t>Mullen, P.H.</t>
  </si>
  <si>
    <t>Santa Clara/Stanford Swimmers preparing for 2000 Olympic Games: blend of inspiring &amp; thrilling 
[Note: I love swimming + know some of the swimmers so I'm a biased audience]</t>
  </si>
  <si>
    <t>Seven Habits of Highly Effective People, The</t>
  </si>
  <si>
    <t>Covey, Stephen</t>
  </si>
  <si>
    <t>Extremely interesting high-level assessment of how to define core principles, set/achieve goals</t>
  </si>
  <si>
    <t>Confessions of an Advertising Man</t>
  </si>
  <si>
    <t>Ogilvy, David</t>
  </si>
  <si>
    <t>Brilliant: read straight through in one late night sitting. Pithy observations about client services, character, business in general, and, of course, advertising. That it's 50 years old only makes it more powerful. Special book that I'll be returning regularly to for counsel</t>
  </si>
  <si>
    <t>NF/BUSIN</t>
  </si>
  <si>
    <t>Conscious Business: How to Build Value Through Values</t>
  </si>
  <si>
    <t>Kofman, Fred</t>
  </si>
  <si>
    <t>Extremely thought-provoking take on values and philosophy ranging from high-level to very tactical; need to reread again - lots of ideas to consider</t>
  </si>
  <si>
    <t>Kindle</t>
  </si>
  <si>
    <t>YES</t>
  </si>
  <si>
    <t>Sunim, Haemin</t>
  </si>
  <si>
    <t>South Koren Monk blending buddhism, meditation, common sense: maybe I read at a particularly receptive time, but numerous examples of "obvious" observations after the fact, just felt so wise and common-sense [recommend the paper version, a few illustrations]</t>
  </si>
  <si>
    <t>Bonfire of the Vanities, The</t>
  </si>
  <si>
    <t>1980s Wall Street bond trading &amp; excess from author with perhaps my single favourite writing style</t>
  </si>
  <si>
    <t>Death of a Salesman</t>
  </si>
  <si>
    <t>Miller, Arthur</t>
  </si>
  <si>
    <t>Willy Loman in 1949 classic</t>
  </si>
  <si>
    <t>Lee, Harper</t>
  </si>
  <si>
    <t>Boo Radley, Scout, Jem and Atticus Finch: like everybody else has, I greatly enjoyed</t>
  </si>
  <si>
    <t>Harry Potter and the Chamber of Secrets</t>
  </si>
  <si>
    <t xml:space="preserve">Rowling, J.K. </t>
  </si>
  <si>
    <t>HP 2  with a focus onTom Riddle; much better vs. HP 1</t>
  </si>
  <si>
    <t>Freakonomics</t>
  </si>
  <si>
    <t>Levitt, Steven &amp; Dubner, Stephen</t>
  </si>
  <si>
    <t>Abortion as crime deterrent, crack gangs, cheating; Data-driven explanation for social phenomena in an easy-to-read package, one of the first behavioral economics book before the flood begun</t>
  </si>
  <si>
    <t>Rowling, J.K.</t>
  </si>
  <si>
    <t>Horcruxes, Ginny-Harry, and Dumbledore's Death (spoiler alert!!) as the series gets a lot darker and deeper</t>
  </si>
  <si>
    <t>Ender's Shadow</t>
  </si>
  <si>
    <t>Card, Orson Scott</t>
  </si>
  <si>
    <t>"Ender's Game" from the perspective of Bean; Gripping &amp; interesting throughout; to me, better than EG</t>
  </si>
  <si>
    <t>Saturday</t>
  </si>
  <si>
    <t>McEwan, Ian</t>
  </si>
  <si>
    <t>1-day in the life of 48-year-old Londoner neurosurgeon; Extremely interesting throughout with overtones of aging, family, fear, and work-life perspective; Unusually strong first two-thirds</t>
  </si>
  <si>
    <t>Innovator's Solution, The: Creating and Sustaining Successful Growth</t>
  </si>
  <si>
    <t>Christensen, Clayton and Raynor, Michael</t>
  </si>
  <si>
    <t>Much more readable vs. Dilemma; Genuinely insightful throughout with numerous new theories</t>
  </si>
  <si>
    <t>Super Crunchers</t>
  </si>
  <si>
    <t>Ayres, Ian</t>
  </si>
  <si>
    <t>Using massive data sets to drive decision-making; Regression, randomization etc.; Very readable and interesting (probably very dated given 2007)</t>
  </si>
  <si>
    <t>Into the Wild</t>
  </si>
  <si>
    <t>Krakauer, John</t>
  </si>
  <si>
    <t>Chris McCandless as Alexander Supertramp trekking into Alaska; Entertaining and thought provoking throughout: resonated, particularly combined with film and amazing soundtrack</t>
  </si>
  <si>
    <t>NON-FICT</t>
  </si>
  <si>
    <t>Post-American World, The</t>
  </si>
  <si>
    <t>Zakaria, Fareed</t>
  </si>
  <si>
    <t>Insightful and concise account of U.S. in 2008; U.S. vs. Britain a century before and in-depth examination of India and China particularly strong; Favourite of these types of economics meets politics accounts</t>
  </si>
  <si>
    <t>Amsterdam</t>
  </si>
  <si>
    <t xml:space="preserve">Saturday-like account read-in-one-sitting of aging, euthanasia, achievement and friendship; superb for about 4/5 with ending similar to "Saturday" that slightly tarnishes, but remains excellent overall </t>
  </si>
  <si>
    <t>Kite Runner, The</t>
  </si>
  <si>
    <t>Hosseini, Khaled</t>
  </si>
  <si>
    <t>Really excellent - incredibly gripping and emotive, if not always pleasant</t>
  </si>
  <si>
    <t>Race Against The Machine: How the Digital Revolution is Accelerating Innovation, Driving Productivity, and Irreversibly Transforming Employment and the Economy</t>
  </si>
  <si>
    <t>Brynjolfsson, Erik &amp; McAfee, Andy</t>
  </si>
  <si>
    <t>Short and really compelling take on technology limiting economic opportunity to upper tiers; unusually compelling</t>
  </si>
  <si>
    <t>Knight, Phil</t>
  </si>
  <si>
    <t>Nike from early 1960s to about 1980; really compelling and candid story of building from literally nothing; probably best entrepreneurial story I've read in long-form; wish he'd write1980-2016</t>
  </si>
  <si>
    <t>Audible</t>
  </si>
  <si>
    <t>Rosenberg, Marshall</t>
  </si>
  <si>
    <t xml:space="preserve">Really thought-provoking listen (read) across how to communicate from a place of underlying needs; pretty foundational way of reframing communication and philosophy around what makes each of us alive. Author's tone in Audibile is 25% of the value, his voice was just so calming :) 
Read physical book as well in early 2020, major lesson is to use a 4-step loop:
4 steps when communicating and interpreting what others are communicating:
1) OBSERVE (NOT Evaluate): when I see you do X...
2) FEELING: ...I feel Y...
3) NEEDS...And what I need is Y...
4) REQUESTS ... Would you be willing to?
 </t>
  </si>
  <si>
    <t>Godfather, The</t>
  </si>
  <si>
    <t>Puzo, Mario</t>
  </si>
  <si>
    <t>My favourite film religiously follows great book</t>
  </si>
  <si>
    <t>Influence: The Psychology of Persuasion</t>
  </si>
  <si>
    <t>Cialdini, Robert</t>
  </si>
  <si>
    <t>Reciprocation, Commitment and Consistency, Social Proof, Liking, Authority, Scarcity</t>
  </si>
  <si>
    <t>Adventures of Huckleberry Finn, The</t>
  </si>
  <si>
    <t>Twain, Mark</t>
  </si>
  <si>
    <t>Adventures with depth</t>
  </si>
  <si>
    <t>One Day in the Life of Ivan Denisovich</t>
  </si>
  <si>
    <t>Solzhenitsyn, Alexander</t>
  </si>
  <si>
    <t>Soviet labour camp in Siberia</t>
  </si>
  <si>
    <t>Treasure Island</t>
  </si>
  <si>
    <t>Stevenson, Robert Louis</t>
  </si>
  <si>
    <t>Exciting with strong prose</t>
  </si>
  <si>
    <t>In Cold Blood</t>
  </si>
  <si>
    <t>Capote, Truman</t>
  </si>
  <si>
    <t>Holcomb, Texas 1959 - Murder of Four members of family by two men: pretty haunting</t>
  </si>
  <si>
    <t>Heart of the Matter, The</t>
  </si>
  <si>
    <t>Greene, Graham</t>
  </si>
  <si>
    <t>Scobie is war-time police officer serving in wartime, British African State; nice blend of funny &amp; smart</t>
  </si>
  <si>
    <t>Dickey, James</t>
  </si>
  <si>
    <t>White-water rafting in Georgia; amazing first 1/2</t>
  </si>
  <si>
    <t>Big Test, The</t>
  </si>
  <si>
    <t>Nicholas Lehman</t>
  </si>
  <si>
    <t>History of SAT and Standardized testing</t>
  </si>
  <si>
    <t>Harry Potter and the Sorcerer's Stone</t>
  </si>
  <si>
    <t>HP 1 - starts a little slow with Dursleys, but picks up once we discover Hogwarts</t>
  </si>
  <si>
    <t>Harry Potter and the Prisoner of Azkaban</t>
  </si>
  <si>
    <t>Harry Potter gets dark</t>
  </si>
  <si>
    <t>Harry Potter and the Goblet of Fire</t>
  </si>
  <si>
    <t>Harry Potter continues to darken and mature</t>
  </si>
  <si>
    <t>Fast Food Nation: The Dark Side of the All-American Meal</t>
  </si>
  <si>
    <t>Schlosser, Eric</t>
  </si>
  <si>
    <t>Growth of fast-food culture expose</t>
  </si>
  <si>
    <t>Beautiful Mind, A: The Life of Mathematical Genius and Nobel Laureate John Nash</t>
  </si>
  <si>
    <t>Nasar, Sylvia</t>
  </si>
  <si>
    <t>John Nash with focus on 1948-1957: NOTHING like the film but equally interesting</t>
  </si>
  <si>
    <t>Da Vinci Code, The</t>
  </si>
  <si>
    <t>Brown, Dan</t>
  </si>
  <si>
    <t>First 75% is truly gripping, the definition of a page-turner; last 25%, not so much</t>
  </si>
  <si>
    <t>Barbarians at the Gate</t>
  </si>
  <si>
    <t>Burrough, Brian &amp; Helyar, John</t>
  </si>
  <si>
    <t>RJR Nabisco and 1988 LBO: best business page-turner</t>
  </si>
  <si>
    <t>When Genius Failed: The Rise and Fall of Long-Term Capital Management</t>
  </si>
  <si>
    <t>Lowenstein, Roger</t>
  </si>
  <si>
    <t>John Meriwether, Robert Merton, Myron Scholes and Creation and Collapse of LTCM 1994-1998</t>
  </si>
  <si>
    <t>Den of Thieves</t>
  </si>
  <si>
    <t>Stewart, James</t>
  </si>
  <si>
    <t>Michael Milken, Ivan Boesky, Martin Siegel, Dennis Levine and 1980s Wall Street corporate scandals</t>
  </si>
  <si>
    <t>House of Morgan, The - An American Banking Dynasty and the Rise of Modern Finance</t>
  </si>
  <si>
    <t>Chernow, Ron</t>
  </si>
  <si>
    <t>1850s through late 1980s and House of Morgan in Paris, London and New York. Special emphasis on J.P. Morgan Senior (Piermont) and Junior (Jack)</t>
  </si>
  <si>
    <t>Disney War</t>
  </si>
  <si>
    <t>1980s and 1990s Disney by "Den of Thieves" author</t>
  </si>
  <si>
    <t>Tuesdays with Morrie: An old man, a young man, and life's greatest lesson</t>
  </si>
  <si>
    <t>Albom, Mitch</t>
  </si>
  <si>
    <t>Best-selling story about mortality and perspective</t>
  </si>
  <si>
    <t>Long Tail, The: Why the Future of Business Is Selling Less of More</t>
  </si>
  <si>
    <t>Anderson, Chris</t>
  </si>
  <si>
    <t>Technology allowing companies to increasingly find and serve niches profitably</t>
  </si>
  <si>
    <t>The Innovator's Dilemma</t>
  </si>
  <si>
    <t>Christensen, Clayton</t>
  </si>
  <si>
    <t>Disruptive technologies felling market leaders</t>
  </si>
  <si>
    <t>Corporation, The</t>
  </si>
  <si>
    <t>Bakan, Joel</t>
  </si>
  <si>
    <t>Corporation as "psychopathic" institution; Very interesting in light of Friedman "profit" argument</t>
  </si>
  <si>
    <t>Commanding Heights, The: The Battle for the World Economy</t>
  </si>
  <si>
    <t>Yergin, Daniel &amp; Stanislaw, Joseph</t>
  </si>
  <si>
    <t>Second-half Twentieth century and shift from interventionist state to largely free market economies</t>
  </si>
  <si>
    <t>Invisible Engines: How Software Platforms Drive Innovation and Transform Industries</t>
  </si>
  <si>
    <t>Evans, David; Hagiu, Andrei; and Schmalensee, Richard</t>
  </si>
  <si>
    <t>Detailed account of multi-sided platforms across computers, video gaming, cell phones, PDAs, auctions and search; Surprisingly interesting and readable</t>
  </si>
  <si>
    <t>Ishiguro, Kazuo</t>
  </si>
  <si>
    <t>Butler narrative about Stevens, Lord Darlington, Miss Kenton and in between wars English aristocracy; really liked it</t>
  </si>
  <si>
    <t>Nabokov, Vladimir</t>
  </si>
  <si>
    <t>Some fantastic prose and an oddly suspenseful plot only slightly tarnished by lull in the middle; Given the historical setting (1950s), clearly ground-breaking</t>
  </si>
  <si>
    <t>Born Standing Up: A Comic's Life</t>
  </si>
  <si>
    <t>Martin, Steve</t>
  </si>
  <si>
    <t>Heavily focuses on youth and early career pre-1981, including relationship with father in particular; Not especially funny, but very smooth read</t>
  </si>
  <si>
    <t>NF/BIO</t>
  </si>
  <si>
    <t>Yates, Richard</t>
  </si>
  <si>
    <t>Excruciating, but fascinating and even page-turning account of "Wheelers"in the 1950s suburbs; Dreams vs. reality in context of social norms &amp; expectations</t>
  </si>
  <si>
    <t>How to Win Friends and Influence People</t>
  </si>
  <si>
    <t>Carnegie, Richard</t>
  </si>
  <si>
    <t>Completely timeless ideas about engaging with others: really only negative is its name</t>
  </si>
  <si>
    <t>We Need To Talk About Kevin</t>
  </si>
  <si>
    <t>Shriver, Lionel</t>
  </si>
  <si>
    <t>Extremely dark story about a mother dealing with her son having pulled a "Columbine"; a lot of material about whether to have children and marital happiness; grippingly depressing or perhaps depressingly  gripping?</t>
  </si>
  <si>
    <t>Power of Habit, The: Why We Do What We Do in Life and Business</t>
  </si>
  <si>
    <t>Duhigg, Charles</t>
  </si>
  <si>
    <t>Unusual blend of hands-on individual productivity and higher-level behavioral economics; useful &amp; insightful</t>
  </si>
  <si>
    <t>Corner Office, The: Indispensable and Unexpected Lessons from CEOs on How to Lead and Succeed</t>
  </si>
  <si>
    <t>Bryant, Adam</t>
  </si>
  <si>
    <t>Serious of vignettes/input about different elements of leadership; very good and highly recommended</t>
  </si>
  <si>
    <t>Siddhartha</t>
  </si>
  <si>
    <t>Hesse, Hermann</t>
  </si>
  <si>
    <t>Parable of seeking the meaning of life and self through journey of Siddhartha; enjoyed good deal and nice combo of story and thougtht-provoking</t>
  </si>
  <si>
    <t>Brave New World</t>
  </si>
  <si>
    <t>Huxley, Aldous</t>
  </si>
  <si>
    <t>Satirical and Soma-infused future of stability above all else; very interesting - not greatest actual plot/characters</t>
  </si>
  <si>
    <t>Coelho, Paulo</t>
  </si>
  <si>
    <t>Very much like Siddhartha where it's a much larger parable woven into a compelling story about a shepherd looking to fulfill his personal legend</t>
  </si>
  <si>
    <t>Csikszentmihalyi, Mihalyi</t>
  </si>
  <si>
    <t xml:space="preserve">Oldie but a very goodie talking about being at the intersection of skills and challenge in finding activities that offer feedback; intersects with "intrinsic motivation" from "Drive" a bit </t>
  </si>
  <si>
    <t>Loehr, Jim &amp; Schwartz, Tony</t>
  </si>
  <si>
    <t>Surprisingly practical book about how to manage energy with a ton of examples from their clients that seemed to resonate; a good deal of it starts with mentally coaching sports stars and balancing being "on" with being "off"; written in 2003, but still feels highly relevant in early 2014</t>
  </si>
  <si>
    <t>Schmidt, Eric; and Rosenberg, Jonathan</t>
  </si>
  <si>
    <t>Liked a good deal: talks a lot about "smart creatives" and everything coming down to winning based upon a better product grounded in a technical step forward; has nice blend of being inspiring, practical, and educational re: history/DNA of Google</t>
  </si>
  <si>
    <t>Smith, Patti</t>
  </si>
  <si>
    <t>Autobiographical account of her relationship with Robert Mapplethorpe from 1967 through mid-1970s; listened to her read it via Audible (highly recommended) and it's compelling across societal change, New York in late 1960s/early 1970s + elements of a love story</t>
  </si>
  <si>
    <t>Koestler, Arthur</t>
  </si>
  <si>
    <t>Story of Rubashow as part of Moscow show trials in late 1930s; excellent blend of plot and broader questions about communism/totalitarian states</t>
  </si>
  <si>
    <t>Duckworth, Angela</t>
  </si>
  <si>
    <t>Good combination of research, simplicity and repetition of messaging, and generally pulling it all together into a compelling narrative; Good combo with Carol Dweck's "Mindset"; will listen to again</t>
  </si>
  <si>
    <t>1979-1980 Portland Trailblazery and broader NBA story told by probably best sports author of all time; picks up on themes around commercialization, loyalty, racism that still feel very fresh in 2017</t>
  </si>
  <si>
    <t>Junger, Sebastian</t>
  </si>
  <si>
    <t>Perhaps could be a long article - it's a short book/listen - where the core idea of humans functioning best when in tight-knit communities was really new to me/interesting; good examples across wars, peace corps returnees in terms of PTSD and its implications; good YouTube videos of Junger talking about book</t>
  </si>
  <si>
    <t>Itzler, Jesse</t>
  </si>
  <si>
    <t>Equal parts laugh-out-loud funny and motivational, haven't enjoyed a book this much in quite some time; short, punchy, inspiring, some practical tips, extra fun to be read by the author himself who packs plenty of plucky personality</t>
  </si>
  <si>
    <t>Benioff, David</t>
  </si>
  <si>
    <t>Really engrossing book about World War II in Russia blending being a page-turner with some really compelling plotting and prose</t>
  </si>
  <si>
    <t>Carreyrou, John</t>
  </si>
  <si>
    <t>I listened via Audible, but the definition of a page-turner (which is hard to do when you know the outcome); makes everybody who isn't a whistle-blower come across as pretty awful human beings, but that doesn't take away from how gripping the story is told where I found myself driving extra distances just to keep listening; right up there with "Barbarians at the Gate" as the most engrossing "business tale" book I've read (listened to!)</t>
  </si>
  <si>
    <t>Westover, Tara</t>
  </si>
  <si>
    <t>Pretty gripping book where you're expecting things to get better over time - spoiler: not really the case - and overall it's not exactly uplifting, but is certainly thought-provoking; blends elements of religion/faith and science, fitting into society, and educational mobility, all through a story where you definitely want to know how it's going to turn out</t>
  </si>
  <si>
    <t>Obama,Michelle</t>
  </si>
  <si>
    <t>Listened via Audible - read by author - and thoroughly enjoyed it. Came away really liking and respecting Michelle Obama throughout: it probably helps that I share her politics and admire her husband, but I felt as though she had a lot to say about fitting into society + identity as part of a married couple that I hadn't thought enough about before</t>
  </si>
  <si>
    <t>Clear, James</t>
  </si>
  <si>
    <t>My favourite of these productivity/self-help books: goes a lot deeper than specific tips and really resonated with me (as of early 2019, has a 5-start rating on Amazon, so looks like others feel the same way too)</t>
  </si>
  <si>
    <t>Gottlieb, Lori</t>
  </si>
  <si>
    <t xml:space="preserve">Really enjoyed this story of a therapist a) going through therapy herself, and b) working with her patients. Funny in several places, deeply emotional in several place, instructional in several places, a book I read very quickly and was sad to end
</t>
  </si>
  <si>
    <t>Voss, Chris</t>
  </si>
  <si>
    <t>A ton of practical advice on listening where the title is much cheesier than the actual content of the book</t>
  </si>
  <si>
    <t>Whitehead, Colson</t>
  </si>
  <si>
    <t>Trifecta of emotionally moving, beautifully written, and societally important in terms of race relations = memorable and highly recommended read</t>
  </si>
  <si>
    <t>Siegel, Daniel &amp; Bryson, Tina Payne</t>
  </si>
  <si>
    <t>Very helpful advice for parents, where I found as applicable to myself and adults as it is for children; simple concept, but really enjoyed the idea of "downstairs brain" (amygdala) and "upstairs brain" (pre-frontal cortex)</t>
  </si>
  <si>
    <t>Obama, Barack</t>
  </si>
  <si>
    <t xml:space="preserve">[Note: I read this in Spanish (+ English), so it took ~100 hours, 3-4 hours a day for almost a month, so it's harder to judge it since it became an "enjoyable ordeal")
Brilliant writing + an inspring story + just enough gossip to keep the pages turning over = highly recommended 
</t>
  </si>
  <si>
    <t>Grant, Adam</t>
  </si>
  <si>
    <t>My favourite of his books thus far: perhaps because I feel most personally receptive to the message, perhaps because the writing and ideas felt crisper. An excellent example of pull-through across acting like a scientist instead of a politician or prosecutor or preacher. I think will seem more prescient as leadership styles evolve in this direction more broadly</t>
  </si>
  <si>
    <t>Lamott, Anne</t>
  </si>
  <si>
    <t>Compelling blend of inspiring and cynical, funny and practical. A few laugh out loud anecdotes and remains uplifting through a lot of satire and sarcasm</t>
  </si>
  <si>
    <t>Zinsser, William</t>
  </si>
  <si>
    <t>Enjoyed combo of practical advice on actual writing, as well as broader deep-dives into different types of writing (e.g., sports, memoirs etc.). Especially enjoyed when incorporating specific examples, including showing how a draft evolved, especially around copy-writing</t>
  </si>
  <si>
    <t>Towles, Amos</t>
  </si>
  <si>
    <t>A little slow in parts, but a combo of wise and funny, becoming almost a thriller in the final quarter or so</t>
  </si>
  <si>
    <t>Attia, Peter</t>
  </si>
  <si>
    <t>Enjoyed a good deal: lots of science that's just about digestible packaged into practical and helpful advice about both lifespan (length of life) and healthspan (quality of life). He's an excellent podcaster, both his own show and as a guest on others' shows</t>
  </si>
  <si>
    <t>Yanagihara, Hanya</t>
  </si>
  <si>
    <t>I'm going to adapt somebody else's review, "A Little Life is a brilliant book that I wouldn't recommend to anyone" - would strongly suggest not reading up on it beforehand, only going in knowing that it's not going to be sunshine and rainbows</t>
  </si>
  <si>
    <t>Everett, Percival</t>
  </si>
  <si>
    <t>Reimaging of Huck Finn from Jim's perspective, which I enjoyed quite a bit, meaningfully more than Huck Finn (which I read immediately afterwards), where I preferred the plot (easier to understand) and the general prose and implications</t>
  </si>
  <si>
    <t>Keegan, Claire</t>
  </si>
  <si>
    <t>Novella set in mid-1980s Ireland about a middle-aged family man who delivers coal who's reflecting on life and who discovers an orphanage with horrible things happening to its children; short and compelling</t>
  </si>
  <si>
    <t>Garland, Alex</t>
  </si>
  <si>
    <t>Story of youth traveling, love, drugs etc.; phenomenal first 50% - great storytelling - and then loses momentum and gets a bit weird for my taste</t>
  </si>
  <si>
    <t>Man in Full, A</t>
  </si>
  <si>
    <t>Real Estate and Politics in Atlanta: some great prose and characters</t>
  </si>
  <si>
    <t>Secret History, The</t>
  </si>
  <si>
    <t>Tartt, Donna</t>
  </si>
  <si>
    <t>Six students studying Greek at Vermont College</t>
  </si>
  <si>
    <t>Lord of the Flies</t>
  </si>
  <si>
    <t>Golding, William</t>
  </si>
  <si>
    <t>Boys on an island } primal competition: MUCH better than "The Hunger Games"</t>
  </si>
  <si>
    <t>Naked and the Dead, The</t>
  </si>
  <si>
    <t>Mailer, Norman</t>
  </si>
  <si>
    <t>Platoon of marines on Japanese-held island</t>
  </si>
  <si>
    <t>Social Animal, The</t>
  </si>
  <si>
    <t>Aronson, Elliott</t>
  </si>
  <si>
    <t>Extremely readable account of social psychology</t>
  </si>
  <si>
    <t>It's Not About the Bike</t>
  </si>
  <si>
    <t>Armstrong, Lance &amp; Sally Jenkins</t>
  </si>
  <si>
    <t>Good prose with inspirational theme</t>
  </si>
  <si>
    <t>Playing for Keeps: Michael Jordan and the World He Made</t>
  </si>
  <si>
    <t>David Halberstam might be the best author to ever tackle sports non-fiction: Michael Jordan's last season</t>
  </si>
  <si>
    <t>Fermat's Enigma</t>
  </si>
  <si>
    <t>Singh, Simon</t>
  </si>
  <si>
    <t>Story of Andrew Wiles of Princeton solving Fermat's last theorem</t>
  </si>
  <si>
    <t>Conquerors, The: Roosevelt, Truman and the Destruction of Hitler's Germany 1941-1945</t>
  </si>
  <si>
    <t>Beschloss, Michael</t>
  </si>
  <si>
    <t>Roosevelt, Churchill, Stalin; Fate of post-war Germany</t>
  </si>
  <si>
    <t>NF/POL</t>
  </si>
  <si>
    <t>Shadow: Five Presidents and the Legacy of Watergate</t>
  </si>
  <si>
    <t>Woodward, Bob</t>
  </si>
  <si>
    <t>How Watergate influenced scandals in Ford through Clinton presidencies</t>
  </si>
  <si>
    <t>Bernstein, Carl &amp; Bob Woodward</t>
  </si>
  <si>
    <t>Account of Watergate break-in and aftermath</t>
  </si>
  <si>
    <t>Moneyball: The Art of Winning an Unfair Game</t>
  </si>
  <si>
    <t>Lewis, Michael</t>
  </si>
  <si>
    <t>Oakland A's and Sabermetrics in Baseball; not my favourite Michael Lewis, but he's still brilliant</t>
  </si>
  <si>
    <t>Against the Gods: The Remarkable Story of Risk</t>
  </si>
  <si>
    <t>Bernstein, Peter</t>
  </si>
  <si>
    <t>History of assessing risk, from Greeks to Kahneman/Tversky</t>
  </si>
  <si>
    <t>Perfect Store, The</t>
  </si>
  <si>
    <t>Cohen, Adam</t>
  </si>
  <si>
    <t>e-Bay from beginning to Spring 2001; good business knowledge and compelling narrative</t>
  </si>
  <si>
    <t>Liar's Poker</t>
  </si>
  <si>
    <t>I don't like it as much others, but arguably best 1st chapter around and some great ideas</t>
  </si>
  <si>
    <t>Fathers and Children (Sons)</t>
  </si>
  <si>
    <t xml:space="preserve">Turgenev, Ivan </t>
  </si>
  <si>
    <t>19th century Russian peasant life; Bazarov and nihilism</t>
  </si>
  <si>
    <t>Mere Christianity</t>
  </si>
  <si>
    <t>Lewis, C.S.</t>
  </si>
  <si>
    <t>Explaining fundamental tenets and his support of Christianity</t>
  </si>
  <si>
    <t>In an Uncertain World: Tough Choices from Wall Street to Washington</t>
  </si>
  <si>
    <t>Rubin, Bob</t>
  </si>
  <si>
    <t>Autobiographical account of Rubin's life and "probabilistic" decision-making process</t>
  </si>
  <si>
    <t>Curious Incident of the Dog in the Night-time The</t>
  </si>
  <si>
    <t>Haddon, Mark</t>
  </si>
  <si>
    <t>Entertaining story of autistic child set in England; Disfunctional family, steadily depressing</t>
  </si>
  <si>
    <t>Blink</t>
  </si>
  <si>
    <t>Gladwell, Malcolm</t>
  </si>
  <si>
    <t>Split-second decision-making</t>
  </si>
  <si>
    <t>The Silicon Boys annd their Valley of Dreams</t>
  </si>
  <si>
    <t>Kaplan, David</t>
  </si>
  <si>
    <t>Silicon Valley with particular focus on Shockley, Apple, Kleiner Perkins, Netscape, Yahoo</t>
  </si>
  <si>
    <t>Stumbling on Happiness</t>
  </si>
  <si>
    <t>Gilbert, Daniel</t>
  </si>
  <si>
    <t>Pre-frontal cortex allows humans to predict the future, but not necessarily very well</t>
  </si>
  <si>
    <t>Paradox of Choice, The: Why More is Less</t>
  </si>
  <si>
    <t>Schwartz, Barry</t>
  </si>
  <si>
    <t>Maximizers vs. Satisficers; Expectations and learned helplessness etc. Directly relates to "Stumbling on Happiness"</t>
  </si>
  <si>
    <t>Fahrenheit 451</t>
  </si>
  <si>
    <t>Bradbury, Ray</t>
  </si>
  <si>
    <t>Guy Montag as fireman within world where books are burned; Society and censorship as key themes</t>
  </si>
  <si>
    <t>In the Heart of the Sea: The Tragedy of the Whaleship Essex</t>
  </si>
  <si>
    <t>Philbrick, Nathaniel</t>
  </si>
  <si>
    <t>November 1820 Essex goes down in middle of Pacific due to being hit by oversized sperm whale</t>
  </si>
  <si>
    <t>A Long Way Down</t>
  </si>
  <si>
    <t>Hornby, Nick</t>
  </si>
  <si>
    <t>Four potential New Year's Eve suicide victims meet at the top of a building; Largely entertaining with the odd laugh-out-loud section</t>
  </si>
  <si>
    <t>Sweet Hereafter, The</t>
  </si>
  <si>
    <t>Banks, Russell</t>
  </si>
  <si>
    <t>Depressing but interesting novel about small time town life and the tragedy of a school bus crash; Told from the perspective of four different authors</t>
  </si>
  <si>
    <t>Man for All Seasons, A</t>
  </si>
  <si>
    <t>Bolt, Robert</t>
  </si>
  <si>
    <t>Sir Thomas More vs. Henry VIII etc.</t>
  </si>
  <si>
    <t>Maximum City: Bombay lost &amp; found</t>
  </si>
  <si>
    <t>Mehta, Suketu</t>
  </si>
  <si>
    <t>Author leaves Bombay in 1977 at age 14 and then returns in 1998; Heavy emphasis on underwold - mafia, gangs, stripping and prostitution - told through detailed individual accounts; More character-driven than expected, but pretty engrossing</t>
  </si>
  <si>
    <t>Second Bounce of the Ball, The</t>
  </si>
  <si>
    <t>Cohen, Sir Ronald</t>
  </si>
  <si>
    <t>Entrepreneurship suggestions from Apax founder; Surprisingly insightful account with some background about European VC and PE</t>
  </si>
  <si>
    <t>Black Swan, The</t>
  </si>
  <si>
    <t>Taleb, Nassim Nicholas</t>
  </si>
  <si>
    <t>Very interesting - and controversial - attack against bell curves and society's tendency towards overprediction; a little bit rambling at times</t>
  </si>
  <si>
    <t>Ben-Shahar, Tal</t>
  </si>
  <si>
    <t>Covey-like account of simple exercises and perspectives to increase amount of "ultimate currency," happiness; Fairly simple ideas, but well laid out and intereresting</t>
  </si>
  <si>
    <t>Fooled by Randomness: The hidden role of chance in life and in the markets</t>
  </si>
  <si>
    <t>Book one from "Black Swan" author; Very skeptical and pretty interesting account of Kahneman and Tversky, biases, and general tendency towards certainty over randomness</t>
  </si>
  <si>
    <t>Undercover Economist, The: Exposing why the rich are rich, the poor are poor - and why you can never buy a decent used car!</t>
  </si>
  <si>
    <t>Harford, Tim</t>
  </si>
  <si>
    <t>Surprisingly well-written and interesting account of how basic economic principles drive real-world business: scarcity, externalities, price sensitivity; written by FT Economics writer</t>
  </si>
  <si>
    <t>Rivals: How the power struggle between China, India, and Japan will shape our next decade</t>
  </si>
  <si>
    <t>Emmott, Bill</t>
  </si>
  <si>
    <t>Data-heavy in a good way account of how China, India, and Japan are balancing cooperation and competition from former Editor of Economist</t>
  </si>
  <si>
    <t>Lexus and the Olive Tree, The: Understanding Globalization</t>
  </si>
  <si>
    <t>Friedman, Thomas</t>
  </si>
  <si>
    <t>Compelling combination of anecdotes and theories to support embracing globalization; Focused often on how America should harness globalization, although also considers emerging markets; Lively if a tad long</t>
  </si>
  <si>
    <t>Last Lecture, The</t>
  </si>
  <si>
    <t>Pausch, Randy with Jeffrey Zaslow</t>
  </si>
  <si>
    <t>Occasionally moving, but mainly pragmatic account of Pausch's approach to life; Nice tone throughout, broken into 50+ lessons</t>
  </si>
  <si>
    <t>What You Should Know About Politics … But Don't</t>
  </si>
  <si>
    <t>Conrad, Jessamyn</t>
  </si>
  <si>
    <t>Light yet informative account broken down by topic of U.S. politics in 2008; Feels like a more entertaining govt. studies high school course - quick and broad without much depth (not a bad thing)</t>
  </si>
  <si>
    <t>Exit Ghost</t>
  </si>
  <si>
    <t>Roth, Philip</t>
  </si>
  <si>
    <t>Nathan Zuckerman and house swapping in New York; Generally thought-provoking with "no-longers" vs. "not yets" particularly interesting</t>
  </si>
  <si>
    <t>??</t>
  </si>
  <si>
    <t>Live from New York: An Uncensored History of Saturday Night Live</t>
  </si>
  <si>
    <t>Shales, Tom &amp; Miller, James Andrew</t>
  </si>
  <si>
    <t>Anecdotal (blurbs from performers, hosts, writers)  and chronological account of 1975 through ~2003; Fast-paced and well-edited to get at key themes; SNL and Bain similar in timing, stepping-stone</t>
  </si>
  <si>
    <t>Outliers: The Story of Success</t>
  </si>
  <si>
    <t>Excellent beginning and interesting overall premise with diminished coherence over course of book; Clear confirmation bias, still ver readable, but could have used more editing</t>
  </si>
  <si>
    <t>Who</t>
  </si>
  <si>
    <t>Smart, Geoff &amp; Street, Randy</t>
  </si>
  <si>
    <t>170-page punchy, step-by-step guide of how to hire; Common sensical in the same vein as "Getting Things Done" - seems obvious, but isn't; One of more practical, "I will do this from now on" business books</t>
  </si>
  <si>
    <t>Talent Is Overrated: What Really Separates World-Class Performers from Everybody Else</t>
  </si>
  <si>
    <t>Colvin, Geoff</t>
  </si>
  <si>
    <t>"Deliberate practice" and considerable dedication as key to success across numerous domains; Includes recommendations for how-to apply this; More compelling that "Outliers"</t>
  </si>
  <si>
    <t>Schlink, Bernard</t>
  </si>
  <si>
    <t>3-part 1st person narrative with some extremely strong prose in 1st and 3rd section in particular; Knowing twist ahead of time reduced impact of book, but still interesting</t>
  </si>
  <si>
    <t>Ultimate Question, The: Driving Good Profits and True Growth</t>
  </si>
  <si>
    <t>Reicheld, Fred</t>
  </si>
  <si>
    <t>Clearly written book focusing on the simple concept that whether customers will recommend your product is the best way to gauge subsequent firm performance; Strong case examples and lots of readily digestible lists and points make it smooth read</t>
  </si>
  <si>
    <t>Open: An Autobiography</t>
  </si>
  <si>
    <t>Agassi, Andre</t>
  </si>
  <si>
    <t>Clearly biased, but compelling throughout and likely of appeal to anybody with interest in competitive sports and its intersection with celebrity</t>
  </si>
  <si>
    <t>Netherland</t>
  </si>
  <si>
    <t>O'Neill, Joseph</t>
  </si>
  <si>
    <t>Unusual mix of British culture, post-9/11 New York and Cricket: some great paragraphs in an up-and-down story overall</t>
  </si>
  <si>
    <t>Corrections, The</t>
  </si>
  <si>
    <t>Franzen, Jonathan</t>
  </si>
  <si>
    <t>Family disfunctions with some great prose; loved pieces of it, more up-and-down on others</t>
  </si>
  <si>
    <t>Steve Jobs</t>
  </si>
  <si>
    <t>Isaacson, Walter</t>
  </si>
  <si>
    <t>Fascinating underlying story and an excellent story-teller combine to make this a real page-turner</t>
  </si>
  <si>
    <t>Start Up of You, The: Adapt to the Future, Invest in Yourself, and Transform Your Career</t>
  </si>
  <si>
    <t xml:space="preserve">Hoffman, Reid &amp; Casnocha, Ben </t>
  </si>
  <si>
    <t>A bit like "Lean Startup," nice combo of high-level ideas that make sense with tactical on-the-ground advice</t>
  </si>
  <si>
    <t>How Will You Measure Your Life</t>
  </si>
  <si>
    <t>Christsen, Clayton</t>
  </si>
  <si>
    <t>Theories of disruption turned outside the business world; works well for the most part</t>
  </si>
  <si>
    <t>Inspired: How To Create Products Customers Love</t>
  </si>
  <si>
    <t>Cagan, Marty</t>
  </si>
  <si>
    <t>Thoughtful account of how to be a successful product manager at a software company</t>
  </si>
  <si>
    <t>Lean In: Women, Work, and the Will to Lead</t>
  </si>
  <si>
    <t>Sandberg, Sheryl</t>
  </si>
  <si>
    <t>Strong overall: focused on "so what" in terms of lessons for men &amp; women alike; best pieces were the truly introspective elements</t>
  </si>
  <si>
    <t>Daily Rituals: How Artists Work</t>
  </si>
  <si>
    <t>Currey, Mason</t>
  </si>
  <si>
    <t>161 separate vignettes about the daily habits of authors, composers, painters etc. All nicely short: a bit like a coffee table book for picking up now-and-again</t>
  </si>
  <si>
    <t>Drive: The Surprising Truth About What Motivates Us</t>
  </si>
  <si>
    <t>Pink, Daniel</t>
  </si>
  <si>
    <t>Intrinsic vs. external motivation as argument against Skinnerism and "if this, then that" thinking; surprised how it was worth the read beyond the first chapter - some very practical tips</t>
  </si>
  <si>
    <t>Manufacturing Demand: The Principles of Successful Lead Management</t>
  </si>
  <si>
    <t>Lewis, David</t>
  </si>
  <si>
    <t>Short and compelling take on how marketing automation blends lead scoring, lead nurture, content creation, and measurement to drive demand generation</t>
  </si>
  <si>
    <t>Coyle, Daniel</t>
  </si>
  <si>
    <t>Myelin For The Win: similar to Outliers &amp; Talent is Overrated, but takes heavily myelin-focused look at deliberate/deep practice</t>
  </si>
  <si>
    <t>Fernandez, Phil</t>
  </si>
  <si>
    <t>Thougthful and practical book about setting up revenue performance management (RPM) across sales &amp; marketing go-to-market; good blend of theory and being actionable</t>
  </si>
  <si>
    <t>Handley, Ann &amp; Chapman, C.C.</t>
  </si>
  <si>
    <t>Detailed take on overall content markting approach + specifics for each type of content (e.g., blog, webinar etc.); tactical enough to be useful/usable in majority of areas</t>
  </si>
  <si>
    <t>Pulizzi, Joe</t>
  </si>
  <si>
    <t>After slightly high-level and sales-y first 50 pages or so, digs into a lot of really useful detail about content mktg</t>
  </si>
  <si>
    <t>Schultz, Howard</t>
  </si>
  <si>
    <t>Enjoyed a good deal: how Howard Schultz returned to Starbucks in early 2008 and refocused on the brand and the culture</t>
  </si>
  <si>
    <t xml:space="preserve">Hoffman, Reid; Casnocha, Ben, and Yeh, Chris </t>
  </si>
  <si>
    <t>Quick, informative, thought-provoking read on employee-employer dynamics; 3 types of "tours of duty" very interesting concept with nice blend of theory and how-to</t>
  </si>
  <si>
    <t>Thiel, Peter &amp; Masters, Blake</t>
  </si>
  <si>
    <t>Very interesting take on how to create a company that fundamentally changes society; thought-provoking stuff around power laws, contrarian thinking, and even a bunch of new 2 x 2s; would have been even better if it pulled together into a book vs. being more like a set of chapters that partially connected together (it's lectures he gave at Stanford)</t>
  </si>
  <si>
    <t>Grove, Andy</t>
  </si>
  <si>
    <t>Written originally in 1983 about management using analogy of production: very much engineer-driven take on management with a lot of excellent advice; too bad it's not available on Kindle</t>
  </si>
  <si>
    <t>Gawande, Atul</t>
  </si>
  <si>
    <t>Excellent writer - really clear prose (same as "Checklist Manifesto") walking through his father dying + generally how we as a culture approaching dying</t>
  </si>
  <si>
    <t>Offill, Jenny</t>
  </si>
  <si>
    <t>Very dark book about 30-something couple going through challenges: some great parts, but not exactly uplifting</t>
  </si>
  <si>
    <t>Bock, Laszlo</t>
  </si>
  <si>
    <t>Nice blend of readability and weight from Google head of people ops/talent: nice combination with "How Google Works" to get Google-specific insights + broader knowledge</t>
  </si>
  <si>
    <t>Luna, Elle</t>
  </si>
  <si>
    <t>Find your calling type book that's readable in ~60 mins that steers nicely away from cheesiness and is probably only book I can think of I'd recommend buying the physical book because imagery is very central and compelling</t>
  </si>
  <si>
    <t xml:space="preserve">Liked fair amount, but less so than "Animal Farm" or "Brave New World"; felt lighter on plot vs. idiology than Animal Farm so lower on entertainment vs. philosophy </t>
  </si>
  <si>
    <t>Brand, Stewart</t>
  </si>
  <si>
    <t>Late 20th century discussing building a clock that would last 10K years; some good quotes and ideas to zoom much further out than is usually the case</t>
  </si>
  <si>
    <t>Frankl, Victor</t>
  </si>
  <si>
    <t>Legendary book that my expectations may have been a little too high, but certainly something I'd recommend; unusual blend of being a "downer" and an "upper"</t>
  </si>
  <si>
    <t>Willink, Jocko &amp; Babin, Leif</t>
  </si>
  <si>
    <t>Very high on pragmatism with interesting anecdotes from Iraq and stronger than anticipated connection to business leadership principles</t>
  </si>
  <si>
    <t>Kalanithi, Paul</t>
  </si>
  <si>
    <t xml:space="preserve">Moving book by Stanford classmate (I barely knew him, but had numerous mutual friends) about his mid-30s cancer diagnosis and subsequent demise and death; really liked the writing style and blend of tactical observations and broader reflections where was left wanting the book to continue, which presumably has a much larger meaning here </t>
  </si>
  <si>
    <t>Doerr, Anthony</t>
  </si>
  <si>
    <t>WWII-time Europe blending a little bit of children coming of age with a lot of much more unpleasant, wartime happenings; great writing that's very vivid; Pretty long - and listened by Audible - but wanted it to keep going vs. to finish</t>
  </si>
  <si>
    <t>Zusak, Markus</t>
  </si>
  <si>
    <t>Very similar theme to "All The Light We Cannot Theme" (kid protagonists during WWII) and similarly compelling; both books share not shying away from bad news and tragedy while overall being uplifting overall</t>
  </si>
  <si>
    <t>Horowitz, Ben</t>
  </si>
  <si>
    <t>Didnt like as much the first time and really enjoyed it the second time: specific stories from his time and then broadening to recommendations and lessons</t>
  </si>
  <si>
    <t>Krug, Steve</t>
  </si>
  <si>
    <t>Very readable book on web design walking through elements that seem obvious after the fact: enjoyed the relaxed note and practical advice</t>
  </si>
  <si>
    <t>de Botton, Alain</t>
  </si>
  <si>
    <t>Evolution of love and marriage through middle-aged couple based in Scotland; highlighted 105 separate notes in 233 page book, so lots of great prose and insights</t>
  </si>
  <si>
    <t>Barnes, Julian</t>
  </si>
  <si>
    <t>Really interesting novel blending an older person reliving some of his youth via a few traumatic memories; nice blend of page turning and thougth-provoking</t>
  </si>
  <si>
    <t>Foster Wallace, David</t>
  </si>
  <si>
    <t>Love how his brain works + love the tennis subject matter so was a really fun read, especially the Michael Joyce + Roger Federer pieces; Footnotes were a bit tough going so will need to decide whether to take on "Infinite Jest" anytime soon; read physical book, which was too bad given would love to have highlighted some of his memorable passages</t>
  </si>
  <si>
    <t>Ericsson, Anders &amp; Pool, Robert</t>
  </si>
  <si>
    <t>All about deliberate practice: pretty useful and uplifting around talent being built vs. inherited; overlaps a bit with "Mindset" by Carol  and "Grit" by Angela Duckworth</t>
  </si>
  <si>
    <t>Walsh, Bill</t>
  </si>
  <si>
    <t xml:space="preserve">Legendary San Francisco 49ers coach Bill Walsh sharing leadership lessons; nice blend of (American) football and broader applicability beyond the sideline; liked his clear tone </t>
  </si>
  <si>
    <t>One of my favourite authors + a subject I find interesting (Bill Belichick) = book I really enjoyed; not too many new relevalations, but interesting to learn about his upbringing + what went wrong in Cleveland</t>
  </si>
  <si>
    <t>Ferrucci, Piero</t>
  </si>
  <si>
    <t>Italian author using a lot of parables to talk about compassion/kindness; less behavioral economics and research-based and more stories/common sense etc. Good complement to Ryan Holliday books + others</t>
  </si>
  <si>
    <t>Sandberg, Sheryl &amp; Grant, Adam</t>
  </si>
  <si>
    <t>Primarily personal retrospective from SS, with some research thrown in from AG; poignant and powerful (as well as talking clearly about personalization, permanence, and pervasiveness)</t>
  </si>
  <si>
    <t>Coates, Ta-Nehisi</t>
  </si>
  <si>
    <t>Beautifully written take on state of race in US, told through personal experience in a message to author's son; perhaps because I read in close succession felt similar to Hillbilly Elegy in telling personal stories with much broader societal implications</t>
  </si>
  <si>
    <t>Vance, J.D.</t>
  </si>
  <si>
    <t>Excellent listen where threads needle unusually well between a compelling family narrative and a broader story about white, "lower class" society</t>
  </si>
  <si>
    <t>Ferriss, Tim</t>
  </si>
  <si>
    <t>Liked the format of primarily summarizing best of each interview + a few summary chapters in-between; good one to dig back into here and there, a bit like a coffee table book</t>
  </si>
  <si>
    <t>Gawdat, Mo</t>
  </si>
  <si>
    <t>Oddly effective combination of self-help around calming mind/keeping perspective and personal tale of rebounding from losing his college age son (written by senior Google executive); consumed 90% via Audible (author reads it, which is effective), but means I need to go through written version to get the specific tips</t>
  </si>
  <si>
    <t>Pressfield, Steve</t>
  </si>
  <si>
    <t>All about how to break down "the resistance" for authors/creatives and to start writing/composing etc. Extremely well read via Audible where can't remember much, but remembered enjoying it + feeling as though procrastination is more pervasive than I'd expected</t>
  </si>
  <si>
    <t>Hart, Kevin</t>
  </si>
  <si>
    <t>Blend of 70% autobiography and 30% life lessons self-help style where first 75% (until he gets really successful) is funny, informative, and sometimes deep; great Audible listen since he reads it himself with obvious style</t>
  </si>
  <si>
    <t>Murakami, Haruki</t>
  </si>
  <si>
    <t>Semi-autobiographical, reflective book on long distance running, aging, and the intersections</t>
  </si>
  <si>
    <t>Fitzgerald, Matt</t>
  </si>
  <si>
    <t>Practical and useful read - with numerous examples - of how to get to "race weight," including several example daily food diaries from elite athletes</t>
  </si>
  <si>
    <t>Barton, Peter &amp;  Shames, Laurence</t>
  </si>
  <si>
    <t>Former big-time cable/media exec's memor of being diagnosed with terminal cancer in late 40s, reflecting on his life and generally approaching death; his spirit really comes through througout, blending humour and melancholy; you definitely "feel" him, which makes the read compelling</t>
  </si>
  <si>
    <t>Kay, Adam</t>
  </si>
  <si>
    <t>75% humorous/25% serious account for a young doctor working for the NHS (Britain's public health service), blending laugh-out-loud funny and occasionally truly sad; rare I've been crying from humour and sadness in such quick succession; also has some broader philosophical elements on being a doctor and public vs. privatized healthcare</t>
  </si>
  <si>
    <t>Walker, Matthew</t>
  </si>
  <si>
    <t>First half is excellent, before getting a bit long and perhaps just a tad preachy: one of those books where if you assume the information is true, you wonder why society hasn't rallied against drowsy driving and generally sleep habits. Clear writing style and a lot of research that doesn't overwhelm the prose; sign of how much I found useful is that I hit Kindle export limits on highlighted text to then copy into Evernote</t>
  </si>
  <si>
    <t>Keyes, Daniel</t>
  </si>
  <si>
    <t>Read in 2019 aged 40+ vs. many who read in high school; hard not to get emotionally connected to the story about belonging and how this changes based upon social status</t>
  </si>
  <si>
    <t>Goldman, William</t>
  </si>
  <si>
    <t>Written in ~1984 and talks about writing for Hollywood, including getting very specific on examples; generally fun in termf of blending some very out of date references to the top film stars and some timeliness nuggets, all written in a highly entertaining, conversational tone</t>
  </si>
  <si>
    <t>Scott, Kim</t>
  </si>
  <si>
    <t xml:space="preserve">More than just this, but distills down to 1) caring about employees, and 2) offering them actionable feedback; can't do 2 without 1 first
</t>
  </si>
  <si>
    <t xml:space="preserve">Izzard, Eddie
</t>
  </si>
  <si>
    <t xml:space="preserve">Maybe only book (listen) I can think of where it being meandering is a feature vs a bug; about 25% is footnotes where he randomly riffs and while occcasionaly annoying, I really liked it; got in habit of listening every car ride and was very sad for it to end: just something really likable and sometimes insightful about him [note: he's a very well known comedian in England]
</t>
  </si>
  <si>
    <t>Murphy, Kate</t>
  </si>
  <si>
    <t>Some great advice on the goal of listening and blockers to it,ranging from specific tips and examples to more societal-level implications; here's an excellent summary from NYT that captures several of the best parts: https://nyti.ms/2vmDxGT</t>
  </si>
  <si>
    <t>Stone, Douglas &amp; Patton, Bruce</t>
  </si>
  <si>
    <r>
      <rPr>
        <color rgb="FF000000"/>
        <sz val="10.0"/>
      </rPr>
      <t>Harvard Negotation Project authors on breaking down conversations into 3 parts:
1) What happened, focusing on contribution not blame and curiositiy not certainty
2) Feelings
3) How does issue connect to our identity
Enjoyed overall - theory and practice.A few very interesting ideas like "</t>
    </r>
    <r>
      <rPr>
        <i/>
        <color rgb="FF000000"/>
        <sz val="10.0"/>
      </rPr>
      <t>When people are having a hard time listening, often it is not because they don’t know how to listen well. It is, paradoxically, because they don’t know how to express themselves well. Unexpressed feelings can block the ability to listen. Our listening ability often increases remarkably once we have expressed our own strong feelings</t>
    </r>
    <r>
      <rPr>
        <color rgb="FF000000"/>
        <sz val="10.0"/>
      </rPr>
      <t xml:space="preserve">"
</t>
    </r>
  </si>
  <si>
    <t>Hastings, Reed &amp; Meyer, Erin</t>
  </si>
  <si>
    <t>Expected to know most from culture deck/articles and actually felt it was worthwhile as a book; enjoyed how it was a blend of a strategy doc across building blocks + tactical suggestions and some stories</t>
  </si>
  <si>
    <t>McConaughey, Matthew</t>
  </si>
  <si>
    <t>Would highly recommend the Audible: I actually read most of it because it was faster, but he might be the best narrator of anybody I've listenened to. Blend of hilarious stories and quotes and quite a bit of wisdom too. Hard not to like him from this read [I'm not an especially big fan of his acting]</t>
  </si>
  <si>
    <t>Nestor, James</t>
  </si>
  <si>
    <t>Quite a lot like "Sleep," a nice blend of Science in a digestible format about something we rarely think about; mixes stories about the catacombs of Paris and human skulls with more practical advice on breathing through the nose (I started taping my mouth to sleep immediatey AFTER reading this)</t>
  </si>
  <si>
    <t>Boy, The, The Mole, The Fox and the Horse</t>
  </si>
  <si>
    <t>Mackesy, Charlie</t>
  </si>
  <si>
    <t>Beautifully designed book that's about a 45 minute read: all about kindness and friendship, definitely gives you the feels in a few areas</t>
  </si>
  <si>
    <t>Burkeman, Oliver</t>
  </si>
  <si>
    <t>Enjoyed quite a bit, reframes from optimizing our days to reflecting more broadly on what we're working on: productivity is almost a trap because we just try to get more done. Some good parts about feeling better AFTER we narrow down our options + the idea of a fulfilled life as being one full of experiences</t>
  </si>
  <si>
    <t>Burnett, Bill &amp; Evans, Dave</t>
  </si>
  <si>
    <t>Very practical, step-by-step guide to using design-thinking and applying it to your life, specifically Health, Work, Play, &amp; Love; lots of useful frameworks</t>
  </si>
  <si>
    <t>Mochary, Matt</t>
  </si>
  <si>
    <t xml:space="preserve">Had never heard of until when I read it: helpful, very tailored advice about how to run a company, I hit Kindle highlight export limits, which is always a good sign </t>
  </si>
  <si>
    <t>Fitzpatrick, Rob</t>
  </si>
  <si>
    <t>Author of "The Mom Test" (great) which was similarly good at giving practical advice on how to refine a book, highly recommended for anybody considering writing a book in terms of the process and tactics</t>
  </si>
  <si>
    <t>Harari, Yuval Noah</t>
  </si>
  <si>
    <t>Would probably be an A-, but I started in November 2019 and read 80% before waiting 2+ years to finish it; rare blend of writing style and insights, arguably my favourite "history" book</t>
  </si>
  <si>
    <t>Wiseguy</t>
  </si>
  <si>
    <t>Pileggi, Nicholas</t>
  </si>
  <si>
    <t>Book that led to Goodfellas, so it's actually probably even better than this if you haven't seen that film half-a-dozen times. A LOT of the film is straight from this book</t>
  </si>
  <si>
    <t>Gallwey, Timothy</t>
  </si>
  <si>
    <t>Easier said than done advice around being more nonjudgmental and calm on court, thinking less and flowing more; compelling and resonates, just not quite sure how to do it :)</t>
  </si>
  <si>
    <t>Herman, Todd</t>
  </si>
  <si>
    <t>Found quite compelling about creating an alter ego - with triggers, attitudes, behaviours etc. - whether in sports, entertainment, business (e.g., presenting) and more</t>
  </si>
  <si>
    <t xml:space="preserve">Brooks, Arthur C. </t>
  </si>
  <si>
    <t xml:space="preserve">Read at just the right time - during a career break in my mid-40s - and a lot of the book resonated with me, including its main message around how as we age our fluid intelligence - raw processing power - dips but our crystallized intelligence - synthesizing and curating - increases </t>
  </si>
  <si>
    <t>Lieberman, Daniel</t>
  </si>
  <si>
    <t>Evolutionary scientist's explanation digging into why exercise is healthy + especially why lack of exercise is a problem. Enjoyed some of the research around hunter-gattherers + showing the impact of exercise on reducing risk of heart disease, cancer etc. Note: I fairly recently read "Outlive" by Peter Attia, so happy to see a fair amount of overlapping conclusions</t>
  </si>
  <si>
    <t>Clarey, Christopher</t>
  </si>
  <si>
    <t>Great read, combining compelling writing and deep tennis expertise; many of my faovurite parts were other pros talking about Federer or what it takes to win</t>
  </si>
  <si>
    <t>Kingsolver, Barbara</t>
  </si>
  <si>
    <t xml:space="preserve">Unusual blend of depressing content - mainly about the impact of painkillers across an entire region - with underlying heart and optimism; can be tough to read - because you're waiting to see what goes wrong next - but it's pretty page-turning </t>
  </si>
  <si>
    <t>Scarlet Letter, The</t>
  </si>
  <si>
    <t>Hawthorne, Nathaniel</t>
  </si>
  <si>
    <t>Hester Prynne and adultery</t>
  </si>
  <si>
    <t>Black Boy</t>
  </si>
  <si>
    <t>Wright, Richard</t>
  </si>
  <si>
    <t>Published in 1945 autobiographical account of growing up in the South</t>
  </si>
  <si>
    <t>Reasonable Doubt: The Criminal Justice System and the O.J. Simpson Case</t>
  </si>
  <si>
    <t>Dershowitz, Alan</t>
  </si>
  <si>
    <t>O.J. Simpson from a strictly legal basis: interesting</t>
  </si>
  <si>
    <t>Broken Contract: A Memoir of Harvard Law School</t>
  </si>
  <si>
    <t>Kahlenberg, Richard</t>
  </si>
  <si>
    <t>Class of '89 at HLS and how idealism for public interest law shifted to corporate law</t>
  </si>
  <si>
    <t>Brethren, The: Inside the Supreme Court</t>
  </si>
  <si>
    <t>Woodward, Bob &amp; Scott Armstrong</t>
  </si>
  <si>
    <t>Detailed take on Supreme Court 1969-1975 that touches upon larger themes as well</t>
  </si>
  <si>
    <t>Kennedy, Robert</t>
  </si>
  <si>
    <t>Cuban Missile Crisis Account late October 1962</t>
  </si>
  <si>
    <t>Best Defense, The</t>
  </si>
  <si>
    <t>Accounts of his role in several notable cases</t>
  </si>
  <si>
    <t>Once a Runner</t>
  </si>
  <si>
    <t xml:space="preserve">Parker, John L. </t>
  </si>
  <si>
    <t xml:space="preserve">Quentin Cassidy long distance runner character. </t>
  </si>
  <si>
    <t>Into the Bear Pit</t>
  </si>
  <si>
    <t>James, Mark</t>
  </si>
  <si>
    <t>1999 Ryder Cup at Brookline</t>
  </si>
  <si>
    <t>Gideon's Trumpet</t>
  </si>
  <si>
    <t>Lewis, Anthony</t>
  </si>
  <si>
    <t>Clarence Earl Gideon &amp; right to be represented, 1962</t>
  </si>
  <si>
    <t>Bush at War</t>
  </si>
  <si>
    <t>September 2001 and immediate aftermath</t>
  </si>
  <si>
    <t>Commanders, The</t>
  </si>
  <si>
    <t>Account of Gulf War, particulaly Cheney and Powell</t>
  </si>
  <si>
    <t>Natural, The: The Misunderstood Presidency of Bill Clinton</t>
  </si>
  <si>
    <t>Klein, Joe</t>
  </si>
  <si>
    <t>Democratic account of Clinton Presidency</t>
  </si>
  <si>
    <t>Fat Land: How Americans Became the Fattest People in the World</t>
  </si>
  <si>
    <t>Critser, Greg</t>
  </si>
  <si>
    <t>U.S. Obesity epidemic: simple and good</t>
  </si>
  <si>
    <t>Touching the Void: The Harrowing First Person Account Of One Man's Miraculous Survival</t>
  </si>
  <si>
    <t>Simpson, Joe</t>
  </si>
  <si>
    <t>Gripping and blunt account of now well-known mountaineering incident</t>
  </si>
  <si>
    <t>Bringing Down the House: The Inside Story of Six M.I.T Students who took Vegas for Millions</t>
  </si>
  <si>
    <t>Mezrich, Ben</t>
  </si>
  <si>
    <t>Card counting and teamwork in Casinos</t>
  </si>
  <si>
    <t>Monkey Business</t>
  </si>
  <si>
    <t>Rolph, John and Troob, Peter</t>
  </si>
  <si>
    <t>DLJ I-banking antics in 1990s</t>
  </si>
  <si>
    <t>New New Thing, The: A Silicon Valley Story</t>
  </si>
  <si>
    <t>Jim Clark &amp; Silicon Graphics/Netscape/Healtheon-WebMD: probably dated now, but great take on 1990s</t>
  </si>
  <si>
    <t>My Life</t>
  </si>
  <si>
    <t>Clinton, Bill</t>
  </si>
  <si>
    <t>957-page autobiography published June 2004</t>
  </si>
  <si>
    <t>Pygmalion</t>
  </si>
  <si>
    <t>Shaw, George Bernard</t>
  </si>
  <si>
    <t>Henry Higgins, Eliza Doolittle and "My Fair Lady"</t>
  </si>
  <si>
    <t>Problem of Pain, The</t>
  </si>
  <si>
    <t>Amazon: The reader is reminded that he is not the center of the universe as Lewis carefully rolls through the dissertation that suffering is God's will in preparing the believer for heaven and for the full weight of glory that awaits him there.</t>
  </si>
  <si>
    <t>Tipping Point, The</t>
  </si>
  <si>
    <t>Social movements and inertia</t>
  </si>
  <si>
    <t>Ladies and Gentlemen, The Bronx is Burning</t>
  </si>
  <si>
    <t>Mahler, Jonathan</t>
  </si>
  <si>
    <t>1977 New York: Yankees, David Berkowitz, Studio 54</t>
  </si>
  <si>
    <t>eBoys: The true story of the six tall men who backed eBay and other billion-dollar start-ups</t>
  </si>
  <si>
    <t>Stross, Randall</t>
  </si>
  <si>
    <t>Benchmark Capital 1996-2000 (arguably most successful fund ever)</t>
  </si>
  <si>
    <t>What should I do with my life? The true story of people who answered the ultimate question</t>
  </si>
  <si>
    <t>Bronson, Po</t>
  </si>
  <si>
    <t>Vignettes about people finding meaning in careers/life</t>
  </si>
  <si>
    <t>Everyman</t>
  </si>
  <si>
    <t>Book about life and mortality of advertising exec; Short and interesting</t>
  </si>
  <si>
    <t>Pour Your Heart Into It: How Starbucks Build a Company One Cup at a Time</t>
  </si>
  <si>
    <t>Accounts of founding of Starbucks through about 1998; Fairly readable</t>
  </si>
  <si>
    <t>growth of west coast offense made left tackle a key position in NFL; preferred football vs. Michael Oher</t>
  </si>
  <si>
    <t>Winner-Take-All, The: Why the Few at the Top Get So Much More than the Rest of Us</t>
  </si>
  <si>
    <t>Frank, Robert &amp; Cook, Philip</t>
  </si>
  <si>
    <t>Fairly academic assessment of positional goods and related positional arms races</t>
  </si>
  <si>
    <t>Perfect Thing, The: How the iPod Shuffles Commerce, Culture, and Coolness</t>
  </si>
  <si>
    <t>Levy, Steven</t>
  </si>
  <si>
    <t>Very readable account of creation and impact of iPod (shuffled by chapter)</t>
  </si>
  <si>
    <t>Arc of Ambition, The: Defining the Leadership Journey</t>
  </si>
  <si>
    <t>Champy, James &amp; Nohria, Nitin</t>
  </si>
  <si>
    <t>Full of very interesting leadership anecdotes</t>
  </si>
  <si>
    <t>Wal-Mart Effect, The: How the World's Most Powerful Company Really Works - and How It's Transforming the American Economy</t>
  </si>
  <si>
    <t>Fishman, Charles</t>
  </si>
  <si>
    <t>Societal and economic impliations of growth of Wal-Mart; Fairly objective, coming down on the slightly negative side</t>
  </si>
  <si>
    <t>Built to Last: Successful Habits of Visionary Companies</t>
  </si>
  <si>
    <t>Collins, James &amp; Porras, Jerry</t>
  </si>
  <si>
    <t>Classic details very good vs. good comparables</t>
  </si>
  <si>
    <t>Lahiri, Jhumpa</t>
  </si>
  <si>
    <t>Bengali academic families moves to Boston; Next generation Gogol challenged by heritage vs. assimilation; Very strong middle section</t>
  </si>
  <si>
    <t>Next 100 Years The: A Forecast for the 21st Century</t>
  </si>
  <si>
    <t>Friedman, George</t>
  </si>
  <si>
    <t>Probably the most interesting book I've read in 3-4 years; you may not agree with it - you probably won't - but I promise it'll make you think about global politics in the 21st century. I'd highly recommend reading the 1st third - extremely thought-provoking and compelling; the rest is more like science fiction, which is less up my alley, so might be best treated as a long article, cutting it off in about 2040..."</t>
  </si>
  <si>
    <t>Ender's Game</t>
  </si>
  <si>
    <t>Pretty interesting and fast paced account of Ender Wiggins and his path to flight school</t>
  </si>
  <si>
    <t>On Chesil Beach</t>
  </si>
  <si>
    <t>1962 marriage night nerves with interesting social commentary and surprising ending</t>
  </si>
  <si>
    <t>Reminiscing account of late 60s to early 90s Arsenal through autobiographical lens; Less amusing and more insightful than expected</t>
  </si>
  <si>
    <t>Endurance, The: Shackleton's Legendary Antarctic Expedition</t>
  </si>
  <si>
    <t>Alexander, Caroline</t>
  </si>
  <si>
    <t>1914 expedition to traverse the Atlantic and Shackleton's Leadership</t>
  </si>
  <si>
    <t>Knowledge and the Wealth of Nations: A Story of Economic Discovery</t>
  </si>
  <si>
    <t>Warsh, David</t>
  </si>
  <si>
    <t>Paul Romer '90 on Growth Economics and concept of riva vs. nonrival goods; Very interesting historical account of economics from Adam Smith to present day, with latter section a little less interesting</t>
  </si>
  <si>
    <t>Aligning the Stars: How to Succeed When Professionals Drive Results</t>
  </si>
  <si>
    <t>Lorsch, Jay &amp; Tierney, Thomas</t>
  </si>
  <si>
    <t>Professional service leadership centered around alignment issues; Not ground-breaking, but digestible, relevant, and interesting</t>
  </si>
  <si>
    <t>Lifetime in a Race, A</t>
  </si>
  <si>
    <t>Pinsent, Matthew</t>
  </si>
  <si>
    <t>Very rowing-centric autobiography seemingly aimed at rowers rather than broader audience; Easy read and pleasantly less media-trained than expected</t>
  </si>
  <si>
    <t>Memory of Running, The</t>
  </si>
  <si>
    <t>McLarty, Ron</t>
  </si>
  <si>
    <t>Dual stories of middle-aged Ignatius Reilly-type recounting cross-country bike journey and life story; Quite funny at times without any real lulls</t>
  </si>
  <si>
    <t>Dreams from My Father: A Story of Race and Inheritance</t>
  </si>
  <si>
    <t xml:space="preserve">Likeable, 7-hour Obama-narrated, abridged account of life through about 25 (through community organizing, but before HLS); </t>
  </si>
  <si>
    <t>Getting Things Done: The Art of Stress-Free Productivity</t>
  </si>
  <si>
    <t>Allen, David</t>
  </si>
  <si>
    <t>Very detail-oriented productivity system with several facets that use common sense yet are non-obvious; pretty reader-friendly</t>
  </si>
  <si>
    <t>Numerati, The</t>
  </si>
  <si>
    <t>Baker, Stephen</t>
  </si>
  <si>
    <t>Following in same vein as "Supercrunchers", looks at how mathematicians will use comprehensive data sets and advanced statistics across all areas of life; Health care section towards end particularly strong</t>
  </si>
  <si>
    <t>White Tiger, The</t>
  </si>
  <si>
    <t>Adiga, Aravind</t>
  </si>
  <si>
    <t>2008 Booker Prize; Balram Halwai; Odd take on modern Indian life, with strange but not bad combination of serious societal observations and satirical humour; Generally liked it</t>
  </si>
  <si>
    <t>House of Mondavi, The: The Rise and Fall of an American Wine Dynasty</t>
  </si>
  <si>
    <t>Siler, Julia Flynn</t>
  </si>
  <si>
    <t>Fast-moving and engaging, losing a little bit of coherence towards end, particularly as focus shifted from Peter and Robert to Robert exclusively; Generally heavier on family drame than wine business</t>
  </si>
  <si>
    <t>Drunkard's Walk, The: How Randomness Rules Our Lives</t>
  </si>
  <si>
    <t>Mlodinow, Leonard</t>
  </si>
  <si>
    <t>Light-toned and semi-chronological history of research into probabilty and statistics; Heavy overlap with Bernstein, other books of this genre, but nonetheless interesting and extremely accessible</t>
  </si>
  <si>
    <t>Mindset: The New Psychology of Success</t>
  </si>
  <si>
    <t>Dweck, Carol</t>
  </si>
  <si>
    <t>Fixed-mindset vs. growth-mindset across many domains; Very compelling main point that is slightly weakened by trying to apply it across domains (sports, business) where author is less experienced</t>
  </si>
  <si>
    <t>4-Hour Workweek: Escape 9-5, Live Anywhere, and Join the New Rich</t>
  </si>
  <si>
    <t>Helpful and entertaining first 1/2, then lull because it begins to be tactical about running business as solo (therefore less relevant for me); Good tone and some genuinely useful tips</t>
  </si>
  <si>
    <t>Beyond The Core: Expand Your Market Without Abandoning Your Roots</t>
  </si>
  <si>
    <t>Zook, Chris</t>
  </si>
  <si>
    <t>Book 2 of 3 about adjacent growth; more frameworks and slightly better in general than book one with more compelling examples of successes; Still a little bit lacking in originality beyond strengthen core, build on it</t>
  </si>
  <si>
    <t>Too Big To Fail : Inside The Battle To Save Wall Street</t>
  </si>
  <si>
    <t>Sorkin, Aaron Ross</t>
  </si>
  <si>
    <t>Not sure how accurate, but fast-paced and entertaining throughout</t>
  </si>
  <si>
    <t>Total Recall: How the E-Memory Revolution Will Change Everything</t>
  </si>
  <si>
    <t>Bell, Gordon and Gemmell, Jim</t>
  </si>
  <si>
    <t xml:space="preserve">Story about Microsoft researchers who recorded everything in lives digitally; pretty interesting with 2nd half devoted to implications for health care, privacy, productivity etc. </t>
  </si>
  <si>
    <t>The Facebook Effect: The Inside Story of the Company That Is Connecting the World</t>
  </si>
  <si>
    <t>Kirkpatrick, David</t>
  </si>
  <si>
    <t>Pretty good - and seemingly objective, if perhaps slightly sycophantic - take on early days through growth of Facebook</t>
  </si>
  <si>
    <t>The Lords of Strategy: The Secret Intellectual History of the New Corporate World</t>
  </si>
  <si>
    <t>Kiechel, Walter</t>
  </si>
  <si>
    <t>A character-based account of the origination and development of the concept of strategy through the lens of BCG, Bain, McKinsey, and Michael Porter. One rung below riveting, but extremely readable and interesting account of founding of BCG and Bain - heavy on interesting anecdotes - and subsequent growth of strategy as focal lens for where companies are trying to go and how they're trying to go there</t>
  </si>
  <si>
    <t>The Greatest Trade Ever: The Behind-the-Scenes Story of How John Paulson Defied Wall Street and Made Financial History</t>
  </si>
  <si>
    <t>Zuckerman, Gregory</t>
  </si>
  <si>
    <t>Nice blend of entertaining and easy-to-digest</t>
  </si>
  <si>
    <t>Mastering the VC Game: A Venture Capital Insider Reveals How to Get from Start-Up to IPO on your terms</t>
  </si>
  <si>
    <t>Bussgang, Jeffrey</t>
  </si>
  <si>
    <t>Readable and informative take on the VC world: not overly detailed, but good primer</t>
  </si>
  <si>
    <t>In The Plex: How Google Thinks, Works, and Shapes Our Lives</t>
  </si>
  <si>
    <t>Probably the best of the books tackling Google, but one rung below a hearty recommendation, netting out to a solid B+. Perhaps my patience is thinning, but I found the pre-IPO period pretty compelling and then it was more up-and-down bringing us to current day Google</t>
  </si>
  <si>
    <t>Lean Startup, The: How Today's Entrepreneurs Use Continuous Innovation to Create Radically Successful Businesses</t>
  </si>
  <si>
    <t>Ries, Eric</t>
  </si>
  <si>
    <t>Nice blend of high-level ideas with very tactical ideas for how to do it; only negative is it coined the word "pivot"</t>
  </si>
  <si>
    <t>I'm Feeling Lucky: The Confessions of Google Employee Number 59</t>
  </si>
  <si>
    <t>Edwards, Douglas</t>
  </si>
  <si>
    <t>1999-2005 Google through lens of one of first marketing employees; pretty interesting - actually learned fair amount about Google - with heavy emphasis on Marissa Mayer conflicts</t>
  </si>
  <si>
    <t>Fault In Our Stars, The</t>
  </si>
  <si>
    <t>Greene, John</t>
  </si>
  <si>
    <t>16-year-olds with cancer: pretty dark and thought-provoking; can see how others would love it, but merely liked it</t>
  </si>
  <si>
    <t>Sweet Tooth</t>
  </si>
  <si>
    <t>1970s spy drama told through lens of female protagonist; some very strong part - including some suspence - but 1-2 levels below his work I've enjoyed the most</t>
  </si>
  <si>
    <t>Gone Girl</t>
  </si>
  <si>
    <t>Flynn, Gillian</t>
  </si>
  <si>
    <t>Very strong middle 2/3rds with elements of being a real page-turner; ending very disappointing, but nice blends of thriller with some social commentary that's thought-provoking</t>
  </si>
  <si>
    <t>Mortality</t>
  </si>
  <si>
    <t>Hitchens, Christopher</t>
  </si>
  <si>
    <t>Enjoyed several pieces + his general writing style, but can't remember anything about the actual content 2 months later</t>
  </si>
  <si>
    <t>To Sell is Human: The Surprising Truth About Moving Others</t>
  </si>
  <si>
    <t>Some great pieces and some obvious pieces about the value of learning sales skills &amp; growing (vs. declining) importance of sales</t>
  </si>
  <si>
    <t xml:space="preserve">Manage Your Day-to-Day: Build Your Routine, Find Your Focus, and Sharpen Your Creative Mind (The 99U Book Series) </t>
  </si>
  <si>
    <t>Glei, Jocelyn</t>
  </si>
  <si>
    <t>Series of vignettes about personal productivity; several quite good ideas</t>
  </si>
  <si>
    <t>Emotional Intelligence: 10th Anniversary Edition; Why It Can Matter More Than IQ</t>
  </si>
  <si>
    <t>Goleman, Daniel</t>
  </si>
  <si>
    <t>Enjoyed first 40% a good deal, then delves overly into development psychology for my taste and away from practical tips</t>
  </si>
  <si>
    <t>Death Be Not Proud</t>
  </si>
  <si>
    <t>Gunther, John J.</t>
  </si>
  <si>
    <t>1940s accounts of 17-year-old son dying of a brain tumour; surprisingly timeless and poigant despite reading almost 70 years late</t>
  </si>
  <si>
    <t>kindle</t>
  </si>
  <si>
    <t>Maximizing Lead Generation: The Complete Guide to B-to-B Marketers</t>
  </si>
  <si>
    <t>Stevens, Ruth</t>
  </si>
  <si>
    <t>Simply written and useful guide to demand generation across different channels and tactics; strong primer</t>
  </si>
  <si>
    <t>Bilton, Nick</t>
  </si>
  <si>
    <t>Highly entertaining and soap operatic tale of backstabbing and dysfunction galore at Twiitter 2006-2010 [not sure of accuracy]</t>
  </si>
  <si>
    <t>Heath, Chip &amp; Heath, Dan</t>
  </si>
  <si>
    <t xml:space="preserve">Fairly pithy and fast-paced account of making things memorably via SUCCES (Simple, Unexpected, Concrete, Credible, Emotions, Story) </t>
  </si>
  <si>
    <t>Fair amount of overlap with "emotional intelligence" and felt heavier on theory than "here's what I will do differently tomorrow" than ideal</t>
  </si>
  <si>
    <t>Companion book to "The Talent Code" getting into more tactical tips; pretty good</t>
  </si>
  <si>
    <t>Rise of the Revenue Marketer</t>
  </si>
  <si>
    <t>Qaqish, Debbie</t>
  </si>
  <si>
    <t>Fairly informative take on making marketing a revenue center with highly quantifiable metrics vs. a cost center</t>
  </si>
  <si>
    <t>Revenue Engine</t>
  </si>
  <si>
    <t>Woods, Steve &amp; Shootman, Alex</t>
  </si>
  <si>
    <t>Entering in early 2020, can't remember specifics beyond finding it useful while digging into demand gen marketing</t>
  </si>
  <si>
    <t>Needles, Adam</t>
  </si>
  <si>
    <t>Pretty good take on how to make B2B marketing more buyer-focused and operations driven; some parts were better than others; introduced very lightly concept of "demand-chain" that I liked a good deal</t>
  </si>
  <si>
    <t>Holiday, Ryan</t>
  </si>
  <si>
    <t>Speed-read talking about blend of engineering/marketing/product tweaks that have driven growth for numerous Silicon Valley startups</t>
  </si>
  <si>
    <t>McKeown, Greg</t>
  </si>
  <si>
    <t>Lots of good advice where I think I would have enjoyed it more if it had been more detailed at practical "how to" level vs. a bit more abstract; most of content is published on LinkedIn by author</t>
  </si>
  <si>
    <t>Might be being a little harsh here: very interesting and nicely blends stories, data, and tips; went 3 weeks between 80% finished and 100% finished, which suggests I didn't love it, but took lots of notes etc. so feels like I was more engaged than I now recall being</t>
  </si>
  <si>
    <t>Sharma, Akhil</t>
  </si>
  <si>
    <t>Dark story about an Indian family in the US: some good parts where expected more</t>
  </si>
  <si>
    <t>Cohn, Jonathan</t>
  </si>
  <si>
    <t>US health care crisis told primarily through specific vignettes</t>
  </si>
  <si>
    <t>Carstensen, Laura</t>
  </si>
  <si>
    <t>Take on socio-emotional selectivitiy theory and the impact of baby boomers aging</t>
  </si>
  <si>
    <t>Schumacher, Julie</t>
  </si>
  <si>
    <t>Satirical and entertaining take on academia via letters of recommendation: gimmicky but works and is nicely short</t>
  </si>
  <si>
    <t>Berger, Jonah</t>
  </si>
  <si>
    <t>Little bit like "Tipping Point" but more practical and will some good vignettes; has an excellent 1-hour Lynda.com/LinkedIn Learning course that summarizes a good deal of book</t>
  </si>
  <si>
    <t>Brown, Daniel James</t>
  </si>
  <si>
    <t xml:space="preserve">I'm supposed to LOVE this book (5 stars on Amazon + sports non-fiction and rowing is a sport I spent 3 years obsessed about), so perhaps my expectations were too high; enjoyed it, but less than seemingly almost everybody else </t>
  </si>
  <si>
    <t>Andy Weir</t>
  </si>
  <si>
    <t>Pretty compelling account of a lone astronaut stranded on mars; slighly slow start and then picks up nicely</t>
  </si>
  <si>
    <t>Harris, Sam</t>
  </si>
  <si>
    <t>Very short and more of an article than a book with very direct "don't lie" message where pieces around "white lies" are most interesting</t>
  </si>
  <si>
    <t>Elberse, Anita</t>
  </si>
  <si>
    <t>HBS professor talking about how all entertainment businesses are converging more towards a fatter tale than a long-tail</t>
  </si>
  <si>
    <t>Catmull, Ed</t>
  </si>
  <si>
    <t>Part biographical, part managment advice; enjoyable throughout where Forbes suggested as "best book ever written" which may have overhyped my expectations</t>
  </si>
  <si>
    <t>Richards, Keith</t>
  </si>
  <si>
    <t>2010 autobiography consumed via Audible with Johnny Depp reading about 1/3 of it; first good first 1/3 to 1/2 (1943 to about 1970) and then the mid-70s feels overfocused on drugs; 1995 to 2010 feels light</t>
  </si>
  <si>
    <t>Offerman, Nick</t>
  </si>
  <si>
    <t>"Ron Swanson" semi-autobiographica tale and semi-self-help book: some parts very funny (accentuated by author reading this) and some parts less so; Light overall as in light-hearted and not very memorable 48 hours later</t>
  </si>
  <si>
    <t>Eskens, Allen</t>
  </si>
  <si>
    <t>Pretty good overall with blend of pageturning pschological thriller and some pretty deep character development</t>
  </si>
  <si>
    <t>Sheers, Owen</t>
  </si>
  <si>
    <t>Hampstead-based tale about middle-age + morality; pretty good, but expected more</t>
  </si>
  <si>
    <t>Interesting, but hard to recall specific, book on productivity</t>
  </si>
  <si>
    <t>Newport, Cal</t>
  </si>
  <si>
    <t>Nice blend of practical and theoretical on focusing on more meaningful work vs. getting lost in social media, emails, meetings etc.</t>
  </si>
  <si>
    <t>Cain, Susan</t>
  </si>
  <si>
    <t>Enjoyed, but read over a few phases vs. devouring in one go; some useful parenting tips in particular; given I'm right in between on introvert vs. extrovert - learned the phrase "ambivert!" - perhaps resonated slighly less than if more dominantly introverted?</t>
  </si>
  <si>
    <t>Chace, Calum</t>
  </si>
  <si>
    <t>Feels like a good intro to AI book that's easier to digest than some of the other ones</t>
  </si>
  <si>
    <t>Vance, Ashlee</t>
  </si>
  <si>
    <t>Combination of bio of Elon Musk and exploration of SpaceX and Tesla in particular; didn't get a great sense for Musk outside of work (although sounds like he works enough that perhaps there isn't that much! :))</t>
  </si>
  <si>
    <t>Menkes, Justin</t>
  </si>
  <si>
    <t>Written by Spencer Stuart expert on BigCo CEO where breaks down CEO capabilities into 1) Realistic Optimism, 2) Focus on mission/purpose; 3) Finding order in chaos. Lots of anecdotes about good/bads from CEOs and CEO interviews</t>
  </si>
  <si>
    <t>Similar general format/writing style as "Ego is the Enemy" where enjoyed listening to it and will return to it</t>
  </si>
  <si>
    <t>Nice blend of show me and tell me across numerous anecdotes; read via combination of Kindle and Audible</t>
  </si>
  <si>
    <t>Ferguson, Alex and Moritz, Michael</t>
  </si>
  <si>
    <t>Well-written and often insightful read around Alex Ferguson's tactics to manage Manchester United to so much success</t>
  </si>
  <si>
    <t>Miller, James Andrew</t>
  </si>
  <si>
    <t>Like SNL and ESPN books, really interesting tale of evolution of CAA; first 20 years 1975-1995 is much more interesting (especially first 10) where stays compelling but Michael Ovitz is clearly the star of the book and his presence lessens quickly post about 2000</t>
  </si>
  <si>
    <t>Mullainathan, Sendhil &amp; Shafir, Eldar</t>
  </si>
  <si>
    <t>Discussions around tunneling (benefits/costs), bandwidth and slack where main point is that low bandwidth (via scarcity) can lead to bad outcomes and where continued poverty is because insufficient slack means bumps in road lead to patterns of loan-taking etc.</t>
  </si>
  <si>
    <t>St Aubyn, Edward</t>
  </si>
  <si>
    <t>1st book of 5: Patrick Melrose as 5-year old, primarily focused on parents, their friends, and British upper classes; few great phrases, few really unpleasant story points, overall pretty fast-moving</t>
  </si>
  <si>
    <t>5th book of 5: funeral not long after book 4 finishes that wraps up elements of story while leaving room for a potential 6; good book-end where generally books 1 and 5 are best, 3 isn't bad, and liked 2 least, 4 a bit better than 2</t>
  </si>
  <si>
    <t>Doty, James</t>
  </si>
  <si>
    <t>Neurosurgeon reflecting on learning compassion and meditation while in early teen years; part auto-biography, part Eastern medicine, part neuro-psychology; pretty good overall</t>
  </si>
  <si>
    <t>Noah, Trevor</t>
  </si>
  <si>
    <t>Partial memoir, partial mother-son bonding story; more touching than funny (outside of 1 Hitler-related anecdote that's both wildly inappropriate and laugh-out-loud-funny)</t>
  </si>
  <si>
    <t xml:space="preserve">Brown, Brene </t>
  </si>
  <si>
    <t>Good listen where didn't input this for several months and can't remember anything specific about book aside it being introspective and raw; can't recall any core ideas beyond leaning into vulnerability</t>
  </si>
  <si>
    <t>Manson, Mark</t>
  </si>
  <si>
    <t>Blend of stoicism, prioritization, and general advice; fair amount of overlap with Ryan Holliday's books; partially issue with Audible/my retention, can't remember a lot of specifics only a few months afterwards</t>
  </si>
  <si>
    <t>Keller, Gary</t>
  </si>
  <si>
    <t>A little bit heavy on jargon around ONE thing, but especially from mid-point on, has some very practical "should do" tips</t>
  </si>
  <si>
    <t>Waitzkin, Josh</t>
  </si>
  <si>
    <t>Autobiographical tale of chess prodigy turned tai chi expert; more of  an interesting story than something that, to me at least, had broader implications in terms of how to learn</t>
  </si>
  <si>
    <t>Lencioni, Patrick</t>
  </si>
  <si>
    <t>Prettty actionable 5-step way to diagnose how effectively a team is actually a team + is working together</t>
  </si>
  <si>
    <t>Cranston, Bryan</t>
  </si>
  <si>
    <t>Nice blend of intro to Hollywood, autobiography, and just the right amount of "Walter White"</t>
  </si>
  <si>
    <t>Roll, Rich</t>
  </si>
  <si>
    <t>Very tailored to me: former Stanford athlete + ultra endurance athletics + middle age (gulp!); a little heavier on preaching about a plant-based diet from about 50% of the way through - vs. being more purely biographical - but still good and generally highly motivational</t>
  </si>
  <si>
    <t>Chang, Emily</t>
  </si>
  <si>
    <t>Misleading title and press about sex parties where it's 80% thoughtful research around evolution of CS degrees, hiring practices, PayPal mafia and about 20% more titillating and salacious</t>
  </si>
  <si>
    <t>Benedict, Jeff &amp; Keteyian, Armen</t>
  </si>
  <si>
    <t>Biography of Tiger Woods, with a fair amount of stuff I hadn't read before, almost all of which made him come across as more immature and dislikable than expected; very quick read even if book is relatively long</t>
  </si>
  <si>
    <t>Hutchinson, Alex</t>
  </si>
  <si>
    <t>Fairly academic take on how people think about the mental side of elite endurance running, including the "Central Governor Theory"; probably better as Kindle in terms of recalling specific takeaways</t>
  </si>
  <si>
    <t>Kelly, Kevin</t>
  </si>
  <si>
    <t>Lots of interesting pieces (12 chapters) where read over period of months and lack of overarching narrative means it's harder to remember; felt a bit more like series of very well written articles than overall book</t>
  </si>
  <si>
    <t>Jurek, Scott</t>
  </si>
  <si>
    <t>Blend of "race" journal and philosophy/autobiography that has elements of being a page-turner; certainly checks the motivational box</t>
  </si>
  <si>
    <t>Rosling, Hans</t>
  </si>
  <si>
    <t>Compelling throughout where felt as though it could be a very good article vs. a full-fledged book; nice mix of stats and vignettes around general misconceptions that poverty + many other issues are worsening vs. rapidly improving</t>
  </si>
  <si>
    <t>Danziger, Michael</t>
  </si>
  <si>
    <t>Autobiographical listen of author reflecting on his time on Yale crew team in early 1980s; pretty funny with some broader themes around elite education, rowing, and life in general where I came away really enjoying it and finding the author immenself likable</t>
  </si>
  <si>
    <t>Gregory, Tom</t>
  </si>
  <si>
    <t>Written many years later, memoir of a British Boy who swam the English Channel in 1988 before his 12th birthday; enjoyed some of the 1980s London/Britain references + generally nice blend of coming of age + motivational + athlete-coach dynamics</t>
  </si>
  <si>
    <t xml:space="preserve">Itzler, </t>
  </si>
  <si>
    <t>Follow-up to "Living with a Seal" where this one wasn't quite as entertaining, but his charisma comes through in recounting his tales + enjoyed the final section about his key items learned, especially "Remember Tomorrow")</t>
  </si>
  <si>
    <t>Tevis, Walter</t>
  </si>
  <si>
    <t>Not the type of book I typically read: mid-20th century novel about a female chess prodigy that has elements of being a thriller, elements of an addiction-memoir, and elements of high stakes chess; ends earlier in the story than I'd expected where I'd have been happy to read more</t>
  </si>
  <si>
    <t>Hoffman, Reid &amp; Yeh, Chris</t>
  </si>
  <si>
    <t>Silicon Valley companies prioritizing speed of growth over efficiency with some good nuances about different business models; probably less lingering frameworks in my brain than either "Startup of You" or "The Alliance" but another insightful Reid read</t>
  </si>
  <si>
    <t>Iger, Bob</t>
  </si>
  <si>
    <t>Compelling memoir that's pretty gradual across his entire career vs. exclusively focusing on his time as CEO; lacking deep insights or deep gossip, but projects a tremendous sense of capability</t>
  </si>
  <si>
    <t>Excellent Audible listen in terms of his voice and pithy stories; general points around how poorly we can identify lying and know what others are thinking; Brock Turner, Sylvia Plath, Amanda Knox, Bernie Madoff, torture/KSM, Jerry Sandusky, and Sandra Bland and police patroling; main item is defaulting to trusting people is expedient (and occasionally very wrong)</t>
  </si>
  <si>
    <t>Taking advantage of constraints etc.; most interesting parts were the smarter your peer group, the less smart you feel and the more likely you are to drop out; dyslexia; good anecdotes about David &amp; Goliath's story (David was actually advantaged) and women's junior high basketball; California's 3 strikes law</t>
  </si>
  <si>
    <t>Zhuo, Julie</t>
  </si>
  <si>
    <t xml:space="preserve">Summarizing 5+ months later and don't remember specifics, but plenty of Kindle highlights and recall enjoying it; generally her Medium posts are excellent too
</t>
  </si>
  <si>
    <t>Epstein, David</t>
  </si>
  <si>
    <t>Roger vs Tiger and generally arguments for range and breadth trumping specialization in most environments (unless it's a really specific, rule-based activity). connected a bit to Tetlock's "superforecasters" and overall was easy to read while including a ton of documentation</t>
  </si>
  <si>
    <t>Goggins, David</t>
  </si>
  <si>
    <t>Some really motivating stuff where it was just a little bit too long and meandering for me to love it; a lot of "this guy is crazy (impressive)" nicely mixed with some specific tips around "The Cookie Jar" and "The Accountability Mirror" that resonated with me [BTW liked "Living with a Seal" even more (about author living with  Itzler): really hilarious on Audible]</t>
  </si>
  <si>
    <t>O'Kelly, Eugene</t>
  </si>
  <si>
    <t>KPMP US CEO diagnosed with brain tumour and ~100 days to live: some interesting reflections his life + approach to death where glad I read it; to be morbid, not quite as good as "Not Fade Away" and "When Breath Becomes Air," although I'd recommend all 3</t>
  </si>
  <si>
    <t>Seneca the Younger</t>
  </si>
  <si>
    <t>Some deeply insightful parts (as you'd expect from text that's now thousands of years old and still recommended) that is marred by a lot of repetition (and a bit of stuff that's not relevant in 2019, which feels unfair to critcize on, but it still takes away from the read). Makes me appreciate Ryan Holiday for synthesizing Stoic philosophies since originals are harder going</t>
  </si>
  <si>
    <t>Gottman, John</t>
  </si>
  <si>
    <t>Book about trust as the guiding foundation of relationships, including several quizzes to measure trust in different areas; easy to read and practical, perhaps a little bit overfocused on how empirical all its recommendations are (based upon relatively low N, potentially hand-picked experiments)
 and how all interactions and relationships tie back to game theory</t>
  </si>
  <si>
    <t xml:space="preserve">Jackson, Brown Hr., H
</t>
  </si>
  <si>
    <t>1500+ one-liners pieces of advice from a dad to his college freshman son in the 1990s; about 10% of them really perceptive and maybe 20 I loved; that it's written in the 1990s is a feature vs. a bug in terms of the outdated ones make one feel nostalgic; actually bought the physical book, which is nice; good one to have on a coffee table (if we actually had a coffee table)</t>
  </si>
  <si>
    <t>Bishop, Gary John</t>
  </si>
  <si>
    <t>Short and punchy take on adapting self-talk and attitude, blending elements of Stoicism and self-help; emphasis on more positive self-talk across 7 personal assertions: "“I am willing.” “I am wired to win.” “I got this.” “I embrace the uncertainty.” “I am not my thoughts; I am what I do.” “I am relentless.” “I expect nothing and accept everything.” Enjoyed where felt like a repackaging of ideas read about elsewhere vs. truly new concepts</t>
  </si>
  <si>
    <t>Roach, Michael &amp; McNally, Christine</t>
  </si>
  <si>
    <t>Enjoyed where reflecting back a few weeks later I don't remember much beyond it being about karma and mental imprints, so it didn't "imprint" as much on me as I'd expected while reading</t>
  </si>
  <si>
    <t>Frier, Sarah</t>
  </si>
  <si>
    <t>A fair amount of Instagram information that I wasn't aware of, all packaged together in pretty page-turning fashion; good to read in parallel with "Facebook: The Inside Story")</t>
  </si>
  <si>
    <t xml:space="preserve">Pretty authoritative and somewhat entertaining at times, especially on the phases post-2016 where there are more downs than ups </t>
  </si>
  <si>
    <t>Epstein, Jesse</t>
  </si>
  <si>
    <t>LinkedIn colleague talking through better understanding best-in-class sales; several on the ground tips I'll incorporate in general (well outside of sales)</t>
  </si>
  <si>
    <t>Delaney, Kevin John</t>
  </si>
  <si>
    <r>
      <rPr>
        <color rgb="FF000000"/>
        <sz val="10.0"/>
      </rPr>
      <t xml:space="preserve">LinkedIn colleague walking through appreciating life + aspiring for more via a series of exercises and stories about both himself and others; I knew many of the stories, but he wraps them all together really cleanly; generally Kevin is an incredible speaker, so I'd recommend watching videos such as this one: </t>
    </r>
    <r>
      <rPr>
        <color rgb="FF1155CC"/>
        <sz val="10.0"/>
        <u/>
      </rPr>
      <t>https://youtu.be/dR-asutg1Tk</t>
    </r>
  </si>
  <si>
    <t>Faber, Adele &amp; Maxlish, Elaine</t>
  </si>
  <si>
    <t>~40-year-old book about child-raising, blending acknowledging child's feelings, factually describing situations vs. making judgments and more; useful cartoons and nicely digestible</t>
  </si>
  <si>
    <t>Same authors as "How to talk so kids will listen..." where this one felt slightly less insightful, but probably because there was overlap with the first book</t>
  </si>
  <si>
    <t>Moawad, Trevor</t>
  </si>
  <si>
    <t>Sports psychology around the value of neutral thinking in particular, not getting too up or too down; a fair amount of overlap with "nextplay" ethos from Coach K and LinkedIn. Some similarities with "cookie jar" from David Goggins around imprinting memories from the past of pushing through tough moments</t>
  </si>
  <si>
    <t>Posits that receiving feedback is the key part of the giver-taker feedback dynamic; a fair amount of good stuff, where I didn't retain the key takeaways absent re-reading my highlights, so it lacks a clear pull-through and/or my memory isn't good enough</t>
  </si>
  <si>
    <t>Full Body Yes: Change Your Work and Your World from the Inside Out</t>
  </si>
  <si>
    <t>Shute, Scott</t>
  </si>
  <si>
    <t>Written by one of my favourite LinkedIn colleagues, lots of great anecdotes and generally a very uplifting read</t>
  </si>
  <si>
    <t>Connect: Building Exceptional Relationships with Family, Friends, and Colleagues</t>
  </si>
  <si>
    <t>Bradford, David &amp; Robin, Carole</t>
  </si>
  <si>
    <t>Taken from well-known GSB course, I may have gone in with overly high expectations since some folks LOVE this course and book. I enjoyed it, where now a few months afterwards I don't have great recall on the key elements, so the larger themes didn't embed in me</t>
  </si>
  <si>
    <t>Inequality Machine, The: How College Divides Us</t>
  </si>
  <si>
    <t>Tough, Paul</t>
  </si>
  <si>
    <t>Not exactly uplifting, but recommended read on the importance of a university education, including delving into how poor students do at elite universities and how admissions work at these institutions (note: they admin rich students)</t>
  </si>
  <si>
    <t>Blanchard, Ken &amp; Johnson, Spencer</t>
  </si>
  <si>
    <t xml:space="preserve">Short and pithy advice around management: enjoyed idea of whether people and the organization profit from your presence + catching people doing something right (vs. leave-alone-zap style of being hands off until jumping in to zap). Core ideas around the number one motivator of people is feedback on results </t>
  </si>
  <si>
    <t>Recommendation from Ben Casnocha: highly practical book on customer validation; could probably have been even shorter, but loved the simplicity of advice on focusing on real pain points in the past (vs. theoretical future needs) and not fishing for compliments</t>
  </si>
  <si>
    <t>Fosslien, Liz &amp; West Duffy, Mollie</t>
  </si>
  <si>
    <t>Easy to read and some great graphics - really the highlight of the book - where only a couple days after reading, I don't remember (m)any specifics. Lots of practical suggestions, but I don't know the overarching "so what" that's supposed to come through. NOTE: after reviewing notes, many more compelling items, so perhaps it's my memory that's at fault ;)</t>
  </si>
  <si>
    <t>Smith, Will</t>
  </si>
  <si>
    <t>Will Smith autobiography when in early-mid 50s; great Audible listen blending humour, humility, and a lot of content about stressors I wasn't aware of; enjoyed the last third the least, feels like he's still WIP in figuring stuff out, so kudos to him for using this book as a means of therapy [NOTE: comments above written ~3 months before Chris Rock happened :)]</t>
  </si>
  <si>
    <t>Greene, Robert</t>
  </si>
  <si>
    <t>Reads as long (it's only ~350 pages) and interesting, where lacks easy to remember "so what" takeaways aside from the value of apprenticeship and humility, where I can't remember easily the next level down more tactical suggestions</t>
  </si>
  <si>
    <t>Robbins, Mel</t>
  </si>
  <si>
    <t>Immediately after reading it, liked it more, where a few months later I've downgraded to a B+ because I'm not high fiving myself and I don't remember much of the rest the book; The 1-liner is to high five yourself in the bathroom mirror every morning</t>
  </si>
  <si>
    <t>Savage, Thomas</t>
  </si>
  <si>
    <t>Fairly slow and slightly hard to follow, with an excellent ending turning what was an underwhelming read for the first 90% into something that was really thought provoking and surprising</t>
  </si>
  <si>
    <t>Didion, Joan</t>
  </si>
  <si>
    <t>Reflection the year following her death: covers grief and reflections, weaving some mourning with autobiographial and memoir</t>
  </si>
  <si>
    <t>Liked how practical it in terms of reinforcing the major points around four types of regret: foundational (e.g., health, $$), boldness (steps not taken),  relationships and morality, Very readable prose</t>
  </si>
  <si>
    <t>Hillenbrand, Laura</t>
  </si>
  <si>
    <t>Incredibly depressing (especially torture) and fairly fast-paced tale of Olympic runner turner US army and then prisoner of war</t>
  </si>
  <si>
    <t>Baumgartner, Brian &amp; Silverman, Ben</t>
  </si>
  <si>
    <t>Super fast-paced and easy to follow along oral history</t>
  </si>
  <si>
    <t>Lowe, Rob</t>
  </si>
  <si>
    <t>Great listen thanks to combinaion of his entertaining stories + delivery; if you're a Rob Lowe fan, I can't see how you wouldn't enjoy this listen/book</t>
  </si>
  <si>
    <t>Enjoyed, but perhaps I'm overly comparing it to "The Nickel Boys"  (which I loved), where I read it over several weeks vs over 24 hours like most books that really grab me</t>
  </si>
  <si>
    <t>Housel, Morgan</t>
  </si>
  <si>
    <t>Simple but not simplistic take on personal finance, with some personality in the writing and blend of obvious and non-obvious</t>
  </si>
  <si>
    <t>de Mello, Anthony</t>
  </si>
  <si>
    <t>Enjoyed quite a bit, where recall a month after is low beyond separating emotions from actions</t>
  </si>
  <si>
    <t>Book 2, with the same blend of directness, profanity, and storytelling, but missing more of the frameworks and tools that "Can't Hurt Me" had; if you like Goggins, you'll like this; if you don't know who Goggins in, probably not for you</t>
  </si>
  <si>
    <t>Zevin, Gabrielle</t>
  </si>
  <si>
    <t>Really enjoyed first 2/3rds, mixing a bit of elite college stuff (a la "The Secret History), video games, and romantic tension, where unlike the best games it didn't feel like it had a clear ending. Enjoyed the prose style and overall mix of sadness/reflection and optimism/possibility</t>
  </si>
  <si>
    <t>Stanger, Shelby</t>
  </si>
  <si>
    <t>Blend of vignette/stories and personal experience about nature and adventuring; liked quite a bit, where it's missing an overall idea (beyond nature and adventure is good) to push it into A territory</t>
  </si>
  <si>
    <t>Sethi, Ramit</t>
  </si>
  <si>
    <t>Read in mid-forties - not really the target audience - so it could be in an A- if I were in my twenties since liked the style and the content quite a bit (just a bit less relevant on about half the topics)</t>
  </si>
  <si>
    <t>Vaughan, Sarah</t>
  </si>
  <si>
    <t>Fairly page-turny book that I wish had just a bit more nuance and cleverness (expected just a bit more from both of the twists): enjoyed some of the early 1990s Oxford references</t>
  </si>
  <si>
    <t>A bit like Elon Musk himself, a blend of energizing and exhausting (it's long and Musk has just done so many things, especially in the 2010-2023 time period), where it's certainly enjoyable - blending some deep insights and some hardcore gossip - and Isaacson has an awesome "Show, don't tell" style</t>
  </si>
  <si>
    <t>Perkins, Bill</t>
  </si>
  <si>
    <t>Gimmicky title, good read: basic premise is that health and wealth usually don't correlate, so the key is spending earlier while health is high. People tend to overestimate their health and interest in major travel post-retirement</t>
  </si>
  <si>
    <t>Ramanujam, Madhavan &amp; Tacke, George</t>
  </si>
  <si>
    <t>Highly practical book along the lines of "The Mom Test" and "The Great CEO Within," read by two Simon Kucher partners. Good mix of theory and case studies, dipping into over-academic a few times, but primarily digestible and practical</t>
  </si>
  <si>
    <t>Greger, Michael &amp; Stone, Gene</t>
  </si>
  <si>
    <t>Probably just slightly dogmatic in terms of being pro-vegan, but thorough treatise on all things nutrition</t>
  </si>
  <si>
    <t>Pollan, Michael</t>
  </si>
  <si>
    <t>"Eat Food. Not Too Much. Mainly Plants" is my favourite 7-word summary of a book ever. Rest of the book is fine, just a bit lower on deeper insights that felt novel vs more detail on a super clear main thesis</t>
  </si>
  <si>
    <t>Dicks, Matthew</t>
  </si>
  <si>
    <t>Has a series of strong suggestions for telling stories, most of which were new to me; all told in the context of sharing a few stories that were both funny and poignant</t>
  </si>
  <si>
    <t>Gil, Elad</t>
  </si>
  <si>
    <t>Lots of helpful advice from somebody who's been there and done that several times: nicely pragmatic and on-the-ground</t>
  </si>
  <si>
    <t>Lafley, A.G., and Martin, Roger</t>
  </si>
  <si>
    <t>Easy to digest advice on breaking down strategy into its component parts. Not surprisingly, a little overfocused on P&amp;G</t>
  </si>
  <si>
    <t>Rego, Simon A.</t>
  </si>
  <si>
    <t>Very practical set of Cognitivie Behavioral Therapy exercises</t>
  </si>
  <si>
    <t>Johnson, Denis</t>
  </si>
  <si>
    <t>Novella blending a stoic male in the early-mid 20th century, with the backdrop of cultural and technological evolution</t>
  </si>
  <si>
    <t>Stegner, Wallace</t>
  </si>
  <si>
    <t>Really enjoyed the youthful parts, didn't enjoy the ailment/frailness of the more elderly parts, which is almost certainly less about the prose and more about my mental readyness to consider being older ;) A little more descriptive of scenes - versus progressing pure plot - than I usually enjoy</t>
  </si>
  <si>
    <t>Strout, Elizabeth</t>
  </si>
  <si>
    <t>Book 1 of the Olive Kitteridge series; enjoyed both discovering Olive, but also understanding the cast of characters of the fictional town of Crosby, Maine</t>
  </si>
  <si>
    <t>Book 2 of the Olive Kitteridge series; I don't remember the specific plot, but I know I enjoyed a slightly older version of Olive + a similarly interesting range of stories as Book 1</t>
  </si>
  <si>
    <t>Ryan, Patrick</t>
  </si>
  <si>
    <t xml:space="preserve">Ohio 1950s for next few generations across two couples: just a bit more depressing than my preference, but pretty good; from seeing Crossing to Safety above, a few similarities in terms of two couples, although this one skewed narrower versus flushing out all 4 characters </t>
  </si>
  <si>
    <t>Great Gatsby, The</t>
  </si>
  <si>
    <t>Fitzgerland, F. Scott</t>
  </si>
  <si>
    <t>Jay Gatsby and Daisy Buchanan: didn't love it as much as I'm supposed to [Note: I've read it again in the intervening years and liked it more, but still far from worshipping it]</t>
  </si>
  <si>
    <t>One L: The Turbulent True Story of a First Year at Harvard Law School</t>
  </si>
  <si>
    <t>Turow, Scott</t>
  </si>
  <si>
    <t>1975-1976 at Harvard Law School - doesn't make you want to go to law school, but certainly interesting</t>
  </si>
  <si>
    <t>Harry Potter V: HP &amp; the Order of the Phoenix</t>
  </si>
  <si>
    <t>HP 5: by far my least favourite of the series, but it's still fairly good</t>
  </si>
  <si>
    <t>Brush with the Law</t>
  </si>
  <si>
    <t>Byrnes, Robert &amp; Marquart</t>
  </si>
  <si>
    <t>Crack habits and Gambling at Stanford and Harvard Law School; Quin Emmanuel lawyers</t>
  </si>
  <si>
    <t>New Imperialists, The</t>
  </si>
  <si>
    <t xml:space="preserve"> Leibovich, Mark</t>
  </si>
  <si>
    <t>Profiles of Jeff Bezos, Steve Case, John Chambers, Larry Ellison, Bill Gates (2nd time reading)</t>
  </si>
  <si>
    <t>Predator's Ball, The: The Inside Story of Drexel Burnham and the Rise of the Junk Bond Raiders</t>
  </si>
  <si>
    <t>Bruck, Connie</t>
  </si>
  <si>
    <t>Michael Milken and Drexhel Burnham, particularly focusing on 1984-1987</t>
  </si>
  <si>
    <t>Silicon Valley Edge, The - A Habitat for Innovation and Entrepreneurship</t>
  </si>
  <si>
    <t>Lee, Chong-Moon and others</t>
  </si>
  <si>
    <t>19 chapters specifically focusing on why Silicon Valley has become the epicenter of global technology; published in early 2000</t>
  </si>
  <si>
    <t>Silas Marner</t>
  </si>
  <si>
    <t>George Eliot</t>
  </si>
  <si>
    <t>Mid-19th century England weaver and village life</t>
  </si>
  <si>
    <t>Smartest Guys in the Room, The</t>
  </si>
  <si>
    <t>McLean, Bethany &amp; Elkind, Peter</t>
  </si>
  <si>
    <t>Fall of Enron; Basis for film - pretty interesting</t>
  </si>
  <si>
    <t>Start Up: A Silicon Valley Adventure</t>
  </si>
  <si>
    <t>Kaplan, Jerry</t>
  </si>
  <si>
    <t>GO start up for pen computing 1987-1994</t>
  </si>
  <si>
    <t>In Search of Excellence: Lessons from America's Best Run Companies</t>
  </si>
  <si>
    <t>Peters, Tom &amp; Waterman, Robert</t>
  </si>
  <si>
    <t>Original study of great companies, several of which subsequently failed (e.g. Wang, DEC)</t>
  </si>
  <si>
    <t>I Am Charlotte Simmons</t>
  </si>
  <si>
    <t>Freshman life at Duke/Stanford - poor ending</t>
  </si>
  <si>
    <t>Hooking Up</t>
  </si>
  <si>
    <t>Variety of essays focused on turn of 21st century; Strong: Edward O.Wilson's Sociobiology, Bob Noyce; Weak: pieces on youth sex,  Sculptors, Harold Ross (founder of New Yorker) and Novella about homophobia within military</t>
  </si>
  <si>
    <t>Harry Potter VII: HP &amp; The Deadly Hallows</t>
  </si>
  <si>
    <t>Disappointing ending and epilogue, but still entertaining blend of suspense, humor and a little depth</t>
  </si>
  <si>
    <t>Me Talk Pretty One Day</t>
  </si>
  <si>
    <t>Sedaris, David</t>
  </si>
  <si>
    <t>Very funny beginning with uneven but very quick chapters through remainder of book; "the opposite of homesick"</t>
  </si>
  <si>
    <t>Things Fall Apart</t>
  </si>
  <si>
    <t>Achebe, Chinua</t>
  </si>
  <si>
    <t>Nigeria, the pursuit of power, and the rise of imperialism</t>
  </si>
  <si>
    <t>American Ground: Unbuilding the World Trade Center</t>
  </si>
  <si>
    <t>Langewiesche, William</t>
  </si>
  <si>
    <t>Account of immediately post 9/11 through mid-2002 and the leadership challenges of removing all the wreckage, bodies etc.; Much more critical of fire, police, than other media portrayals</t>
  </si>
  <si>
    <t>When Professionals Have to Lead: A New Model for High Performance</t>
  </si>
  <si>
    <t>DeLong, Thomas; Gabarro, John; &amp; Lees, Robert</t>
  </si>
  <si>
    <t>Professional service leadership looking at 1) setting direction; 2) securing commitment; 3) executing; 4) leading by example; Not mind-blowing but fairly straightforward, common-sense prose</t>
  </si>
  <si>
    <t>Bank: A Novel</t>
  </si>
  <si>
    <t>Bledin, David</t>
  </si>
  <si>
    <t>Fictional account of life as banking analyst; Not terribly original nor deep at all, but fast-paced with some laugh-out-loud moments and suspense; Overall closer to Tucker Max than Michael Lewis</t>
  </si>
  <si>
    <t>Predictably Irrational: The Hidden Forces that Shape our Decisions</t>
  </si>
  <si>
    <t>Ariely, Dan</t>
  </si>
  <si>
    <t>Behavioral econ., primarily from own expertiments; Interesting research, although misses relevant classics; Probably least favorite of this genre (Gladwell, Dubner etc.), but still fine</t>
  </si>
  <si>
    <t>Ahead of the Curve: Two Years at Harvard Business School</t>
  </si>
  <si>
    <t>Delves Broughton, Philip</t>
  </si>
  <si>
    <t>Relatively informative from journalist who graduated HBS in 2006; Sometimes overly detailed into class matters rather than higher-level opinion, but funny at times, and resonant from cynical Brit perspective</t>
  </si>
  <si>
    <t>Damn, It's Good to Be a Banker</t>
  </si>
  <si>
    <t>Sellout, Leveraged</t>
  </si>
  <si>
    <t>Entertaining and sometimes laugh out-loud funny, but on the whole doesn't contain anything particularly novel</t>
  </si>
  <si>
    <t>Profit from the Core: Growth Strategy in an Era of Turbulence</t>
  </si>
  <si>
    <t>Zook, Chris &amp; Allen, James</t>
  </si>
  <si>
    <t>Focus, expand, redefine published in 2001; A little dated in terms of some of the internet references and placing Dell as the best company of the 1990s; Lacking in a definitive and simple framework to apply broadly to businesses or industries</t>
  </si>
  <si>
    <t>Soloist, The: A Lost Dream, an Unlikely Friendship, and the Redemptive Power of Music</t>
  </si>
  <si>
    <t>Lopez, Stephen</t>
  </si>
  <si>
    <t>Schizophrenic violinist/bassist wandering streets of Los Angeles; Relatively thought provoking and moves at a fairly quick pace</t>
  </si>
  <si>
    <t>Once You're Lucky, Twice You're Good: The Rebirth of Silicon Valley and the Rise of Web 2.0</t>
  </si>
  <si>
    <t>Lacy, Sarah</t>
  </si>
  <si>
    <t>Account of 2003-2007 web 2.0 success stories and personalities behind them (Facebook; Digg, Ning; LinkedIn, Yelp, Slide etc.); Engrossing in terms of my general interest in topic, but didn't appear to have a specific point and seemed slightly out-of-date by end (despite May 2008 publishing); Very sycophantic</t>
  </si>
  <si>
    <t>Home Game: An Accidental Guide to Fatherhood</t>
  </si>
  <si>
    <t>Short and often entertaining take on fatherhood: prefer his business books, but tone still comes through</t>
  </si>
  <si>
    <t>Flying Without a Net: Turn Fear of Change into Fuel for Success</t>
  </si>
  <si>
    <t>Delong, Thomas</t>
  </si>
  <si>
    <t>Pretty good (B+), although might be a better "Atlantic" article than a full-fledged book. Reasonably fast-paced read where I nodded my head a good deal, but now it's not clear to me that I'm operating all that differently</t>
  </si>
  <si>
    <t xml:space="preserve">Making Ideas Happen: Overcoming the Obstacles Between Vision and Reality </t>
  </si>
  <si>
    <t>Belsky, Scott</t>
  </si>
  <si>
    <t>Nice balance of practicality and theory - perhaps a tad overlapping with "Getting Things Done" but end-product makes a lot of sense</t>
  </si>
  <si>
    <t>When The Game Was Ours</t>
  </si>
  <si>
    <t>Bird, Larry &amp; Johnson, Magic</t>
  </si>
  <si>
    <t>Frequently compelling account of the 1980s NBA with the odd interesting anecdote that wasn't familiar with</t>
  </si>
  <si>
    <t>The Book of Basketball: The NBA According to The Sports Guy</t>
  </si>
  <si>
    <t>Simmons, Bill</t>
  </si>
  <si>
    <t>Semi-crazily exhaustive take on the history of the NBA, including ranking historical players</t>
  </si>
  <si>
    <t>Those Guys Have All the Fun: Inside the World of ESPN</t>
  </si>
  <si>
    <t>Very thorough tale of the history and evolution of ESPN: some great anecdotes, but not sure if there were larger themes</t>
  </si>
  <si>
    <t xml:space="preserve">Scorecasting: The Hidden Influences Behind How Sports Are Played and Games Are Won </t>
  </si>
  <si>
    <t>Moskowitz, Tobias and L. Jon Wertheim</t>
  </si>
  <si>
    <t xml:space="preserve">Essentially "Freakonomics" for Sports - pretty good overall (B/B+); if you really like sports and these types of behavioral economics books, you'll like this combination </t>
  </si>
  <si>
    <t>Inside Apple: How America's Most Admired--and Secretive--Company Really Works</t>
  </si>
  <si>
    <t>Lachinsky, Adam</t>
  </si>
  <si>
    <t>good but certainly not insanely great. book has some strong sections but ultimately needs a more Jobsian perspective: it hedges on outlook for Apple and whether companies could/should replicate it. Realize journalism is often intended to let us make up our minds, but "Inside Apple" tastes overly vanilla..</t>
  </si>
  <si>
    <t>Ready Player One</t>
  </si>
  <si>
    <t>Cline, Ernest</t>
  </si>
  <si>
    <t>1980s nostalgia meets Snow Crash-type gaming with an unusual blend of love story as well; has moments, but actually isn't all that much of a page turner; set in 2040s but reads as though it's 2015</t>
  </si>
  <si>
    <t>Now Habit: A Strategic Program for Overcoming Procrastination and Enjoying Guilt-Free Play, The</t>
  </si>
  <si>
    <t>Fiore, Neil</t>
  </si>
  <si>
    <t>Elements of compelling ideas and even some good exercises: didn't seem as tailored to business folks and was written 20+ years ago, so feels like a pre-email book</t>
  </si>
  <si>
    <t>Never Let Me Go</t>
  </si>
  <si>
    <t>Odd book about priveleged English children that veers into sci-fi in a way I didn't especially enjoy; some good parts</t>
  </si>
  <si>
    <t>The 22 Immutable Laws of Marketing</t>
  </si>
  <si>
    <t>Ries, Al &amp; Trout, Jack</t>
  </si>
  <si>
    <t>Out-of-date (early 1990s) but overall fast-moving and interesting book about marketing</t>
  </si>
  <si>
    <t>Stone, Brad</t>
  </si>
  <si>
    <t>Story of Amazon.com from its early days: some strong anecdotes and paces well, but seemed to miss larger narratives of best-of-breed versions of business books along these lines</t>
  </si>
  <si>
    <t>Sinek, Simon</t>
  </si>
  <si>
    <t>Inputting in late 2016: can't really remember much of it from early 2014, so perhaps I didn't internalize the message; remember thinking it was fine and took 100+ highlights in Kindle</t>
  </si>
  <si>
    <t>Martin, Brett</t>
  </si>
  <si>
    <t>Tale of how cable TV caught up with film as a creative medium starting in late 1990s (Sopranos) and then accelerating into 2000s (The Wire, Mad Mencable , Breaking Bad etc.); pretty good overall, broken into different chapters by show; never quite felt like a page-turner</t>
  </si>
  <si>
    <t>Ross, Aaron &amp; Tyler, Marylou</t>
  </si>
  <si>
    <t>Slightly outdated, but still useful take on building out and organizing a sales dev team from folks from early days at Salesforce</t>
  </si>
  <si>
    <t>Halligan, Brian &amp; Shah, Dharmesh</t>
  </si>
  <si>
    <t>October 2009 publication introducing inbound marketing; still some excellent content, but less valuable in 2014 given how quickly dynamics have accelerated</t>
  </si>
  <si>
    <t>Eyal, Nir</t>
  </si>
  <si>
    <t>Short and pretty good summary of the steps to create repeat usage products; probably a better article than a full book, although very short, quick read</t>
  </si>
  <si>
    <t>Macleod, Hugh</t>
  </si>
  <si>
    <t>Some pithy parts where I can't remember much 3 months later but remember it being a quick read</t>
  </si>
  <si>
    <t>Vorhaus, John</t>
  </si>
  <si>
    <t>Remember liking overall, but can't remember anything specific without looking at notes</t>
  </si>
  <si>
    <t>Kelly, Gene</t>
  </si>
  <si>
    <t>Reflections upon receiving a short-term brain tumour diagnosis: very brave and not as moving as I'd expected</t>
  </si>
  <si>
    <t>Feynman, Richard</t>
  </si>
  <si>
    <t>Heavily hyped book where perhaps my expectations were too high: came away liking him a lot, but found it less entertaining and less useful than expected</t>
  </si>
  <si>
    <t>Ansari, Aziz &amp; Klinenberg, Eric</t>
  </si>
  <si>
    <t>Probably better as an article: mainly interesting how expectations for marriage have changed over past 50 years (especially for women) with heavy dose of social psychology background; funny in parts, but underlying content isn't that interesting (to me at least); about 50% via Audible with Aziz Ansari narrating</t>
  </si>
  <si>
    <t>Gaiman, Neil</t>
  </si>
  <si>
    <t>Very dark children's book partially about growing up; Great listen (there's a varied cast) where wasn't sold on the format (individual chapters that connected to overall story but were largely their own "episode")</t>
  </si>
  <si>
    <t>Tetlock, Philip &amp; Gardner, Dan</t>
  </si>
  <si>
    <t>Walking through how to systematically improve predicting, whether as individuals or teams</t>
  </si>
  <si>
    <t>Really enjoyed "Give and Take" (see above) so found this one less relatively compelling; read over about 6 weeks, which meant that I never felt so motivated in the moment that I needed to finish it; hard to summarize key "so what's" after reading, but has some good anecdotes and is well-written</t>
  </si>
  <si>
    <t>Ashton, Kevin</t>
  </si>
  <si>
    <t>Lots of content around innovation and creation, but can't remember much of it: read over a few different phases vs. all in 1 go; made a lot of Kindle highlights</t>
  </si>
  <si>
    <t>Garcia Martinez, Antonio</t>
  </si>
  <si>
    <t>Promoted as a tell-all about Facebook and Twitter, but actually a pretty good yarn about Silicon Valley blended with a detailed take on internet advertising and how it's evolving</t>
  </si>
  <si>
    <t>Liked it, but read it shortly after "The Course of Love," which I enjoyed a good deal more; definitely captures emotions, often irrational, during early stages of new relationship</t>
  </si>
  <si>
    <t>Thaler, Richard &amp; Sunstein, Cass</t>
  </si>
  <si>
    <t>Lots of discussion about "choice architecture" and thinking about defaults about issues like organ donation; fairly interesting like all the behavioral economics books are where the central idea here was a little less interesting than others and tone was a bit stiffer than others (not a lot of humour)</t>
  </si>
  <si>
    <t>Austen, Jane</t>
  </si>
  <si>
    <t>Oddly kept comparing it to "Clueless" and found that I liked Clueless a lot better; after similar reaction to Pride &amp; Prejudice, either I'm missing something or I'm not the target audience</t>
  </si>
  <si>
    <t>Part of TED Books: primarily about importance of purpose/autonomomy vs. cash/extrisinct rewards; job "crafting" part most interesting; not especially memorable</t>
  </si>
  <si>
    <t>Book 3 of 5: Patrick in low 30s at socialite party; story that focuses the least on Patrick and the most on British aristrocratic society; some good vignettes where generally prefer more of a focus on Patrick/core characters</t>
  </si>
  <si>
    <t>Klosterman, Chuck</t>
  </si>
  <si>
    <t>Interesting general concept - predicting long-term future and which current authors, musicians will be feted in 200 years - where listened via Audible and the narrator's tone (woman with smooth English accent) was pretty different from the author's (more bumbling American accent); rambling and long-winded in places where I was most engaged when he was trying to predict influence vs. only highlighting that the "obvious" answers will probably be wrong</t>
  </si>
  <si>
    <t>Expected to like it more given about Social Psychologists; felt poorly edited where it didn't all fit together and lost steam towards end; felt like it needed another 6 months to polish it together so least cohesive of all Michael Lewis books</t>
  </si>
  <si>
    <t>Uber and Airbnb from founding through late 2016: good biographical account with insider info where not a lot of meta-analysis, almost nothing about other companies (outside of ride sharing), and pre-Uber's 2017 annus horribilis</t>
  </si>
  <si>
    <t>Carbonell, David</t>
  </si>
  <si>
    <t>How-to book around reducing feelings of worry - some very practical stuff and some less so; probably better as Kindle vs. Audible in terms of retaining</t>
  </si>
  <si>
    <t>Harris, Dan</t>
  </si>
  <si>
    <t>Fairly entertaining and also informative story of a newscaster/producer discovering meditation</t>
  </si>
  <si>
    <t>Puddicombe, Andy</t>
  </si>
  <si>
    <t>Little bit of autobiography focused on meditation: writing this a few months later and don't remember very much, aside from it overlapping a bit with the Headspace app (not surprisingly)</t>
  </si>
  <si>
    <t>Sharapova, Maria</t>
  </si>
  <si>
    <t>Read by author, really liked through about 2004 and then less interesting; pretty motivational in parts</t>
  </si>
  <si>
    <t>Kendrick, Anna</t>
  </si>
  <si>
    <t>Light and funny kind-of-autobiography that makes her come across as snarky and likeable</t>
  </si>
  <si>
    <t>Perfect example of an interesting and engaging Audible book where only 3 weeks later I can remember very little of it: says more about Audible format and my memory/recall than the book itself, but...</t>
  </si>
  <si>
    <t>Rosenzweig, Phil</t>
  </si>
  <si>
    <t>Good behavioral economics book about our interprepting that good results must mean we can learn from a company's practices - and vice-versa with poor performers - where generally we love stories to explain things and usually the answer is a lot more complicated; pretty cynical book, but hard to argue with most of it</t>
  </si>
  <si>
    <t>Walking through preparing for and then attempting to break the record for running the Appalachian Trail (~45 days) where nice blend of page-turning vs. philosophical in parts</t>
  </si>
  <si>
    <t>Gaimon, Phil</t>
  </si>
  <si>
    <t>Pretty entertaining tale of a funny cyclist pushing to make the pro tour; not sure I'd recommend if you don't ride, but it's funny enough in parts that cycling is only about half the point here</t>
  </si>
  <si>
    <t>Book two of riding on the pro tour from Phil Gaimon with similar level of entertainment value as the 1st one</t>
  </si>
  <si>
    <t>Ravikant, Kamal</t>
  </si>
  <si>
    <t>68 pages so slightly cheating in counting it as a full book :) Some insightful parts where I think my overall more moderate reaction vs. lots of folks on Amazon who love it is that I'm not sure I'm sold on the value of affirmations (which I have NOT tried, so I'm not speaking with any expertise here)</t>
  </si>
  <si>
    <t>Schmidt, Eric; Rosenberg, Jonathan; &amp; Eagle, Alan</t>
  </si>
  <si>
    <t>Bill Campbell and unusual generosity, constructive feedback in private, pushing people to be courageous, team is paramount where "work the team not the problem", "Smarts and hearts"</t>
  </si>
  <si>
    <t>Adams, Scott</t>
  </si>
  <si>
    <t>Dilbert creator's pretty cynical and entertaining advice dating back well prior to Dilbert</t>
  </si>
  <si>
    <t xml:space="preserve">Holiday, Ryan </t>
  </si>
  <si>
    <t xml:space="preserve">Third book, probably my least favourite because it felt the least novel; most of it makes a ton of sense - numerous Stoic examples and tips - so if this were my first read of his would probably be much more effusive </t>
  </si>
  <si>
    <t>Grosz, Stephen</t>
  </si>
  <si>
    <t xml:space="preserve">Psychotherapist sharing vignettes of his patients; some were really thought-provoking, some less so; overall lacked some synthesis so felt a bit like reading a smattering of articles vs. a book
</t>
  </si>
  <si>
    <t>Minto. Barbara</t>
  </si>
  <si>
    <t>Basis for all consulting firm's communication with Situation-Complication-Question-Solution where it's just so dense, so dates (examples are from 1960s/1970s) and felt like it trailed off in terms of "so what" value about 2/3rd of the way through; therefore I'd stongly recommend the book to anybody interested in structure communication, but it's heavy-going and is certainly logical, but it's not exactly entertaining</t>
  </si>
  <si>
    <t>Sullivan, James</t>
  </si>
  <si>
    <t>Written by a priest all about how listening helps validate self-esteem for the person sharing; several useful sections understanding "Why" learning is important, less tangible suggestions on "How" to listen better. Would recommend if you're looking to be sold on the value of listening, will need to go elsewhere for specific tips :)</t>
  </si>
  <si>
    <t>Grover, Tim</t>
  </si>
  <si>
    <t xml:space="preserve">MJ and Kobe's trainer walking through what fuels "Cleaners" and how they operate differently, consumed only by the end success; my 30-year-old self would have loved if, my more "mature" self enjoyed it, but felt it lacked nuance </t>
  </si>
  <si>
    <t>Search Inside Yourself: The Unexpected Path to Achieving Success, Happiness (and World Peace)</t>
  </si>
  <si>
    <t xml:space="preserve">Tan, Chade-Meng; Goleman, Daniel; and Kabat-Zinn, Jon </t>
  </si>
  <si>
    <t>Fairly good, where reading in 2021 it feels as though I've now read enough on meditation and these general topics, that there wasn't a ton of original content. It's probably better as a first read on these topics</t>
  </si>
  <si>
    <t>Workquake: Embracing the Aftershocks of COVID-19 to Create a Better Model of Working</t>
  </si>
  <si>
    <t>Cadigan, Steve</t>
  </si>
  <si>
    <t>Lots of good points, including several entertaining stories. Would be even better with slightly crisper overarching themes</t>
  </si>
  <si>
    <t xml:space="preserve">Hoffman, Reid </t>
  </si>
  <si>
    <t>Summary of the best of the excellent podcast: probably because I'd listened to the podcast, it didn't resonate with me as much in terms of new ideas; also quite a bit of overlap with Blitzscaling, so it wasn't clear to me if this needed to be distinct book or not?</t>
  </si>
  <si>
    <t>Petrone, Paul</t>
  </si>
  <si>
    <t>LinkedIn co-worker walking through several realizations and lifestyle and mindset changes he made: very open and raw, feels a bit like therapy via writing, which resonated; would have enjoyed more, especially an overarching theme/concept to pull together the full read</t>
  </si>
  <si>
    <t xml:space="preserve">Her first book, but second I read (in the same week), where the crux is to start doing something before the brain's natural conservativeness takes over; perhaps I'm in denial, it's less clear to me where I currently hold back (maybe there's another book about knowing when to use this vs not use it!) </t>
  </si>
  <si>
    <t>Nhat Hanh, Thich</t>
  </si>
  <si>
    <t>Enjoyed it, where now reflecting a month afterwards, not a lot has stuck with me. Interesting that compassion largely relies upon there being suffering + the idea that if we're close-minded to what makes us happy (and paths to get there) we'll never let go</t>
  </si>
  <si>
    <t>Maerz, Melissa</t>
  </si>
  <si>
    <t>Exactly as expected (and nothing more) across being highly entertaining and easy to read with nothing thought-provoking</t>
  </si>
  <si>
    <t>Toibin, Colm</t>
  </si>
  <si>
    <t>Expected to like it more: core Irish woman in New York character just seemed too weak to anchor the story</t>
  </si>
  <si>
    <t>Pressfield, Steven</t>
  </si>
  <si>
    <t>2nd book I've read from Pressfield, liked it, but unclear how much new stuff there is vs "War of Art"</t>
  </si>
  <si>
    <t>Roth, Alvin</t>
  </si>
  <si>
    <t>Pretty easy to read + informative take on market designs spanning kidney donations, ad auctions, jobs, dating, and much more. Most of it was familiar, although a few of the frameworks were helpful</t>
  </si>
  <si>
    <t>Soni, Jimmy</t>
  </si>
  <si>
    <t xml:space="preserve">Very comprehensive, but in a slightly too academic way, where it didn't feel as though the author fully "got it" - has more of an outsider's perspective like a scientist reporting on an unusual species etc. </t>
  </si>
  <si>
    <t>Hanes, Cameron</t>
  </si>
  <si>
    <t>Blend of inspiration and practical advice from bow-hunter Cameron Hanes: encompasses several compelling ideas from David Goggins, Steve Prefontaine, Courtney Dauwalter, Lance Armstrong and others</t>
  </si>
  <si>
    <t>Yogis, Jaimal</t>
  </si>
  <si>
    <t>Part storytelling, part science summaries, an easy read with a few tips I feel like I can use for reducing or at least overcoming fear</t>
  </si>
  <si>
    <t>Mollick, Ethan</t>
  </si>
  <si>
    <t xml:space="preserve">Easy to digest and fairly compelling take on where AI is going to take us from a Wharton Professor whom I follow and enjoy </t>
  </si>
  <si>
    <t>Easter, Michael</t>
  </si>
  <si>
    <t>Enjoyable blend of storytelling and research, where there's not a ton that stays with me 4+ weeks after in terms of major takeaways</t>
  </si>
  <si>
    <t>Roberge, Mark</t>
  </si>
  <si>
    <t>Pragmatic take on selling, which reads as just slightly out-of-date in 2024 (not at all surprising given it's written in 2015); likeable tone throughout</t>
  </si>
  <si>
    <t>Jackson, Phil</t>
  </si>
  <si>
    <t>Pretty compelling take, where I knew just enough about Phil Jackson already that it wasn't quite as novel as if somebody were reading absent prior knowledge</t>
  </si>
  <si>
    <t>Hughes Johnson, Claire</t>
  </si>
  <si>
    <t>Pretty good, where my grade is more that a) most of it was familiar from LinkedIn, and b) I found it unnecessarily long; I like "The Great CEO Within" quite a bit more + "High Growth Handbook" a bit more for similar topics</t>
  </si>
  <si>
    <t>Kurzweil, Ray</t>
  </si>
  <si>
    <t>Several super interesting parts, where it gets bogged down in research and highlighting that the world is improving (like Steven Pinker) and doesn't synthesize enough what the world will be like in 10-20 years; I'd love the version with a bit more sci-fi storytelling and a bit fewer graphs</t>
  </si>
  <si>
    <t>Rafael Nadal is easily my all-time favourite athlete and I liked Clarey book's on Federer (see "The Master" above), so this was a bit more disappointing, perhaps because my excitement and expectations were too high; writing this a few months later, I don't feel as though I got that much more insight into Nadal than I had before, the Federer book felt more illuminating</t>
  </si>
  <si>
    <t>Nguyen, Joseph</t>
  </si>
  <si>
    <t>CBT-style book about the difference between thoughts and thinking (thinking about thoughts)</t>
  </si>
  <si>
    <t>Ferrante, Elena</t>
  </si>
  <si>
    <t>#1 book of the 21st century according to the NYT; I liked it, but not sure I liked either of the two main characters; I can see some of the universal themes were compelling, but there isn't a lot of hope, and without spoiling the book, the ending is compelling but depressing. Therefore I don't like it as much as the critics do</t>
  </si>
  <si>
    <t>The final book (to-date) of the collection spanning Olive Kitteridge, Lucy Barton, and Bob Burgess; I may be being overly critical since was pretty enjoyable, so I'm dinging it because it felt like more of the same (good stuff) versus the first two Olive books</t>
  </si>
  <si>
    <t>Proulx, Annie</t>
  </si>
  <si>
    <t>I liked a lot less than I expected to, where I actively didn't like the first 50% - too weird for me - and then it progressively grew on me, where by the very end I was enjoying it; the Newfoundland weather was a compelling character, where generally aside from the Aunt, I didn't like most of the characters</t>
  </si>
  <si>
    <t>Red Badge of Courage, The</t>
  </si>
  <si>
    <t>Crane, Stephen</t>
  </si>
  <si>
    <t>Account of civil war America; published in 1890s</t>
  </si>
  <si>
    <t>Underworld</t>
  </si>
  <si>
    <t>DeLilio, Don</t>
  </si>
  <si>
    <t>America 1950s through 1980s; Several only vaguely related subplots; great first chapter</t>
  </si>
  <si>
    <t>Burgess, Anthony</t>
  </si>
  <si>
    <t>Became Stanley Kubrick film</t>
  </si>
  <si>
    <t>Captain and the Enemy, The</t>
  </si>
  <si>
    <t>Abduction from school outing when 12 years old to London</t>
  </si>
  <si>
    <t>Season on the Brink, A</t>
  </si>
  <si>
    <t>Feinstein, John</t>
  </si>
  <si>
    <t>Indiana University basketball 1985-86</t>
  </si>
  <si>
    <t>Tenth Man, The</t>
  </si>
  <si>
    <t xml:space="preserve">One of ten prisoners people will die </t>
  </si>
  <si>
    <t>Four Champions, One Gold Medal: The true story of four swimmers who battled for the same Olympic dream</t>
  </si>
  <si>
    <t>Warner, Chuck</t>
  </si>
  <si>
    <t>Brian Goodell (400m &amp; 1500m gold), Bobby Hackett (1500m silver), Tim Shaw (400m silver), Stephen Holland (1500m bronze)</t>
  </si>
  <si>
    <t>And they call them Games</t>
  </si>
  <si>
    <t>Yarbrough, Richard</t>
  </si>
  <si>
    <t>View of preparation for the 1996 Olympic Games</t>
  </si>
  <si>
    <t>Olympics at the Millenium, The</t>
  </si>
  <si>
    <t>Schaffer, Kay &amp; Sidonie Smith</t>
  </si>
  <si>
    <t>Different chapters on various elements of the Olympic Games</t>
  </si>
  <si>
    <t>Made in America</t>
  </si>
  <si>
    <t>Ueberroth, Peter</t>
  </si>
  <si>
    <t>Auto-biographical account focused on 1984 Olympics</t>
  </si>
  <si>
    <t>Right Man, The: The Surprise Presidency of George W. Bush</t>
  </si>
  <si>
    <t>Frum, David</t>
  </si>
  <si>
    <t>First-hand account about Year 1 with Bush from speechwriter</t>
  </si>
  <si>
    <t>Boy Genius: Karl Rove, The Brains behind the Remarkable Political Triumph of George W. Bush</t>
  </si>
  <si>
    <t>Dubose, Lou, Jan Reid and Carl M. Cannon</t>
  </si>
  <si>
    <t>Rise of Karl Rove as Political Consultant to Bush</t>
  </si>
  <si>
    <t>Every Second Counts</t>
  </si>
  <si>
    <t>Lance Armstrong Book #2</t>
  </si>
  <si>
    <t>Hard Drive: Bill Gates and the Making of the Microsoft Empire</t>
  </si>
  <si>
    <t>Wallace, James &amp; Erickson, Jim</t>
  </si>
  <si>
    <t>Biography of Bill Gates finishing in about 1991</t>
  </si>
  <si>
    <t>Second Coming of Steve Jobs, The</t>
  </si>
  <si>
    <t>Deutschman, Alan</t>
  </si>
  <si>
    <t>Steve Jobs 1985-2000 (Apple, Next, Pixar, Apple)</t>
  </si>
  <si>
    <t>Le Grand Meaulnes</t>
  </si>
  <si>
    <t>Alain-Fournier</t>
  </si>
  <si>
    <t>Novel set in 1890s discussing two adolescents' adventures with love in small villages</t>
  </si>
  <si>
    <t xml:space="preserve">Road to War, The </t>
  </si>
  <si>
    <t>Overy, Richard</t>
  </si>
  <si>
    <t>Breakdown by country of approach to WWII</t>
  </si>
  <si>
    <t>Money Machine, The - How KKR manufactured power and profits</t>
  </si>
  <si>
    <t>Bartlett, Sarah</t>
  </si>
  <si>
    <t>KKR book published early 1990s</t>
  </si>
  <si>
    <t>Giants of Enterprise</t>
  </si>
  <si>
    <t>Tedlow, Richard</t>
  </si>
  <si>
    <t>Short bios of Carnegie, Eastman, Ford, Watson, Revson, Walton, Noyce</t>
  </si>
  <si>
    <t>Wisdom of Crowds, The</t>
  </si>
  <si>
    <t>Surowiecki, James</t>
  </si>
  <si>
    <t>Collective wisdom, group think, betting etc.</t>
  </si>
  <si>
    <t>Skadden: Power, Money, and the rise of a Legal Empire</t>
  </si>
  <si>
    <t>Caplan, Lincoln</t>
  </si>
  <si>
    <t>Skadden from 1948-1993, Joe Flom etc.</t>
  </si>
  <si>
    <t>Reefer Madness</t>
  </si>
  <si>
    <t>Underground economy: (1) Marijuana; (2) Strawberry farming immigrant workers in California; (3) Growth of pornography industry focusing on Reuben Sturman</t>
  </si>
  <si>
    <t>Enduring Love</t>
  </si>
  <si>
    <t>Amazing first chapter and then downhill after that; perhaps still worth reading for the 1st chapter?</t>
  </si>
  <si>
    <t>Indecent Exposure: A True Story of Hollywood and Wall Street</t>
  </si>
  <si>
    <t>McClintock, David</t>
  </si>
  <si>
    <t>David Begelman and Columbia Pictures corruption; Not particularly memorable, but a quick read</t>
  </si>
  <si>
    <t>Love, John</t>
  </si>
  <si>
    <t>Story of origination + Ray Krok taking over</t>
  </si>
  <si>
    <t>Plot Against America, The</t>
  </si>
  <si>
    <t>1940s NYC and hypothetical Lindbergh presidency</t>
  </si>
  <si>
    <t>Accidental Investment Banker, The: Inside the Decade that Transformed Wall Street</t>
  </si>
  <si>
    <t>Knee, Jonathan</t>
  </si>
  <si>
    <t>Account of 1990s at Goldman Sachs and Morgan Stanley without same wit as Michael Lewis or "Monkey's Business"</t>
  </si>
  <si>
    <t>What I Loved</t>
  </si>
  <si>
    <t>Hustvedt, Siri</t>
  </si>
  <si>
    <t>Engrossing but depressing account of relationships built around 1970s/80s New York art scene; Increasingly deranged/deviant without rewarding ending</t>
  </si>
  <si>
    <t>Prince, The</t>
  </si>
  <si>
    <t>Machiavelli, Nicolo</t>
  </si>
  <si>
    <t>Written to Lorenzo deMedici - how a Prince establishes and maintains power; Perception vs. reality etc.</t>
  </si>
  <si>
    <t>World's Newest Profession, The: Management Consulting in the 20th Century</t>
  </si>
  <si>
    <t>McKenna, Christopher</t>
  </si>
  <si>
    <t>Impact of Glass-Steagall on growth of what is now management consulting (from engineering/cost accounting); Fairly dry, but reasonable background</t>
  </si>
  <si>
    <t>Billie Jean</t>
  </si>
  <si>
    <t>Jean King, Billie, &amp; Deford, Frank</t>
  </si>
  <si>
    <t>1982 autobiography written shortly after going public about affair with Marilyn Barnett; Very blunt commentary, although very much details about life inside and outside of tennis</t>
  </si>
  <si>
    <t>Necessary Spectacle, A: Billie Jean King, Bobby Riggs, and the Tennis Match that Leveled the Game</t>
  </si>
  <si>
    <t>Roberts, Selena</t>
  </si>
  <si>
    <t>NYT reporter detailing run-up to the 1973 Battle of the Sexes; Aftermatch descriptions interesting, but less clearly pieced together as part of total narrative</t>
  </si>
  <si>
    <t>PayPal Wars, The: Battles with eBay, the Media, the Mafia, and the Rest of Planet Earth</t>
  </si>
  <si>
    <t>Jackson, Eric</t>
  </si>
  <si>
    <t>PayPal from late 1999 to mid-2003 from the lens of employee #27 who worked primarily in marketing; Fairly quick read, but gives only limited insight into Thiel, Levchin, Sacks; Anti-eBay</t>
  </si>
  <si>
    <t>Angry Island, The: Hunting the English</t>
  </si>
  <si>
    <t>Gill, A.A.</t>
  </si>
  <si>
    <t>Chapter vignettes about the English with the basic premise that anger (often repressed) drives the English psyche; Up-and-down with some points for nostalgia</t>
  </si>
  <si>
    <t>Trillion Dollar Meltdown, The: Easy Money, High Rollers, and the Great Credit Crash</t>
  </si>
  <si>
    <t>Morris, Charles</t>
  </si>
  <si>
    <t>Slightly lumbering, although generally informative, account of the 2007-08 credit crisis and origins;Not tied together into as coherent a storyline line as ideal; Errs on pro-regulation vs. free markets</t>
  </si>
  <si>
    <t>Road, The</t>
  </si>
  <si>
    <t>McCarthy, Cormac</t>
  </si>
  <si>
    <t>Post-apocalyptic father-son account of searching for salvation; Suspenseful throughout with a general tone of unfulfillment for both the characters and, ultimately, the reader</t>
  </si>
  <si>
    <t>Why is Sex Fun: The Evolution of Human Sexuality</t>
  </si>
  <si>
    <t>Diamond, Jared</t>
  </si>
  <si>
    <t>Entertaining but with less humor and memorable anecdotes than expected</t>
  </si>
  <si>
    <t>Snow Crash</t>
  </si>
  <si>
    <t>Stephenson, Neal</t>
  </si>
  <si>
    <t>1992 sci-novel predicting Second Life, internet search, and several other phenomena in the context of an action plot involving religious power; read over about a month, but felt up-and-down with technological vision more compelling than spiritual connection</t>
  </si>
  <si>
    <t>Where Underpants Come From</t>
  </si>
  <si>
    <t>Joe Bennett</t>
  </si>
  <si>
    <t>Strong, amusing start through first 100 pages, deteriorating into much less interesting last 1/3 of book; Would still recommend first 1/3 to people visiting China</t>
  </si>
  <si>
    <t>McKinsey Way, The: Using The Techniques of the World's Top Strategic Consultants to Help You and Your Business</t>
  </si>
  <si>
    <t>Rasiel, Ethan</t>
  </si>
  <si>
    <t>Slightly obnoxious but generally straightforward account of some of the basic consulting techniques</t>
  </si>
  <si>
    <t>Free: The Future of a Radical Price</t>
  </si>
  <si>
    <t>Interesting read with definite long-term implications about combined effects of rapidly declining costs of process power, bandwidth, and storage for pricing/economics of digital goods; slightly lacking a central hypothesis, so seemed to weave around a lot</t>
  </si>
  <si>
    <t>Other, The</t>
  </si>
  <si>
    <t>Guterson, David</t>
  </si>
  <si>
    <t>Author of "Snow Falling on Cedars." Account of grown man's frienship from high school through mid-twenties with wealthy Northwesterner who chooses to lead hermetic existence; some similarities with "Into the Wild," but worsens after encouraging start to be fine but nothing special</t>
  </si>
  <si>
    <t>Checklist Manifesto, The: How to Get Things Right</t>
  </si>
  <si>
    <t>Up-and-down account of the importance of systematizing routines using checklists with a strong emphasis on medicine and the operating room. Could have branched out to more potential applications...</t>
  </si>
  <si>
    <t xml:space="preserve">Moonwalking with Einstein: The Art and Science of Remembering Everything </t>
  </si>
  <si>
    <t>Foer, Joshua</t>
  </si>
  <si>
    <t>Generally pretty quick-paced and thought-provoking, although gets a little confused between chronicling the evolution of the history of memory and the author's own evolution of improving his own memory (in my view more interesting)</t>
  </si>
  <si>
    <t>Everyone Communicates Few Connect: What the most effective people do differently</t>
  </si>
  <si>
    <t>Maxwell, John C.</t>
  </si>
  <si>
    <t>Some reasonable pieces, but truly can't remember very much when writing this up ~1 year later; simplistic but accurate advice</t>
  </si>
  <si>
    <t>Delivering Happiness</t>
  </si>
  <si>
    <t>Hsieh, Tony</t>
  </si>
  <si>
    <t>Story of Zappos woven in with life advice: perfectly pleasant throughout with some interesting nuggets about not always smooth-sailing at Zappos</t>
  </si>
  <si>
    <t>Behind the Cloud: The Untold Story of How Salesforce.com Went from Idea to Billion-Dollar Company-and Revolutionized an Industry</t>
  </si>
  <si>
    <t>Benioff, Marc &amp; Adler, Carlyle</t>
  </si>
  <si>
    <t>Pretty good: lots of good individual tips and anecdotes; can't remember any big ideas, so perhaps lacking in a key message or two</t>
  </si>
  <si>
    <t>Rare Find, The: How to Spot Exceptional Talent Before Everyone Else</t>
  </si>
  <si>
    <t>Anders, George</t>
  </si>
  <si>
    <t>worth a skim if you do a lot of hiring, but lacks synthesis that make these books compelling. no clear "elevator pitch" that is easy to understand &amp; act upon</t>
  </si>
  <si>
    <t>Dream Team: How Michael, Magic, Larry, Charles, and the Greatest Team of All Time Conquered the World and Changed the Game of Basketball Forever</t>
  </si>
  <si>
    <t>McCallum, Jack</t>
  </si>
  <si>
    <t>Page-turning but not terribly novel take on the 1992 Dream team: felt like a combination of magazine articles vs. truly novel take</t>
  </si>
  <si>
    <t>Intelligent Entrepreneur, The: How Three Harvard Business School Graduates Learned the 10 Rules of Successful Entrepreneurship</t>
  </si>
  <si>
    <t>Murphy, Jr., Bill</t>
  </si>
  <si>
    <t>Up-and-down accounts of 3 members of the HBS '98 and their success starting and developing companies. Interesting in parts, insightful in parts, but doesn't leave you with a strong reaction afterwards...</t>
  </si>
  <si>
    <t>Launch Pad, The: Inside Y Combinator, Silicon Valley's Most Exclusive School for Startups</t>
  </si>
  <si>
    <t>Lots of interesting facts but not terribly deep nor inspiring account of the growth of Y Combinator; eBoys (about Benchmark Capital in the late 90s) was better and seemed to capture the mood of that era better than this does this one...</t>
  </si>
  <si>
    <t>Seat with a View: Inside the 1996 U.S. Olympic Men's Crew</t>
  </si>
  <si>
    <t>Segaloff, Steven</t>
  </si>
  <si>
    <t>Cox's take on 1993-1996 US rowing; some good parts, but not terribly interesting for a non-rower: certainly doesn't transcend rowing</t>
  </si>
  <si>
    <t>Simplify: 7 Guiding Principles to Help Anyone Delclutter their Home and Life</t>
  </si>
  <si>
    <t>Becker, Joshua</t>
  </si>
  <si>
    <t>Very short book on minimialism with a few genuinely good ideas</t>
  </si>
  <si>
    <t>Rework</t>
  </si>
  <si>
    <t>Fried, Jason &amp; Hansson, David</t>
  </si>
  <si>
    <t>Founders of Basecamp/37 Signals writing short chapters on building a business: fast and short read, with some good bits, but minimal innovative content</t>
  </si>
  <si>
    <t>Marriage Plot, The</t>
  </si>
  <si>
    <t>Eugenides, Jeffrey</t>
  </si>
  <si>
    <t>Story of '82 Brown grads and their college relationships + first year out</t>
  </si>
  <si>
    <t>Marketing 3.0: From Products to Customers to the Human Spirit</t>
  </si>
  <si>
    <t>Kotler, Philip + 2 others</t>
  </si>
  <si>
    <t>Very optimistic take of finding greater meaning in marketing; not intended to be - and isn't - very practical</t>
  </si>
  <si>
    <t>Think Outside the Inbox: The B2B Marketing Automation Guide</t>
  </si>
  <si>
    <t>Cummings, David and Blitzer, Adam</t>
  </si>
  <si>
    <t xml:space="preserve">2010 fairly simple account of how to use marketing automation; fairly practical </t>
  </si>
  <si>
    <t>Tracy, Brian</t>
  </si>
  <si>
    <t>A few strong pieces of advice, but also several parts that could have been removed since not interesting/duplicative in book of only 145 pages</t>
  </si>
  <si>
    <t>Traub, Andy</t>
  </si>
  <si>
    <t>Very practically oriented guide to waking up earlier; most compelling idea may have been setting an alarm to go to bed</t>
  </si>
  <si>
    <t>Vogelstein, Fred</t>
  </si>
  <si>
    <t>Some good explainer around evolution of mobile with much more limited "so what" about what's likely to happen</t>
  </si>
  <si>
    <t>McGowan, Bill</t>
  </si>
  <si>
    <t>Strong set of 7 tips, but probably could have been a long article vs. a full-blown book; would have liked to see links to good examples</t>
  </si>
  <si>
    <t>Godin, Seth</t>
  </si>
  <si>
    <t>Quick, fun read - not sure I remember much specific afterwards beyond he's got a really simple, effective writing style</t>
  </si>
  <si>
    <t>Really interesting concept with usual Michael Lewis prose, but a frustrating lack of "so what": felt like ideally would have waited 5 years to write it so there was some sense of what happened; didn't feel like a full book with a clean resolution because still so WIP; first book read entirely on Kindle for iPhone</t>
  </si>
  <si>
    <t>Miller, Jason</t>
  </si>
  <si>
    <t>Some useful parts around "big rock content" and a few other tips where majority felt fairly obvious, but given I work at LinkedIn perhaps I should be familiar with playbook?</t>
  </si>
  <si>
    <t>McClusky, Mark</t>
  </si>
  <si>
    <t>In-depth take on elite athletics</t>
  </si>
  <si>
    <t>Recommended by others where felt a bit too deep/heavy for me to enjoy: thought-provoking where I expected it to be more immediately actionable</t>
  </si>
  <si>
    <t>Huffington, Arianna</t>
  </si>
  <si>
    <t>Good take on moving beyond the pursuit of money and power with several good anecdotes</t>
  </si>
  <si>
    <t>Flanagan, Richard</t>
  </si>
  <si>
    <t>Dark book with a lot of WWII war stuff from perspective of an Australian; prefered the non-war parts</t>
  </si>
  <si>
    <t>Handley, Ann</t>
  </si>
  <si>
    <t>Content marketing primer with nice blend of high-level and details</t>
  </si>
  <si>
    <t>Nihill, David</t>
  </si>
  <si>
    <t>Remember liking overall, but can't remember anything specific without looking at notes [same as other comedy book]</t>
  </si>
  <si>
    <t>Grazer, Brian</t>
  </si>
  <si>
    <t>Some good vignettes and an overall uplifting message where it doesn't pass the article vs. book test for the most part</t>
  </si>
  <si>
    <t>Didn't find the plot especially interesting and generally surprised that my reaction was so "blah"</t>
  </si>
  <si>
    <t>Carey, Benedict</t>
  </si>
  <si>
    <t>Entirely via Audible (which may not be ideal for this kind of book): generally enjoyable with a fair amount of psych research + looking to make it practical; missing 1 big idea to be memorable</t>
  </si>
  <si>
    <t>Lazenby, Roland</t>
  </si>
  <si>
    <t>Via Audible: interesting throughout with not a lot of new info and meaningfully less post-1998 than expected</t>
  </si>
  <si>
    <t>Poehler, Amy</t>
  </si>
  <si>
    <t>Autobiography listened to via Audible that was very light and listenable, but not sure I'll remember anything 1 month down the road; given I didn't like "Bossypants" from Tina Fey either, concerned problem is with me ;)</t>
  </si>
  <si>
    <t>Vonnegut, Kurt</t>
  </si>
  <si>
    <t>First Vonnegut book, so not sure if it's a bit too zany for me or if this is unusually zany and Audible means I'm more diverted than if I were reading it; a few laugh out loud pieces and certainly some broader ideas that were thought-provoking</t>
  </si>
  <si>
    <t xml:space="preserve">Second Vonnegut Audible book about Billy Pilgrim and Dresden and time travel: odder than my usual fare where I'm not sure I "get" Vonnegut but so far it's short and fairly fun </t>
  </si>
  <si>
    <t>Schumer, Amy</t>
  </si>
  <si>
    <t>Fun to hear her reading it + some deeper stuff around her father's illness where still felt very light and unmemorable overall</t>
  </si>
  <si>
    <t>Book 2 of 5: Patrick Melrose at 22 in New York; majority of book about need for and consumption of hard drugs, including a few highly graphic sequences; non-Patrick characters were highlight</t>
  </si>
  <si>
    <t>Perfectly readable if not terribly deep take on Celtics in 1990-1991 (penultimate year for Larry Bird); Larry Bird is almost certainly my all-time favourite athlete, so if you don't share my worship, you'll probably like a good deal less</t>
  </si>
  <si>
    <t>Taylor, Cory</t>
  </si>
  <si>
    <t xml:space="preserve">Australian novelist reflecting on her own terminal illness; read glowing NYT review and expected more [where even writing a critique of this kind of book feels like bad karma]; blended in some personal, autobiographic elements that, to me, took away from some of the more philosophical thinking; "When Breath Becomes Air" and "Death Be Not Proud" are much better from same "genre" </t>
  </si>
  <si>
    <t>Nadella, Satya</t>
  </si>
  <si>
    <t>Blends personal, Microsoft, and future-looking in a less interesting and cohesive package than expected; Blander and more "colouring in between the lines" vs. more breakthrough or "out there" thinking</t>
  </si>
  <si>
    <t>Brown, Brene</t>
  </si>
  <si>
    <t>Probably came in expecting a bit too much: liked it overall, although didn't really come away with much</t>
  </si>
  <si>
    <t>Galloway, Scott</t>
  </si>
  <si>
    <t>Probably should have read vs. listened to: some good anecdotes about each company and a not bad "what's next" section, but overall not especially memorable</t>
  </si>
  <si>
    <t>1989 Ironman prep and race where checked all the obvious boxes, but didn't transcend any of them like "Gold in the Water" or "The Amateurs"</t>
  </si>
  <si>
    <t>McDougall, Christopher</t>
  </si>
  <si>
    <t>Discussion of Tarahumara tribe and running essentially barefoot, competing with some of world's best ultra-distance runners; blend of foot biology and inspiring narrative where I enjoyed it, but was a little surprised at how much adulation it's received</t>
  </si>
  <si>
    <t>Talking about mental preparation and toughness through telling 12 anecdotes (e.g., Greg Lemond at 1989 Tour, Siri Lindley and triathon, Cadel Evans, Paula Newby-Fraser, New Zealand Rowers); aside from some interesting anecdotes, not sure how much it pulled together into an overall thesis (where my recall is always much lower when I listen to something vs. read it)</t>
  </si>
  <si>
    <t>Ovitz, Michael</t>
  </si>
  <si>
    <t>Autobiography about super-agent where the most interesting parts overlapp a lot with the book "Powerhouse" about CAA more broadly; post-1990s didn't feel reflective and overall there was a fair amount of "how" and less "why" and "what he learned"; still fairly engrossing - with some funny/entertaining anecdotes - especially if not as familiar with the CAA growth story</t>
  </si>
  <si>
    <t>Bond, Hamish and Murray, Eric</t>
  </si>
  <si>
    <t>If you don't row, stay away from this; a lot like "The Sphinx of the Charles" directly below, has some good parts, but the main message from these two rowers is "we trained REALLY hard" (which is probably very accurate, but doesn't lend itself to really interesting prose)</t>
  </si>
  <si>
    <t>Ayer, Toby</t>
  </si>
  <si>
    <t>Account of spending a year with Harry Parker, including several lengthy verbatim quotes from alums; some good parts around HP's leadership style and generally how he motivated his teams + a little bit of biographical context about him himself, where felt like the overall book was worse than the sum of its parts (the opposite of what good rowing is supposed to be!)</t>
  </si>
  <si>
    <t>Taddeo, Lisa</t>
  </si>
  <si>
    <t xml:space="preserve">Blurring of fiction and non-fiction about the desire of 3 women in America in the 2010s; I'm not the demographic, but I primarily found it depressing vs. compelling
</t>
  </si>
  <si>
    <t>Arnold, Caroline</t>
  </si>
  <si>
    <t>Writing up notes about 8 months later and have very vague memories of the book, so it didn't stick with me at all</t>
  </si>
  <si>
    <t xml:space="preserve">Zuckerman, Gregory
</t>
  </si>
  <si>
    <t>Jim Simons and Renaissance and Medallan Fund etc.; not bad, lacked the intrigue of a Bad Blood or the insights of a Shoe Dog</t>
  </si>
  <si>
    <t>Bernoff, Josh</t>
  </si>
  <si>
    <t>Some reasonable tips, but very few memorable ones</t>
  </si>
  <si>
    <t>McPhee, John</t>
  </si>
  <si>
    <t>Thought I'd enjoy more than I did: of three books about writing this week (Anne Lamott + William Zinsser), meaningfully the one I enjoyed the least. Probably because it's a combination of essays from The New Yorker, so it doesn't feel like a clear story. And tends to go long on the examples of text, where I personaly found the prose in the examples less compelling than I'd expected</t>
  </si>
  <si>
    <t>Duarte, Nancy</t>
  </si>
  <si>
    <t>Maybe would give it a lower grade: useful at the individual slide level, entirely lacking at actually putting together a narrative or storyline</t>
  </si>
  <si>
    <t>Uses some historical anecdotes to connect to current day business leadership, which didn't land all that well with me; where "The Hard Things about Hard Things" cut through with me, this one felt vaguer, enjoyable to read, but unclear how I think or do things differently afterwards</t>
  </si>
  <si>
    <t>Walker, Steve</t>
  </si>
  <si>
    <t>Best of collection of long distance swimming books so far: a bit more focus on swimming than life lessons and liked the author's general tone and personality</t>
  </si>
  <si>
    <t>Shipnuck, Alan</t>
  </si>
  <si>
    <t>Some elements of humour and surprise, but not enough to make it more than just fairly entertaining and an easy read</t>
  </si>
  <si>
    <t>Wall, Cara</t>
  </si>
  <si>
    <t>1950s and 1960s family and society with a major focus on faith: odd in that I didn't love the book, but wanted it to keep going since it felt incomplete</t>
  </si>
  <si>
    <t>Burrows, James &amp; Friedfelt, Eddy</t>
  </si>
  <si>
    <t>Long-winded, sometimes entertaining blend of autobiographies and stories</t>
  </si>
  <si>
    <t>Tsui, Bonnie</t>
  </si>
  <si>
    <t>Tackling why various people swim across numerous reasons, with fairly light and interesting tone</t>
  </si>
  <si>
    <t>Riordan, Rick</t>
  </si>
  <si>
    <t>[Read in Spanish while son read in English] Hard not to compare to Harry Potter, where the plot is pretty good here, but the quality of writing and dialogue is meaningfully lower</t>
  </si>
  <si>
    <t>Slootman, Frank</t>
  </si>
  <si>
    <t>Lots of what could be seen as common sense: these sentences from the book summarize the rest of it "What you need on day one is to ratchet up expectations, energy, urgency, and intensity." "So let's start with an overview of the five key steps in the Amp It Up process: raise your standards, align your people, sharpen your focus, pick up the pace, and transform your strategy."</t>
  </si>
  <si>
    <t>Bryant, Kobe</t>
  </si>
  <si>
    <t>Short with lots of pictures, where definitely inspiring but heavy on imagery and lighter on text and memorable stories</t>
  </si>
  <si>
    <t>Greitens, Eric</t>
  </si>
  <si>
    <t>Navy Seal writing letters to a fellow serviceman who's struggled: blend of stoicism + more, took a lot of highlights, but nothing major imprinted in my brain the first time around</t>
  </si>
  <si>
    <t>Harvard evolutionary biologist digging into the history of exercise: neither a page-turned nor too dense to read, somewhere in the middle</t>
  </si>
  <si>
    <t>Khan, Salman</t>
  </si>
  <si>
    <t>Pretty easy to read take on AI tutors which felt a little bit too down the middle to be truly thought provoking - it feels as though he's overly couching how much AI could transform education</t>
  </si>
  <si>
    <t>Schwarzenegger, Arnold</t>
  </si>
  <si>
    <t>Perfectly listenable book read by Ahhnold that isn't novel enough nor racy enough to be more than just a solid listen; it's not a spicy bio and it's not got contrarian ideas, so reaction throughout is "that make sense" vs a stronger emotion of surprise, excitment etc.</t>
  </si>
  <si>
    <t>Suleyman, Mustafa</t>
  </si>
  <si>
    <t>Some great content, but it's heavy and, to me, overwritten, that I wonder what the book would have been like with more editing and more So What; it felt like what could have been said in a paragraph was always said in a page; I've literally just finished the book and aside from "lots of change is coming," I don't have a clear set of takeaways</t>
  </si>
  <si>
    <t>Hoffman, Reid &amp; Beato, Greg</t>
  </si>
  <si>
    <t>More about philosophy (which I enjoyed) and less about our practical AI future (which I'd expected); I got to the end, expecting at least 2 more chapters getting more specific and prescriptive</t>
  </si>
  <si>
    <t>Rumelt, Richard</t>
  </si>
  <si>
    <t>I forgot to write notes for several months and have no memory of anything : which probably says as much about my memory and distractions as the book itself, but it's never a great sign</t>
  </si>
  <si>
    <t>I read immediately after reading "James" (see much higher rated above), so in comparison I liked Huck Finn materially less; enjoyed some of the raft adventures and evolution of Huck, where the last 5 chapters or so once Tom Sawyer got involved again were much less enjoyable</t>
  </si>
  <si>
    <t>Rooney, Sally</t>
  </si>
  <si>
    <t>I'd already seen the show, which I preferred, but this was good too, albeit a bit darker and more depressing than the TV version. Both main characters were sufficiently depressed that it's not exactly inspiring, but it's fairly page-turning</t>
  </si>
  <si>
    <t>Grann, David</t>
  </si>
  <si>
    <t>I expected to like it more, but I got a bit lost by the sheer number of characters and it wasn't really a page-turner, with a major twist; it's an important topic, where I personally found the connection to the birth of the FBI more of a distraction than a feature</t>
  </si>
  <si>
    <t>NF/TRUECRIME</t>
  </si>
  <si>
    <t>Ginger Man, The</t>
  </si>
  <si>
    <t>Donleavy, J.P.</t>
  </si>
  <si>
    <t>Sebastian Dangerfield, an American studying at Trinity College in Dublin post-WWII</t>
  </si>
  <si>
    <t>Insanely Great: The Life and Times of Macintosh, the Computer that Changed Everything</t>
  </si>
  <si>
    <t>1976-1986 Apple</t>
  </si>
  <si>
    <t>Money Culture, The</t>
  </si>
  <si>
    <t>Varied 1980s and early 90s essays on U.S., European, and Japanese economy</t>
  </si>
  <si>
    <t>Goldman Sachs - The Culture of Success</t>
  </si>
  <si>
    <t>Endlich, Lisa</t>
  </si>
  <si>
    <t>Goldman Sachs from 1869 to 1999</t>
  </si>
  <si>
    <t>Blue Streak: Inside jetBlue, the Upstart that Rocked an Industry</t>
  </si>
  <si>
    <t>Peterson, Barbara</t>
  </si>
  <si>
    <t>History of JetBlue through 2004</t>
  </si>
  <si>
    <t>Feeding The Monster</t>
  </si>
  <si>
    <t>Mnookin, Seth</t>
  </si>
  <si>
    <t>Focus on 2003-2005 Boston Red Sox; Very quick read, although not terribly insightful</t>
  </si>
  <si>
    <t>Warrior Elite, The: The Forging of SEAL Class 228</t>
  </si>
  <si>
    <t>Couch, Dick</t>
  </si>
  <si>
    <t>Quick-to-read account from former SEAL about SEAL team 228 through first three phases of training</t>
  </si>
  <si>
    <t>American Pastoral</t>
  </si>
  <si>
    <t>Seymour "Swede" Levov and 1940s through 1970s New Jersey family tragedy and increasing disfunction</t>
  </si>
  <si>
    <t>Plodding and disappointing (given plaudits) account of Briony Tallis's crime and subsequent "atonement"; Long on situational detail and short on likeable characters; Better as a short story</t>
  </si>
  <si>
    <t>Indignation</t>
  </si>
  <si>
    <t>1950s sophomore year for transfer from Newark in shadow of Korean War; Strong beginning, but gradually more extreme and less introspective over 2nd half</t>
  </si>
  <si>
    <t xml:space="preserve">Good to Great: Why Some Companies Make the Leap... and Others Don't </t>
  </si>
  <si>
    <t>Collins, Jim</t>
  </si>
  <si>
    <t>generally overrated: a few good pieces, but generally can't understand why it's such a business bible</t>
  </si>
  <si>
    <t>Winning in Turbulence</t>
  </si>
  <si>
    <t>Rigby, Darrell</t>
  </si>
  <si>
    <t>2009 series of short chapters on how to outperform in recession; nothing particularly innovative</t>
  </si>
  <si>
    <t>Tell to Win: Connect, Persuade, and Triumph with the Hidden Power of Story</t>
  </si>
  <si>
    <t>Guber, Peter</t>
  </si>
  <si>
    <t>Not terribly memorable take on weaving story-telling into business</t>
  </si>
  <si>
    <t>Collins, Suzanne</t>
  </si>
  <si>
    <t>Overrated: page-turning, but prose isn't great, stories aren't all that novel; not deserving of its success</t>
  </si>
  <si>
    <t>42 Rules of Product Management</t>
  </si>
  <si>
    <t>Lawley, Brian &amp; Cohen, Greg</t>
  </si>
  <si>
    <t>42 anecdotes about product management: some very good, some weaker, with no sections/sequencing/organization</t>
  </si>
  <si>
    <t>Veil, The</t>
  </si>
  <si>
    <t>Lukas, Michael</t>
  </si>
  <si>
    <t>Book about bipolar: I know the author personally; Compelling, but overly focused on story-telling about mania and is light on synthesis and introspection</t>
  </si>
  <si>
    <t>Gow, Glenn</t>
  </si>
  <si>
    <t>Short summary of how CMOs can partner with sales more effectively; a few good nuggets</t>
  </si>
  <si>
    <t>Carlson, Nicholas</t>
  </si>
  <si>
    <t>Reads like a long Business Insider article, which isn't surprising given he's a Business Inside author; some interesting tidbits about Yahoo/MM, but not a lot of broader business learning</t>
  </si>
  <si>
    <t>Miodownik, Mark</t>
  </si>
  <si>
    <t>Discussion of some of the material science of common objects - some good parts, but overall surprised by unengaging I found it</t>
  </si>
  <si>
    <t>Collins, Wilkie</t>
  </si>
  <si>
    <t>Published in 1868 and described by same as first detective novel; liked first 1/3 and then got very bored (was via Audible) as didn't seem like it needed to be nearly as long; perks up again right towards end, but overall was waiting for it to end</t>
  </si>
  <si>
    <t>Book 4 of 5: focuses on Patrick having young children where first 1/3 or so is written from young child's perspective; liked this 1st third less and then enjoyed more as progressed to discus Patrick in middle age</t>
  </si>
  <si>
    <t>Cohen, Rich</t>
  </si>
  <si>
    <t xml:space="preserve">Rolling Stone writer who toured with band in 1994, but chooses to make it a biography vs. focusing primary on his unique viewpoint; found a lot of overlap with Keith Richard's bio and generally lost steam from about 1980 on </t>
  </si>
  <si>
    <t>Wambach, Abby</t>
  </si>
  <si>
    <t>Very raw autobiography where feels like it's written mid-way through therapy: writing is helping her, but hasn't resolved anything yet so it feels pretty incomplete to the reader; piece that was missing for me was why she was so good, from this recounting it sounds as though she scored 20 goals when she was 8, so the interpretation that comes through is more of freakish talent than pursuing greatness (which I'm sure she did too)</t>
  </si>
  <si>
    <t>Ransom, Mark</t>
  </si>
  <si>
    <t>Tale of somebody deciding on a whim to swim the English Channel and then doing it the next year, probably training less than almost anybody else in the history of channel swimming</t>
  </si>
  <si>
    <t>Mallaby, Sebastian</t>
  </si>
  <si>
    <t>Researcher detailing the history of VC back to Arthur Rock; some elements of gossip, many elements of history, slightly odd in that it's very pro-VC but it's clear from the language that the author isn't an insider, so it's like a really enthusiastic outsider becoming a booster for something he'd like to be part of</t>
  </si>
  <si>
    <t>Middleton, Ant</t>
  </si>
  <si>
    <t>Don't like the author's personality, but did like much of the advice about limiting being scared of things to the actual event itself vs. the run up to + other elements of framing stressful situations</t>
  </si>
  <si>
    <t>Edgley, Ross</t>
  </si>
  <si>
    <t>Partial self-help, partial a journal of his swimming around Great Britain in 150+ days: some good mentions of research on resilience, where I didn't get a great sense of what personally motivated him</t>
  </si>
  <si>
    <t>Kelly, Mary Louise</t>
  </si>
  <si>
    <t>Liked the 1/3 of the book that delivered on the title and primary topic of parenting; less interested in the memoir elements</t>
  </si>
  <si>
    <t>Last Banner, The</t>
  </si>
  <si>
    <t>Peter May</t>
  </si>
  <si>
    <t>Story of 1985-86 Boston Celtics</t>
  </si>
  <si>
    <t>LeMond</t>
  </si>
  <si>
    <t>Abt, Samuel</t>
  </si>
  <si>
    <t>Greg LeMond bio</t>
  </si>
  <si>
    <t>Golden Age, A</t>
  </si>
  <si>
    <t>Redgrave, Steve</t>
  </si>
  <si>
    <t>Autobiography: pretty dry</t>
  </si>
  <si>
    <t>By a Fraction of a Second</t>
  </si>
  <si>
    <t>Melina, Lois Ruskai</t>
  </si>
  <si>
    <t>Female swimmers training for the 2000 Olympics</t>
  </si>
  <si>
    <t>Dover Solo</t>
  </si>
  <si>
    <t>Cleveland, Marcia</t>
  </si>
  <si>
    <t>Account of preparing for and swimming the English Channel</t>
  </si>
  <si>
    <t>You Cannot Be Serious</t>
  </si>
  <si>
    <t>McEnroe, John</t>
  </si>
  <si>
    <t>Autobiography - not anywhere as interesting as McEnroe usually is</t>
  </si>
  <si>
    <t>Majors, The</t>
  </si>
  <si>
    <t>1998 Majors (O'Meara, Janzen, O'Meara, Singh)</t>
  </si>
  <si>
    <t>Swimming to Antarctica</t>
  </si>
  <si>
    <t>Cox, Lynne</t>
  </si>
  <si>
    <t>Long-distance swimming in extreme locales</t>
  </si>
  <si>
    <t>Merchants of Debt</t>
  </si>
  <si>
    <t>Pro-KKR book published 1992</t>
  </si>
  <si>
    <t>Irrational Exuberance</t>
  </si>
  <si>
    <t>Schiller, Robert</t>
  </si>
  <si>
    <t>Economics professor writing about stock and real estate bubbles (particularly dot.com boom and post-2000 real estate boom), examining causes and solutions</t>
  </si>
  <si>
    <t>Lance Armstrong's War</t>
  </si>
  <si>
    <t xml:space="preserve"> Build-up and racing at 2004 Tour de France</t>
  </si>
  <si>
    <t>Ugly Americans</t>
  </si>
  <si>
    <t>Hedge funds and excess in Japan in mid-late 1990s</t>
  </si>
  <si>
    <t xml:space="preserve">Paul A. Samuelson: On Being an Economist </t>
  </si>
  <si>
    <t>Szenberg, Michael et al.</t>
  </si>
  <si>
    <t>Paul Samuelson - Combined biographical with impact on economics</t>
  </si>
  <si>
    <t>Search, The: How Google and its rivals rewrote the rules of business and transfomed our culture</t>
  </si>
  <si>
    <t>Battelle, John</t>
  </si>
  <si>
    <t>Search evolution and perspective looking forward</t>
  </si>
  <si>
    <t>The Curious Case of Sidd Finch</t>
  </si>
  <si>
    <t>Plimpton, George</t>
  </si>
  <si>
    <t>Satirical novel about NY Mets buddhist pitcher</t>
  </si>
  <si>
    <t>Only the Paranoid Survive: How to Exploit the Crisis Points that Challenge Every Company</t>
  </si>
  <si>
    <t>Account of management and leadership style through growth of Intel: very overrated</t>
  </si>
  <si>
    <t>Globalization and Its Discontents</t>
  </si>
  <si>
    <t>Stiglitz, Joseph</t>
  </si>
  <si>
    <t>Very critical and repetitive account of IMF "Washington Consensus" Politics with more positive spin on World Bank (where he was Chief Economist)</t>
  </si>
  <si>
    <t>Confederacy of Dunces, A</t>
  </si>
  <si>
    <t>Toole, John Kennedy</t>
  </si>
  <si>
    <t>Ignatius J. Reilly &amp; his bowel movements in 1950s New Orleans; Disappointing on the most part, although improved towards the end</t>
  </si>
  <si>
    <t>Pastwatch</t>
  </si>
  <si>
    <t>Reconfiguring the future via Christopher Columbus; Neither as interesting nor clever as 2 Ender's books</t>
  </si>
  <si>
    <t>Paying with Plastic: The Digital Revolution in Buying and Borrowing</t>
  </si>
  <si>
    <t>Evans, David &amp; Schmalansee, Richard</t>
  </si>
  <si>
    <t>Credit card industry 1950-2002; Extremely detailed but lacking in emphasizing higher-level themes to drive take-aways; Much less easy to read and interesting than "Invisible Engines"</t>
  </si>
  <si>
    <t>Madison and Vine: Why the entertainment and advertising industries must converge to survive</t>
  </si>
  <si>
    <t>Donaton, Scott</t>
  </si>
  <si>
    <t>As particularly TV advertising struggles, advertisers will need to converge with content providers to better reach the end customer; short, simplistic, and not terribly insightful account written in 2004.</t>
  </si>
  <si>
    <t>While America Aged: How Pension Debts Ruined General Motors, Stopped the NYC Subways, Bankrupted San Diego, and Looms as the Next Financial Crisis</t>
  </si>
  <si>
    <t>Clearly article lengthened to book; 3 examples (GM, NYC Subways, San Diego) that don't necessarily tie together: pay unions now and mortgate the future; Not bad conclusion chapter</t>
  </si>
  <si>
    <t>Planet Google: One Company's Plan to Organize Everything we Know</t>
  </si>
  <si>
    <t>Slightly disappointing account of Google in 2007/08 by author of much better "The Perfect Store" (eBay); Walked through each product categories to discuss strategy, but missing central theme/structure</t>
  </si>
  <si>
    <t>The Wave: In Pursuit of the Rogues, Freaks and Giants of the Ocean</t>
  </si>
  <si>
    <t>Casey, Susan</t>
  </si>
  <si>
    <t>Was hoping for main focus on surfing, but actually a good deal of physics (OK) and other details about wave-driven tragedies</t>
  </si>
  <si>
    <t>Viral Loop: From Facebook to Twitter, How Todays' Smartest Businesses Grow Themselves</t>
  </si>
  <si>
    <t>Penenberg, Adam</t>
  </si>
  <si>
    <t>Already seemed dated: some anecdotes about growth of hotmail, FB etc., but can't remember a single thing about the book 1 year later</t>
  </si>
  <si>
    <t>Everything is Obvious (once you know the answer): How common sense fails us</t>
  </si>
  <si>
    <t>Watts, Duncan</t>
  </si>
  <si>
    <t>A non-memorable behavioral economics book: can't recall anything novel vs. the other dozen similar books</t>
  </si>
  <si>
    <t>Golden Ratio, The: The Story of Phi, the World's Most Astonishing Number</t>
  </si>
  <si>
    <t>Livio, Mario</t>
  </si>
  <si>
    <t>Fascinating concept in very dull packaging: a few good anecdotes, but heavy on history and light on "so what"; could have been materially better with better author</t>
  </si>
  <si>
    <t>Extreme Productivity: Boost Your Results, Reduce Your Hours</t>
  </si>
  <si>
    <t>Pozen, Robert</t>
  </si>
  <si>
    <t>Some good summary of existing techniques, but not terribly novel and tone was pretty egotistical</t>
  </si>
  <si>
    <t>Outsider, The</t>
  </si>
  <si>
    <t>Connors, Jimmy</t>
  </si>
  <si>
    <t>Up-and-down take on Jimmy Connors career: some good parts, especially in the 1970s</t>
  </si>
  <si>
    <t>Catching Fire (Hunger Games 2 of 3)</t>
  </si>
  <si>
    <t>Page turner in parts, but overall didn't really progress very much in 400 pages</t>
  </si>
  <si>
    <t>Jab, Jab, Jab, Right Hook: How to Tell Your Story in a Noisy Social World</t>
  </si>
  <si>
    <t>Vaynerchuk, Gary</t>
  </si>
  <si>
    <t>Primer on how businesses can use different social media channels: felt like 8 blog posts smushed together vs. a true book with overarching narrative</t>
  </si>
  <si>
    <t>Jiwa, Bernadette</t>
  </si>
  <si>
    <t>Honestly can't remember much about this book, slightly ironic given the title; mainly about the importance of how people feel</t>
  </si>
  <si>
    <t>Kondo, Marie</t>
  </si>
  <si>
    <t>B- might be tough, but it's mainly a brilliant idea - keep only the items that bring you joy - with about 200 more pages that don't say much; was given advice to just read the bolded text and I'd pass that advice along</t>
  </si>
  <si>
    <t>Hawkins, Paula</t>
  </si>
  <si>
    <t>Page-turning, but felt like a fairly similar and less suspenseful version of "Gone Girl"; a bit like "50 Shades of Gray" not quite sure why this was so popular</t>
  </si>
  <si>
    <t>Barton, Fiona</t>
  </si>
  <si>
    <t xml:space="preserve">Pseudo Psychological Thriller with moments of interest, but offputting subject matter (pedophilia and youth kidnapping) and lack of likeable characters meant generally wasn't a very pleasant listening experience </t>
  </si>
  <si>
    <t>Seabrook, John</t>
  </si>
  <si>
    <t>About swedish hook-writers and the birth of using technology and specialized teams to create hit songs; OK overall</t>
  </si>
  <si>
    <t>Meyer, Scott</t>
  </si>
  <si>
    <t>Very geeky tale of techie going back to medieval pages; liked intially and then found progressively less and less enjoyable; didn't read books 2 and 3</t>
  </si>
  <si>
    <t>Ankiel, Rick</t>
  </si>
  <si>
    <t>Given how interesting his story could be - and that he was reading it himself - was surprised it wasn't more gripping; felt like because he couldn't figure out what happened to his arm, he could write about it in an interesting way either</t>
  </si>
  <si>
    <t>Bergeron, Ben</t>
  </si>
  <si>
    <t>Inputting this 6 months later and remember very little beyond his training a few athletes for the CrossFit Games</t>
  </si>
  <si>
    <t>Ross, Rory &amp; Foster, Tim</t>
  </si>
  <si>
    <t>Account of British Rowing 4 training for and racing in Sydney 2000 Olympics (Redgrave, Pinsent etc.) where given rowing is something I'm pretty consumed by, wasn't a very interesting book. A few good tidbits, but generally simply wasn't very interesting (which means who don't like rowing would find it about as boring as I can imagine)</t>
  </si>
  <si>
    <t>King, Stephen</t>
  </si>
  <si>
    <t>Major disappointment given I like the film - and recently rewatched it; pretty different from the book where it wasn't even a page turner by the middle and I was basically waiting for it to get better and it never really did</t>
  </si>
  <si>
    <t>Talks through his path to ultramarathoning where I found it less interesting than "North" (see above)</t>
  </si>
  <si>
    <t>Good basic premise where example of a 3-5 page article that doesn't really need to be a book, especially a 300-page book; also I generally don't find myself as addicted to screens as others he writes about in the book</t>
  </si>
  <si>
    <t>Gilbert, Elizabeth</t>
  </si>
  <si>
    <t xml:space="preserve">Perhaps wrong chromosomes or perhaps overally high expectations, thought it was fine, progressively less interesting moving from Rome to India to Bali; thought she had a great voice for Audible
</t>
  </si>
  <si>
    <t>Kind, Stephen</t>
  </si>
  <si>
    <t>Some good parts where given I remember the plot of so many of his books, it's a bit surprising I can barely recall anything from the book beyond finding it easy to read and entertaining in parts</t>
  </si>
  <si>
    <t>Trimboli, Oscar</t>
  </si>
  <si>
    <t>Fairly short book about listening where a couple pieces compelling - e.g, we speak at 125 words/minute but can process more like 400 words per minute, so we get bored/distracted - but generally felt like it could have been a 2-page article</t>
  </si>
  <si>
    <t>Ferrari, Bernard</t>
  </si>
  <si>
    <t xml:space="preserve">A few good parts on listening - e.g., listening should be more mentally taxing than talking if you're doing it right + shooting to be listening 80% of the time in most conversations - but could have been a lot shorter and veered into business consulting land, pretty far away from core listening skills
</t>
  </si>
  <si>
    <t>Listen Like You Mean It: Reclaiming the Lost Art of True Connection</t>
  </si>
  <si>
    <t>Vengoechea, Ximena</t>
  </si>
  <si>
    <t>Probably 4th or 5th book on listening, so I may be biased against it because there's little I found especially novel</t>
  </si>
  <si>
    <t>Humphreys, Mike</t>
  </si>
  <si>
    <t>Account of 4 failed English Channel swimming accounts, where it felt as though he started writing on #2 to document victory and then it kept going; style and content fine, just a bit depressing given he never makes it</t>
  </si>
  <si>
    <t>Walker, Adam</t>
  </si>
  <si>
    <t>Hard books to review in that I'm interested in the swimming, but they're written for broader appeal, so I end up only liking the swimming and finding all the life details and broader implications less interesting</t>
  </si>
  <si>
    <t>Rand, Ayn</t>
  </si>
  <si>
    <t>Some strong parts, where it was just so long and couldn't seem to make up its mind between a compelling plot and philosophy; in addition, all the main characters weren't exactly inspiring</t>
  </si>
  <si>
    <t>Marquez, Gabriel Garcia</t>
  </si>
  <si>
    <t>Liked first chapter and then liked it less and less as the story get more confusing, mystical, and incest-based; I know I'm supposed to love it, but I increasingly found myself just waiting for it to end</t>
  </si>
  <si>
    <t>Owens, Delia</t>
  </si>
  <si>
    <t>One of the more overrated books I can think of: one of my least highlighted books, which is never a great sign</t>
  </si>
  <si>
    <t>3rd book I've read on the same topic, so probably would rate it higher if 1st or 2nd, but feels like it's more and more repetition</t>
  </si>
  <si>
    <t>Perry, Matthew</t>
  </si>
  <si>
    <t>He narrated it and I struggled with the waves of cynicism; some funny stories, but he seemed to revel in telling drug-related stories and sharing how much money he made from Friends, so he comes across as a pretty enormous asshole</t>
  </si>
  <si>
    <t>Already read "It Takes What It Takes" from same author, so this one didn't seem to add anything new (to me at least)</t>
  </si>
  <si>
    <t>My least favourite of his books: he didn't seem to be enjoying the writing as much as usual + it didn't feel as polished, more like a long article than a carefully crafted book; still entertaining in many places, of course, just not as good to me as most of his work</t>
  </si>
  <si>
    <t>Swisher, Kara</t>
  </si>
  <si>
    <t>Entertaining, but neither insightful nor gossipy enough to be memorable</t>
  </si>
  <si>
    <t>July, Miranda</t>
  </si>
  <si>
    <t>Writing this a month later, I remember there's some sex and it's about a mid-life crisis for a woman, but generally I didn't enjoy it; felt too much like somebody depressed making bad choices</t>
  </si>
  <si>
    <r>
      <rPr>
        <color rgb="FF1155CC"/>
        <sz val="10.0"/>
        <u/>
      </rPr>
      <t>YES</t>
    </r>
    <r>
      <rPr>
        <color rgb="FF000000"/>
        <sz val="10.0"/>
      </rPr>
      <t>'</t>
    </r>
  </si>
  <si>
    <t>Wall Street Meat: Jack Grubman, Frank Quattrone, Mary Meeker, Henry Blodget and me</t>
  </si>
  <si>
    <t>Kesslier, Andy</t>
  </si>
  <si>
    <t>Grubman (Paine Webber, telecom 1980s), Quattrone (Morgan Stanley, Deutsche Bank, CSFB 90s), Meeker (MS, 90s) and Blodget (Merrill Lynch)</t>
  </si>
  <si>
    <t>Player, The</t>
  </si>
  <si>
    <t>Becker, Boris</t>
  </si>
  <si>
    <t>Pretty shit Boris Becker autobiography (note: he was my favourite athlete bar none growing up)</t>
  </si>
  <si>
    <t>Michael Phelps: Beneath the Surface</t>
  </si>
  <si>
    <t>Phelps, Michael &amp; Cazeneuve, Brian</t>
  </si>
  <si>
    <t>Biography of Michael Phelps through 2001; Divorced father and sister's back injury only surprising part</t>
  </si>
  <si>
    <t>Why the Democrats are Blue: Secular Liberalism and the Decline of the People's Party</t>
  </si>
  <si>
    <t>Strickerz, Mark</t>
  </si>
  <si>
    <t>Account of McGovern Commission in 1969-1971 leading to power shifting from traditional Catholic bosses to feminist, pro-gay, and pro-abortion interest groups; Better as an article - overly thorough yet poorly structured</t>
  </si>
  <si>
    <t>The Life Before Her Eyes</t>
  </si>
  <si>
    <t>Kasishke, Laura</t>
  </si>
  <si>
    <t>Initially interesting and increasingly poor fictional account relating a Columbine-like shooting with adult, family experiences</t>
  </si>
  <si>
    <t>More Sex is Safer Sex: The Unconventional Wisdom of Economics</t>
  </si>
  <si>
    <t>Landsburg, Stephen</t>
  </si>
  <si>
    <t>Easily the worst "behavioral economics" book I've read; Unsubstantiated and not particularly interesting claims; Became more interesting from a very low base, but moved around a lot without a major thesis</t>
  </si>
  <si>
    <t>Follow-up to his much better first auto biography ("You Cannot Be Serious") where this primarily focused on 2000-2015; a few good parts, but generally not very interesting anecdotes and generally felt very poorly edited</t>
  </si>
  <si>
    <t>Matheson, Hugh &amp; Dodd, Christopher</t>
  </si>
  <si>
    <t>Early parts about life in Eastern Europe for a very successful rowing coach were interesting and then by second half it's largely an account of what happened to British Rowing in terms of results (which I found semi-interesting, but a non rowing nut is going to fall asleep); less about him and what makes him tick - or what he does to make others tick - so fell pretty flat</t>
  </si>
  <si>
    <t>Aciman, Andre</t>
  </si>
  <si>
    <t>Thought I was getting "A Secret History" and "The Big Chill" type novel (East coast college students reunion) and got a blend of supernatural and multi-generational romance that I enjoyed less and less as the story narrowed; NOTE: it's Audible-only</t>
  </si>
  <si>
    <r>
      <rPr>
        <color rgb="FF1155CC"/>
        <sz val="10.0"/>
        <u/>
      </rPr>
      <t>Privileged Poor, The</t>
    </r>
    <r>
      <rPr>
        <color rgb="FF000000"/>
        <sz val="10.0"/>
      </rPr>
      <t>: How Elite Colleges Are Failing Disadvantaged Students</t>
    </r>
  </si>
  <si>
    <t>Jack, Anthonly Abraham</t>
  </si>
  <si>
    <t>Interesting concept of "the privileged poor" (poor students who attend elite high schools) and the "doubly disadvantaged" (poor students who did NOT attend elite high schools) that then, in my opinion, really goes nowhere in a read that's pretty dull. Too bad given how important the topic is. Much preferred "The Years That Matter Most" (see above)</t>
  </si>
  <si>
    <t>Arguelles, Antonio &amp; Toledano, Nora</t>
  </si>
  <si>
    <t>Account of several Mexican swimmers swimming the English Channel: I read entirely for the swimming tips vs. larger life lessons</t>
  </si>
  <si>
    <t>Kaufman, Peter</t>
  </si>
  <si>
    <t>One of top 5 disconnects in between expectations and my reality: didn't enjoy at all - some good points, but hated the essays format and incredible amounts of duplications/redundancy - where just wanted to get it finished after 200 pages (of 500)</t>
  </si>
  <si>
    <t>Manyoki, Attila &amp; Schauhuber, Martin</t>
  </si>
  <si>
    <t>Like most of these marathon endurance books, tries to blend in some of the family and hardship elements, which never works (for me at least)</t>
  </si>
  <si>
    <t>McCullough, Amy</t>
  </si>
  <si>
    <t>Thriller about high altitude mountain climbing, where I enjoyed some of the mountain climbing elements, but the characters and plot were forced and pretty low on the page-turner scale</t>
  </si>
  <si>
    <t>In Quest of Gold</t>
  </si>
  <si>
    <t>Ryun, Jim</t>
  </si>
  <si>
    <t>Jim Ryun bio and shift towards religious faith</t>
  </si>
  <si>
    <t>Break Point: The Secret Diary of a Pro Tennis Player</t>
  </si>
  <si>
    <t>Spadea, Vince</t>
  </si>
  <si>
    <t>2005 tennis tour diary - dishing not terribly interesting dirt</t>
  </si>
  <si>
    <t>Confessions of a Venture Capitalist</t>
  </si>
  <si>
    <t>Quindlen, Ruthann</t>
  </si>
  <si>
    <t>Not very informative account of specifics that go into VC investing</t>
  </si>
  <si>
    <t>Drama of the Gifted Child, The: The Search for the True Self</t>
  </si>
  <si>
    <t>Miller, Alice</t>
  </si>
  <si>
    <t>Highly Freudian analysis of adult achievement through lens of forever trying to impress parents</t>
  </si>
  <si>
    <t>Amazonia: Five Years at the Epicenter of the Dot.com Juggernaut</t>
  </si>
  <si>
    <t>Marcus, James</t>
  </si>
  <si>
    <t>Overly personalized story of early life at Amazon</t>
  </si>
  <si>
    <t>Ravelstein</t>
  </si>
  <si>
    <t>Bellow, Saul</t>
  </si>
  <si>
    <t>Friend retelling death of professor/theorist (Allan Bloom)</t>
  </si>
  <si>
    <t>NEXT</t>
  </si>
  <si>
    <t>Crichton, Michael</t>
  </si>
  <si>
    <t>Not good overall; Strong start followed by increasingly implausible and not terribly suspenseful plotlines; Genetic engineering and transgenics</t>
  </si>
  <si>
    <t>No Limits: The Will To Succeed</t>
  </si>
  <si>
    <t>Phelps, Michael &amp; Abrahamson, Alan</t>
  </si>
  <si>
    <t>Phelps autobiography immediately post-Beijing with very little revealing detail or interesting information beyond articles already written elsewhere</t>
  </si>
  <si>
    <t>Bossypants</t>
  </si>
  <si>
    <t>Fey, Tina</t>
  </si>
  <si>
    <t>A few funny bits, but generally underwhelming and I can't remember a single thing several months later</t>
  </si>
  <si>
    <t>Suarez, Daniel</t>
  </si>
  <si>
    <t>Cyperthriller about a mad inventor dying and creating a computer program that takes over the world's systems leading to mayhem; reasonable premise that moves pretty quickly, but has almost no character development and gets overly outlandish for my tastes; is part of 2-part set where book 1 doesn't resolve; not the kind of book I usually read (where this didn't change that! :))</t>
  </si>
  <si>
    <t>Brown, Jeremiah</t>
  </si>
  <si>
    <t>Canadian olympic rower talking about starting rowing and becoming an Olympian within 4 years; there's a sense of frusration/aggression through the tone of the writing that's not very enjoyable and it lacks insights, so you don't find yourself really wanting him to succeed</t>
  </si>
  <si>
    <t>Kotler, Steven</t>
  </si>
  <si>
    <t>Supposed to be about "Flow" state and how this is advancing society, using extreme sports as a big piece of it. Instead it's 80% about extreme sports - which is interesting enough - but there's almost no connection to "real life". He doesn't connect the dots between crazy athletic feats and how a normal person can learn from and apply from any lessons. Throw in that it meanders all over the place - and was the narrator I've enjoyed least across all of Audible - and not something I'd recommend</t>
  </si>
  <si>
    <t>Isaac, Mike</t>
  </si>
  <si>
    <t xml:space="preserve">A bit of history of Uber with a major focus on 2016-2018; everybody pretty much comes out looking terrible (removing that it's a $50B+ company)
</t>
  </si>
  <si>
    <t>Some funny lines, but got worse and worse and worse and ended up just waiting for it to end; liked "Dept of Speculation" (prior novel) quite a bit, where this one was just too depressing across a drug-addicted, suicidal breather, post-Trump victory reactions, and doomdsay cult. A short listen/read, but I couldn't wait to put it down</t>
  </si>
  <si>
    <t>The Only Business Writing Book You'll Ever Need</t>
  </si>
  <si>
    <t>Brown, Laura</t>
  </si>
  <si>
    <t>If this is the only business writing book people read, we're all in trouble :) Generic, overly tailored to email, and overall nothing memorable I can recall only a couple weeks later</t>
  </si>
  <si>
    <t>Beisel, Elizabeth</t>
  </si>
  <si>
    <t>Olympic swimmer memoir, perfectly fine, just nothing very nuanced or surprising</t>
  </si>
  <si>
    <t>Hoff, Katie</t>
  </si>
  <si>
    <t>Might be overrating this, another pretty bad swimmer autobiography</t>
  </si>
  <si>
    <t xml:space="preserve">Golden Girl: How Natalie Coughlin Fought Back, Challenged Conventional Wisdom, and Became America's Olympic Champion </t>
  </si>
  <si>
    <t>Silver, Michael &amp; Coughlin, Natalie</t>
  </si>
  <si>
    <t>Natalie Coughlin through 2004 Athens Games</t>
  </si>
  <si>
    <t>American Psycho</t>
  </si>
  <si>
    <t>Easton Ellis, Bret</t>
  </si>
  <si>
    <t>Overly long, overly gruesome and not terribly interesting account of serial-killing, 1980s NYC banker</t>
  </si>
  <si>
    <t>50 Shades of Grey</t>
  </si>
  <si>
    <t>James, E.L.</t>
  </si>
  <si>
    <t>Absolutely awful - if very successful book - that reads as though written by a not very interesting or intelligent 14-year-old girl</t>
  </si>
  <si>
    <t>One Click: Jeff Bezos and the Rise of Amazon.com</t>
  </si>
  <si>
    <t>Brandt, Richard</t>
  </si>
  <si>
    <t>Worst business book I've ever read: missing both strong anecdotes and overarching themes</t>
  </si>
  <si>
    <t>Kiyosaki, Robert</t>
  </si>
  <si>
    <t>Not 100% sure it's the worst book I've ever read, but it's certainly close. Like 50 Shades of Grey and, to a lesser degree, American Psycho, I don't understand why this book has been so popular. "Buy real estate" seems to be the overall summary??</t>
  </si>
  <si>
    <t># of Books Read/Listened To</t>
  </si>
  <si>
    <t>2009</t>
  </si>
  <si>
    <t>2008</t>
  </si>
  <si>
    <t>2007</t>
  </si>
  <si>
    <t>2005</t>
  </si>
  <si>
    <t>2004</t>
  </si>
  <si>
    <t>2003</t>
  </si>
  <si>
    <t>2002</t>
  </si>
  <si>
    <t>2001</t>
  </si>
  <si>
    <t>2000</t>
  </si>
  <si>
    <t>1995-1999</t>
  </si>
  <si>
    <t>Total</t>
  </si>
  <si>
    <t>Song &amp; Spotify Link</t>
  </si>
  <si>
    <t>Artist</t>
  </si>
  <si>
    <t>Song Year</t>
  </si>
  <si>
    <t>Watson Twins, The</t>
  </si>
  <si>
    <t>Donovan</t>
  </si>
  <si>
    <t>Smashing Pumpkins, The</t>
  </si>
  <si>
    <t>Jayhawks, The</t>
  </si>
  <si>
    <t>Outfield, The</t>
  </si>
  <si>
    <t>Big Star</t>
  </si>
  <si>
    <t>Ringo Starr</t>
  </si>
  <si>
    <t>James Taylor</t>
  </si>
  <si>
    <t>Michael Williams (from Donnie Darko)</t>
  </si>
  <si>
    <t>Eminem</t>
  </si>
  <si>
    <t>Paul Tiernan</t>
  </si>
  <si>
    <t>Band of Horses</t>
  </si>
  <si>
    <t>Leona Naess</t>
  </si>
  <si>
    <t>Alan Jackson</t>
  </si>
  <si>
    <t>Metric</t>
  </si>
  <si>
    <t>Jackson Browne</t>
  </si>
  <si>
    <t>Rolling Stones, The</t>
  </si>
  <si>
    <t>Out Of My Hair</t>
  </si>
  <si>
    <t>Cat Stevens</t>
  </si>
  <si>
    <t>Fleetwood Mac</t>
  </si>
  <si>
    <t>Eric Clapton</t>
  </si>
  <si>
    <t>REM</t>
  </si>
  <si>
    <t>Red Hot Chili Peppers</t>
  </si>
  <si>
    <t>Nitty Gritty Dirty Band</t>
  </si>
  <si>
    <t>Don Henley</t>
  </si>
  <si>
    <t>Andrea Bocelli</t>
  </si>
  <si>
    <t>Kenny Chesney &amp; Mac McAnally</t>
  </si>
  <si>
    <t>Joni Mitchell</t>
  </si>
  <si>
    <t>Rogue Wave</t>
  </si>
  <si>
    <t>???</t>
  </si>
  <si>
    <t>Mazzy Star</t>
  </si>
  <si>
    <t>Bob Dylan</t>
  </si>
  <si>
    <t>Scorpions</t>
  </si>
  <si>
    <t>Dire Straits</t>
  </si>
  <si>
    <t>Elton John</t>
  </si>
  <si>
    <t>Skylar Grey</t>
  </si>
  <si>
    <t>Oasis</t>
  </si>
  <si>
    <t>Cry Cry Cry</t>
  </si>
  <si>
    <t>Family of the Year</t>
  </si>
  <si>
    <t>Elliott Smith</t>
  </si>
  <si>
    <t>Eddie Vedder</t>
  </si>
  <si>
    <t>David Gray</t>
  </si>
  <si>
    <t>Adele</t>
  </si>
  <si>
    <t>David Bowie</t>
  </si>
  <si>
    <t>Beach Boys, The</t>
  </si>
  <si>
    <t>Pink Floyd</t>
  </si>
  <si>
    <t>Eagles, The</t>
  </si>
  <si>
    <t>Eminem &amp; Rihanna</t>
  </si>
  <si>
    <t>Journey</t>
  </si>
  <si>
    <t>Kenny Chesney</t>
  </si>
  <si>
    <t>Bon Jovi</t>
  </si>
  <si>
    <t>Grateful Dead, The</t>
  </si>
  <si>
    <t>John Lennon</t>
  </si>
  <si>
    <t>Old Crow Medicine Show</t>
  </si>
  <si>
    <t>Jay Z/Linkin Park</t>
  </si>
  <si>
    <t>Matthew Sweet</t>
  </si>
  <si>
    <t>Keith Richards</t>
  </si>
  <si>
    <t>Levellers</t>
  </si>
  <si>
    <t>Soul Asylum</t>
  </si>
  <si>
    <t>Bruce Springsteen</t>
  </si>
  <si>
    <t>The Who</t>
  </si>
  <si>
    <t>The Counting Crows</t>
  </si>
  <si>
    <t>Joseph Arthur</t>
  </si>
  <si>
    <t>Smiths, The</t>
  </si>
  <si>
    <t>Josh Ritter</t>
  </si>
  <si>
    <t>Radical Face</t>
  </si>
  <si>
    <t>Mott The Hoople</t>
  </si>
  <si>
    <t>Jason Collett</t>
  </si>
  <si>
    <t>The Rolling Stones</t>
  </si>
  <si>
    <t>The Postal Service</t>
  </si>
  <si>
    <t>Tracy Chapman</t>
  </si>
  <si>
    <t>Bread</t>
  </si>
  <si>
    <t>Van Morrison</t>
  </si>
  <si>
    <t>The Connells</t>
  </si>
  <si>
    <t>Jake Bugg</t>
  </si>
  <si>
    <t>Neutral Milk Hotel</t>
  </si>
  <si>
    <t>The Parlotones</t>
  </si>
  <si>
    <t>The Grateful Dead</t>
  </si>
  <si>
    <t>Andrew Bird</t>
  </si>
  <si>
    <t>Plushgun</t>
  </si>
  <si>
    <t>Patti LuPone</t>
  </si>
  <si>
    <t>Mark Duplass</t>
  </si>
  <si>
    <t>Lenka</t>
  </si>
  <si>
    <t>Crowded House</t>
  </si>
  <si>
    <t>10,000 Maniacs</t>
  </si>
  <si>
    <t>Beth Hart</t>
  </si>
  <si>
    <t>Tommy Stinson</t>
  </si>
  <si>
    <t>Warren Zevon</t>
  </si>
  <si>
    <t>David Badiel, Frank Skinner, Lightning Seeds</t>
  </si>
  <si>
    <t>Luciano Pavarotti</t>
  </si>
  <si>
    <t>U2</t>
  </si>
  <si>
    <t>Vanessa Da Mata, Ben Harper</t>
  </si>
  <si>
    <t>Lynyrd Skynyrd</t>
  </si>
  <si>
    <t>The Clash</t>
  </si>
  <si>
    <t>The Mamas &amp; The Papas</t>
  </si>
  <si>
    <t>Def Leppard</t>
  </si>
  <si>
    <t>The Dixie Chicks</t>
  </si>
  <si>
    <t>Tim McGraw</t>
  </si>
  <si>
    <t>⚠️ SHEET RESERVED FOR =CLAUDE... FUNCTIONS. DO NOT EDIT! ⚠️</t>
  </si>
  <si>
    <t>Key</t>
  </si>
  <si>
    <t>Value</t>
  </si>
  <si>
    <t>Expiration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</si>
</sst>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h:mm:ss"/>
    <numFmt numFmtId="165" formatCode="MMMM-yy"/>
    <numFmt numFmtId="166" formatCode="m/d/yyyy"/>
    <numFmt numFmtId="167" formatCode="$#,##0.00"/>
    <numFmt numFmtId="168" formatCode="#,##0.0"/>
    <numFmt numFmtId="169" formatCode="&quot;$&quot;#,##0.00"/>
    <numFmt numFmtId="170" formatCode="#,##0.###############"/>
    <numFmt numFmtId="171" formatCode="#,##0.0 ;(#,##0.0)"/>
  </numFmts>
  <fonts count="53">
    <font>
      <sz val="10.0"/>
      <color rgb="FF000000"/>
      <name val="Arial"/>
    </font>
    <font/>
    <font>
      <sz val="10.0"/>
      <color rgb="FF0073B2"/>
    </font>
    <font>
      <sz val="10.0"/>
      <color rgb="FF0000FF"/>
    </font>
    <font>
      <b/>
      <sz val="10.0"/>
      <color rgb="FFFFFFFF"/>
    </font>
    <font>
      <sz val="10.0"/>
      <color rgb="FF000000"/>
    </font>
    <font>
      <u/>
      <sz val="10.0"/>
      <color rgb="FF0000FF"/>
    </font>
    <font>
      <u/>
      <sz val="10.0"/>
      <color rgb="FF0000FF"/>
    </font>
    <font>
      <u/>
      <sz val="10.0"/>
      <color rgb="FF0000FF"/>
    </font>
    <font>
      <u/>
      <sz val="10.0"/>
      <color rgb="FF000000"/>
    </font>
    <font>
      <u/>
      <color rgb="FF1155CC"/>
      <name val="Arial"/>
    </font>
    <font>
      <sz val="10.0"/>
    </font>
    <font>
      <u/>
      <sz val="10.0"/>
      <color rgb="FF1155CC"/>
    </font>
    <font>
      <u/>
      <sz val="10.0"/>
      <color rgb="FF0000FF"/>
    </font>
    <font>
      <u/>
      <sz val="10.0"/>
      <color rgb="FF0000FF"/>
    </font>
    <font>
      <u/>
      <sz val="10.0"/>
      <color rgb="FF0000FF"/>
    </font>
    <font>
      <color rgb="FF000000"/>
      <name val="Arial"/>
    </font>
    <font>
      <u/>
      <sz val="10.0"/>
      <color rgb="FF0000FF"/>
    </font>
    <font>
      <b/>
      <sz val="10.0"/>
      <color rgb="FF000000"/>
    </font>
    <font>
      <b/>
      <sz val="11.0"/>
      <color rgb="FF000000"/>
      <name val="Inconsolata"/>
    </font>
    <font>
      <b/>
      <u/>
      <sz val="10.0"/>
      <color rgb="FF000000"/>
    </font>
    <font>
      <b/>
      <u/>
      <sz val="10.0"/>
      <color rgb="FF000000"/>
    </font>
    <font>
      <b/>
      <u/>
      <sz val="10.0"/>
      <color rgb="FF000000"/>
    </font>
    <font>
      <sz val="10.0"/>
      <color rgb="FFFFFFFF"/>
    </font>
    <font>
      <u/>
      <sz val="10.0"/>
      <color rgb="FF0000FF"/>
    </font>
    <font>
      <u/>
      <sz val="10.0"/>
      <color rgb="FF1155CC"/>
    </font>
    <font>
      <u/>
      <sz val="10.0"/>
      <color rgb="FF0000FF"/>
    </font>
    <font>
      <u/>
      <sz val="10.0"/>
      <color rgb="FF0000FF"/>
    </font>
    <font>
      <u/>
      <sz val="10.0"/>
      <color rgb="FF0000FF"/>
    </font>
    <font>
      <u/>
      <sz val="10.0"/>
      <color rgb="FF0000FF"/>
    </font>
    <font>
      <u/>
      <sz val="10.0"/>
      <color rgb="FF1155CC"/>
    </font>
    <font>
      <u/>
      <sz val="10.0"/>
      <color rgb="FF000000"/>
    </font>
    <font>
      <u/>
      <color rgb="FF0000FF"/>
    </font>
    <font>
      <u/>
      <color rgb="FF0000FF"/>
    </font>
    <font>
      <u/>
      <sz val="10.0"/>
      <color rgb="FF0000FF"/>
    </font>
    <font>
      <u/>
      <sz val="10.0"/>
      <color rgb="FF1155CC"/>
    </font>
    <font>
      <u/>
      <sz val="10.0"/>
      <color rgb="FF1155CC"/>
    </font>
    <font>
      <u/>
      <sz val="10.0"/>
      <color rgb="FF0000FF"/>
    </font>
    <font>
      <u/>
      <sz val="10.0"/>
      <color rgb="FF000000"/>
    </font>
    <font>
      <u/>
      <sz val="10.0"/>
      <color rgb="FF1155CC"/>
    </font>
    <font>
      <u/>
      <sz val="10.0"/>
      <color rgb="FF000000"/>
    </font>
    <font>
      <u/>
      <sz val="10.0"/>
      <color rgb="FF000000"/>
    </font>
    <font>
      <u/>
      <color rgb="FF0000FF"/>
    </font>
    <font>
      <u/>
      <color rgb="FF0000FF"/>
    </font>
    <font>
      <b/>
      <u/>
      <sz val="10.0"/>
    </font>
    <font>
      <b/>
      <u/>
      <sz val="10.0"/>
    </font>
    <font>
      <b/>
      <u/>
      <sz val="10.0"/>
      <color rgb="FF000000"/>
    </font>
    <font>
      <b/>
      <u/>
      <sz val="10.0"/>
      <color rgb="FFCCCCCC"/>
    </font>
    <font>
      <sz val="10.0"/>
      <color rgb="FFCCCCCC"/>
    </font>
    <font>
      <b/>
      <u/>
      <sz val="10.0"/>
      <color rgb="FF000000"/>
    </font>
    <font>
      <u/>
      <color rgb="FF0000FF"/>
    </font>
    <font>
      <u/>
      <color rgb="FF0000FF"/>
    </font>
    <font>
      <b/>
    </font>
  </fonts>
  <fills count="8">
    <fill>
      <patternFill patternType="none"/>
    </fill>
    <fill>
      <patternFill patternType="lightGray"/>
    </fill>
    <fill>
      <patternFill patternType="solid">
        <fgColor rgb="FFCCCCCC"/>
        <bgColor rgb="FFCCCCCC"/>
      </patternFill>
    </fill>
    <fill>
      <patternFill patternType="solid">
        <fgColor rgb="FF0073B2"/>
        <bgColor rgb="FF0073B2"/>
      </patternFill>
    </fill>
    <fill>
      <patternFill patternType="solid">
        <fgColor rgb="FFFFFFFF"/>
        <bgColor rgb="FFFFFFFF"/>
      </patternFill>
    </fill>
    <fill>
      <patternFill patternType="solid">
        <fgColor rgb="FFC00000"/>
        <bgColor rgb="FFC00000"/>
      </patternFill>
    </fill>
    <fill>
      <patternFill patternType="solid">
        <fgColor rgb="FFCFE2F3"/>
        <bgColor rgb="FFCFE2F3"/>
      </patternFill>
    </fill>
    <fill>
      <patternFill patternType="solid">
        <fgColor rgb="FFFFFF00"/>
        <bgColor rgb="FFFFFF00"/>
      </patternFill>
    </fill>
  </fills>
  <borders count="16">
    <border/>
    <border>
      <bottom style="thin">
        <color rgb="FF000000"/>
      </bottom>
    </border>
    <border>
      <right style="thin">
        <color rgb="FF000000"/>
      </right>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302">
    <xf borderId="0" fillId="0" fontId="0" numFmtId="0" xfId="0" applyAlignment="1" applyFont="1">
      <alignment readingOrder="0" shrinkToFit="0" vertical="bottom" wrapText="1"/>
    </xf>
    <xf borderId="0" fillId="2" fontId="1" numFmtId="0" xfId="0" applyAlignment="1" applyFill="1" applyFont="1">
      <alignment shrinkToFit="0" wrapText="1"/>
    </xf>
    <xf borderId="0" fillId="2" fontId="2" numFmtId="0" xfId="0" applyAlignment="1" applyFont="1">
      <alignment horizontal="center" shrinkToFit="0" vertical="bottom" wrapText="0"/>
    </xf>
    <xf borderId="0" fillId="2" fontId="3" numFmtId="0" xfId="0" applyAlignment="1" applyFont="1">
      <alignment horizontal="center" shrinkToFit="0" vertical="center" wrapText="0"/>
    </xf>
    <xf borderId="0" fillId="2" fontId="1" numFmtId="0" xfId="0" applyAlignment="1" applyFont="1">
      <alignment horizontal="center" shrinkToFit="0" vertical="bottom" wrapText="1"/>
    </xf>
    <xf borderId="1" fillId="3" fontId="4" numFmtId="164" xfId="0" applyAlignment="1" applyBorder="1" applyFill="1" applyFont="1" applyNumberFormat="1">
      <alignment horizontal="center" readingOrder="0" shrinkToFit="0" vertical="center" wrapText="1"/>
    </xf>
    <xf borderId="1" fillId="3" fontId="4" numFmtId="0" xfId="0" applyAlignment="1" applyBorder="1" applyFont="1">
      <alignment horizontal="center" readingOrder="0" shrinkToFit="0" vertical="center" wrapText="0"/>
    </xf>
    <xf borderId="1" fillId="3" fontId="4" numFmtId="164" xfId="0" applyAlignment="1" applyBorder="1" applyFont="1" applyNumberFormat="1">
      <alignment horizontal="center" readingOrder="0" shrinkToFit="0" vertical="center" wrapText="0"/>
    </xf>
    <xf borderId="1" fillId="3" fontId="4" numFmtId="9" xfId="0" applyAlignment="1" applyBorder="1" applyFont="1" applyNumberFormat="1">
      <alignment horizontal="center" readingOrder="0" shrinkToFit="0" vertical="center" wrapText="1"/>
    </xf>
    <xf borderId="2" fillId="2" fontId="1" numFmtId="0" xfId="0" applyAlignment="1" applyBorder="1" applyFont="1">
      <alignment shrinkToFit="0" wrapText="1"/>
    </xf>
    <xf borderId="3" fillId="4" fontId="5" numFmtId="0" xfId="0" applyAlignment="1" applyBorder="1" applyFill="1" applyFont="1">
      <alignment horizontal="center" readingOrder="0" shrinkToFit="0" vertical="center" wrapText="0"/>
    </xf>
    <xf borderId="3" fillId="0" fontId="5" numFmtId="164" xfId="0" applyAlignment="1" applyBorder="1" applyFont="1" applyNumberFormat="1">
      <alignment horizontal="center" readingOrder="0" shrinkToFit="0" vertical="center" wrapText="0"/>
    </xf>
    <xf borderId="3" fillId="0" fontId="6" numFmtId="0" xfId="0" applyAlignment="1" applyBorder="1" applyFont="1">
      <alignment horizontal="left" shrinkToFit="0" vertical="center" wrapText="0"/>
    </xf>
    <xf borderId="3" fillId="0" fontId="5"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4" fillId="0" fontId="5" numFmtId="9" xfId="0" applyAlignment="1" applyBorder="1" applyFont="1" applyNumberFormat="1">
      <alignment horizontal="center" readingOrder="0" shrinkToFit="0" vertical="center" wrapText="0"/>
    </xf>
    <xf borderId="2" fillId="0" fontId="1" numFmtId="9" xfId="0" applyAlignment="1" applyBorder="1" applyFont="1" applyNumberFormat="1">
      <alignment horizontal="center" shrinkToFit="0" vertical="bottom" wrapText="1"/>
    </xf>
    <xf borderId="4" fillId="2" fontId="1" numFmtId="0" xfId="0" applyAlignment="1" applyBorder="1" applyFont="1">
      <alignment shrinkToFit="0" wrapText="1"/>
    </xf>
    <xf borderId="5" fillId="4" fontId="5" numFmtId="0" xfId="0" applyAlignment="1" applyBorder="1" applyFont="1">
      <alignment horizontal="center" shrinkToFit="0" vertical="center" wrapText="0"/>
    </xf>
    <xf borderId="5" fillId="0" fontId="5" numFmtId="164" xfId="0" applyAlignment="1" applyBorder="1" applyFont="1" applyNumberFormat="1">
      <alignment horizontal="center" readingOrder="0" shrinkToFit="0" vertical="center" wrapText="0"/>
    </xf>
    <xf borderId="5" fillId="0" fontId="7" numFmtId="0" xfId="0" applyAlignment="1" applyBorder="1" applyFont="1">
      <alignment horizontal="left" shrinkToFit="0" vertical="center" wrapText="0"/>
    </xf>
    <xf borderId="5"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6" fillId="0" fontId="5" numFmtId="9" xfId="0" applyAlignment="1" applyBorder="1" applyFont="1" applyNumberFormat="1">
      <alignment horizontal="center" readingOrder="0" shrinkToFit="0" vertical="center" wrapText="0"/>
    </xf>
    <xf borderId="7" fillId="0" fontId="1" numFmtId="9" xfId="0" applyAlignment="1" applyBorder="1" applyFont="1" applyNumberFormat="1">
      <alignment horizontal="center" shrinkToFit="0" vertical="bottom" wrapText="1"/>
    </xf>
    <xf borderId="8" fillId="4" fontId="5" numFmtId="0" xfId="0" applyAlignment="1" applyBorder="1" applyFont="1">
      <alignment horizontal="center" shrinkToFit="0" vertical="center" wrapText="0"/>
    </xf>
    <xf borderId="8" fillId="0" fontId="5" numFmtId="164" xfId="0" applyAlignment="1" applyBorder="1" applyFont="1" applyNumberFormat="1">
      <alignment horizontal="center" readingOrder="0" shrinkToFit="0" vertical="center" wrapText="0"/>
    </xf>
    <xf borderId="8" fillId="0" fontId="8" numFmtId="0" xfId="0" applyAlignment="1" applyBorder="1" applyFont="1">
      <alignment horizontal="left" shrinkToFit="0" vertical="center" wrapText="0"/>
    </xf>
    <xf borderId="8" fillId="0" fontId="5" numFmtId="0" xfId="0" applyAlignment="1" applyBorder="1" applyFont="1">
      <alignment horizontal="center" readingOrder="0" shrinkToFit="0" vertical="center" wrapText="0"/>
    </xf>
    <xf borderId="9" fillId="0" fontId="5" numFmtId="0" xfId="0" applyAlignment="1" applyBorder="1" applyFont="1">
      <alignment horizontal="center" readingOrder="0" shrinkToFit="0" vertical="center" wrapText="0"/>
    </xf>
    <xf borderId="10" fillId="0" fontId="5" numFmtId="9" xfId="0" applyAlignment="1" applyBorder="1" applyFont="1" applyNumberFormat="1">
      <alignment horizontal="center" readingOrder="0" shrinkToFit="0" vertical="center" wrapText="0"/>
    </xf>
    <xf borderId="11" fillId="0" fontId="1" numFmtId="9" xfId="0" applyAlignment="1" applyBorder="1" applyFont="1" applyNumberFormat="1">
      <alignment horizontal="center" shrinkToFit="0" vertical="bottom" wrapText="1"/>
    </xf>
    <xf borderId="3" fillId="4" fontId="5" numFmtId="0" xfId="0" applyAlignment="1" applyBorder="1" applyFont="1">
      <alignment horizontal="center" readingOrder="0" shrinkToFit="0" vertical="center" wrapText="0"/>
    </xf>
    <xf borderId="3" fillId="0" fontId="5" numFmtId="0" xfId="0" applyAlignment="1" applyBorder="1" applyFont="1">
      <alignment horizontal="center" readingOrder="0" shrinkToFit="0" vertical="center" wrapText="0"/>
    </xf>
    <xf borderId="3" fillId="0" fontId="5" numFmtId="165" xfId="0" applyAlignment="1" applyBorder="1" applyFont="1" applyNumberFormat="1">
      <alignment horizontal="center" readingOrder="0" shrinkToFit="0" vertical="center" wrapText="0"/>
    </xf>
    <xf borderId="3" fillId="0" fontId="5" numFmtId="0" xfId="0" applyAlignment="1" applyBorder="1" applyFont="1">
      <alignment horizontal="center" shrinkToFit="0" vertical="center" wrapText="0"/>
    </xf>
    <xf borderId="3" fillId="0" fontId="5"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3" fillId="4" fontId="5" numFmtId="0" xfId="0" applyAlignment="1" applyBorder="1" applyFont="1">
      <alignment horizontal="center" shrinkToFit="0" vertical="center" wrapText="0"/>
    </xf>
    <xf borderId="0" fillId="0" fontId="5" numFmtId="9" xfId="0" applyAlignment="1" applyFont="1" applyNumberFormat="1">
      <alignment horizontal="center" readingOrder="0" shrinkToFit="0" vertical="center" wrapText="0"/>
    </xf>
    <xf borderId="12" fillId="4" fontId="5" numFmtId="0" xfId="0" applyAlignment="1" applyBorder="1" applyFont="1">
      <alignment horizontal="center" shrinkToFit="0" vertical="center" wrapText="0"/>
    </xf>
    <xf borderId="12" fillId="0" fontId="5" numFmtId="165" xfId="0" applyAlignment="1" applyBorder="1" applyFont="1" applyNumberFormat="1">
      <alignment horizontal="center" readingOrder="0" shrinkToFit="0" vertical="center" wrapText="0"/>
    </xf>
    <xf borderId="12" fillId="0" fontId="5" numFmtId="0" xfId="0" applyAlignment="1" applyBorder="1" applyFont="1">
      <alignment horizontal="left" readingOrder="0" shrinkToFit="0" vertical="center" wrapText="0"/>
    </xf>
    <xf borderId="12" fillId="0" fontId="5" numFmtId="0" xfId="0" applyAlignment="1" applyBorder="1" applyFont="1">
      <alignment horizontal="center" readingOrder="0" shrinkToFit="0" vertical="center" wrapText="0"/>
    </xf>
    <xf borderId="12" fillId="0" fontId="5" numFmtId="0" xfId="0" applyAlignment="1" applyBorder="1" applyFont="1">
      <alignment horizontal="center" shrinkToFit="0" vertical="center" wrapText="0"/>
    </xf>
    <xf borderId="13" fillId="0" fontId="5" numFmtId="0" xfId="0" applyAlignment="1" applyBorder="1" applyFont="1">
      <alignment horizontal="center" readingOrder="0" shrinkToFit="0" vertical="center" wrapText="0"/>
    </xf>
    <xf borderId="14" fillId="0" fontId="5" numFmtId="9" xfId="0" applyAlignment="1" applyBorder="1" applyFont="1" applyNumberFormat="1">
      <alignment horizontal="center" readingOrder="0" shrinkToFit="0" vertical="center" wrapText="0"/>
    </xf>
    <xf borderId="15" fillId="0" fontId="1" numFmtId="9" xfId="0" applyAlignment="1" applyBorder="1" applyFont="1" applyNumberFormat="1">
      <alignment horizontal="center" shrinkToFit="0" vertical="bottom" wrapText="1"/>
    </xf>
    <xf borderId="3" fillId="0" fontId="5" numFmtId="0" xfId="0" applyAlignment="1" applyBorder="1" applyFont="1">
      <alignment horizontal="left" readingOrder="0" shrinkToFit="0" vertical="center" wrapText="0"/>
    </xf>
    <xf borderId="5" fillId="0" fontId="5" numFmtId="165" xfId="0" applyAlignment="1" applyBorder="1" applyFont="1" applyNumberFormat="1">
      <alignment horizontal="center" readingOrder="0" shrinkToFit="0" vertical="center" wrapText="0"/>
    </xf>
    <xf borderId="5" fillId="0" fontId="5" numFmtId="0" xfId="0" applyAlignment="1" applyBorder="1" applyFont="1">
      <alignment horizontal="left" readingOrder="0" shrinkToFit="0" vertical="center" wrapText="0"/>
    </xf>
    <xf borderId="5" fillId="0" fontId="5" numFmtId="0" xfId="0" applyAlignment="1" applyBorder="1" applyFont="1">
      <alignment horizontal="center" shrinkToFit="0" vertical="center" wrapText="0"/>
    </xf>
    <xf borderId="12" fillId="0" fontId="5" numFmtId="164" xfId="0" applyAlignment="1" applyBorder="1" applyFont="1" applyNumberFormat="1">
      <alignment horizontal="center" readingOrder="0" shrinkToFit="0" vertical="center" wrapText="0"/>
    </xf>
    <xf borderId="13" fillId="0" fontId="1" numFmtId="0" xfId="0" applyAlignment="1" applyBorder="1" applyFont="1">
      <alignment horizontal="center" readingOrder="0" shrinkToFit="0" vertical="bottom" wrapText="1"/>
    </xf>
    <xf borderId="14" fillId="0" fontId="1" numFmtId="10" xfId="0" applyAlignment="1" applyBorder="1" applyFont="1" applyNumberFormat="1">
      <alignment horizontal="center" readingOrder="0" shrinkToFit="0" vertical="bottom" wrapText="1"/>
    </xf>
    <xf borderId="0" fillId="0" fontId="1" numFmtId="0" xfId="0" applyAlignment="1" applyFont="1">
      <alignment horizontal="center" readingOrder="0" shrinkToFit="0" vertical="bottom" wrapText="1"/>
    </xf>
    <xf borderId="4" fillId="0" fontId="1" numFmtId="10" xfId="0" applyAlignment="1" applyBorder="1" applyFont="1" applyNumberFormat="1">
      <alignment horizontal="center" readingOrder="0" shrinkToFit="0" vertical="bottom" wrapText="1"/>
    </xf>
    <xf borderId="0" fillId="0" fontId="1" numFmtId="0" xfId="0" applyAlignment="1" applyFont="1">
      <alignment horizontal="center" readingOrder="0" shrinkToFit="0" vertical="bottom" wrapText="1"/>
    </xf>
    <xf borderId="4" fillId="0" fontId="1" numFmtId="9" xfId="0" applyAlignment="1" applyBorder="1" applyFont="1" applyNumberFormat="1">
      <alignment horizontal="center" readingOrder="0" shrinkToFit="0" vertical="bottom" wrapText="1"/>
    </xf>
    <xf borderId="2" fillId="0" fontId="1" numFmtId="9" xfId="0" applyAlignment="1" applyBorder="1" applyFont="1" applyNumberFormat="1">
      <alignment horizontal="center" shrinkToFit="0" vertical="bottom" wrapText="1"/>
    </xf>
    <xf borderId="3" fillId="0" fontId="5" numFmtId="14" xfId="0" applyAlignment="1" applyBorder="1" applyFont="1" applyNumberFormat="1">
      <alignment horizontal="center" readingOrder="0" shrinkToFit="0" vertical="center" wrapText="0"/>
    </xf>
    <xf borderId="0" fillId="0" fontId="1" numFmtId="0" xfId="0" applyAlignment="1" applyFont="1">
      <alignment horizontal="center" shrinkToFit="0" vertical="bottom" wrapText="1"/>
    </xf>
    <xf borderId="4" fillId="0" fontId="1" numFmtId="0" xfId="0" applyAlignment="1" applyBorder="1" applyFont="1">
      <alignment horizontal="center" shrinkToFit="0" vertical="bottom" wrapText="1"/>
    </xf>
    <xf borderId="0" fillId="0" fontId="5" numFmtId="0" xfId="0" applyAlignment="1" applyFont="1">
      <alignment horizontal="center" shrinkToFit="0" vertical="center" wrapText="0"/>
    </xf>
    <xf borderId="3" fillId="0" fontId="5" numFmtId="0" xfId="0" applyAlignment="1" applyBorder="1" applyFont="1">
      <alignment horizontal="left" readingOrder="0" shrinkToFit="0" vertical="center" wrapText="0"/>
    </xf>
    <xf borderId="12" fillId="0" fontId="5" numFmtId="164" xfId="0" applyAlignment="1" applyBorder="1" applyFont="1" applyNumberFormat="1">
      <alignment horizontal="center" shrinkToFit="0" vertical="center" wrapText="0"/>
    </xf>
    <xf borderId="12" fillId="0" fontId="5" numFmtId="0" xfId="0" applyAlignment="1" applyBorder="1" applyFont="1">
      <alignment horizontal="center" shrinkToFit="0" vertical="center" wrapText="0"/>
    </xf>
    <xf borderId="13" fillId="0" fontId="5" numFmtId="0" xfId="0" applyAlignment="1" applyBorder="1" applyFont="1">
      <alignment horizontal="center" shrinkToFit="0" vertical="center" wrapText="0"/>
    </xf>
    <xf borderId="14" fillId="0" fontId="5" numFmtId="9" xfId="0" applyAlignment="1" applyBorder="1" applyFont="1" applyNumberFormat="1">
      <alignment horizontal="center" shrinkToFit="0" vertical="center" wrapText="0"/>
    </xf>
    <xf borderId="15" fillId="0" fontId="1" numFmtId="9" xfId="0" applyAlignment="1" applyBorder="1" applyFont="1" applyNumberFormat="1">
      <alignment horizontal="center" shrinkToFit="0" vertical="bottom" wrapText="1"/>
    </xf>
    <xf borderId="3" fillId="0" fontId="5" numFmtId="164" xfId="0" applyAlignment="1" applyBorder="1" applyFont="1" applyNumberFormat="1">
      <alignment horizontal="center" shrinkToFit="0" vertical="center" wrapText="0"/>
    </xf>
    <xf borderId="3" fillId="0" fontId="5" numFmtId="0" xfId="0" applyAlignment="1" applyBorder="1" applyFont="1">
      <alignment horizontal="center" shrinkToFit="0" vertical="center" wrapText="0"/>
    </xf>
    <xf borderId="2" fillId="0" fontId="1" numFmtId="0" xfId="0" applyAlignment="1" applyBorder="1" applyFont="1">
      <alignment horizontal="center" readingOrder="0" shrinkToFit="0" vertical="bottom" wrapText="1"/>
    </xf>
    <xf borderId="3" fillId="4" fontId="5" numFmtId="0" xfId="0" applyAlignment="1" applyBorder="1" applyFont="1">
      <alignment horizontal="center" readingOrder="0" shrinkToFit="0" vertical="center" wrapText="0"/>
    </xf>
    <xf borderId="3" fillId="0" fontId="9" numFmtId="0" xfId="0" applyAlignment="1" applyBorder="1" applyFont="1">
      <alignment horizontal="left" readingOrder="0" shrinkToFit="0" vertical="center" wrapText="0"/>
    </xf>
    <xf borderId="3" fillId="0" fontId="5" numFmtId="166" xfId="0" applyAlignment="1" applyBorder="1" applyFont="1" applyNumberFormat="1">
      <alignment horizontal="center" readingOrder="0" shrinkToFit="0" vertical="center" wrapText="0"/>
    </xf>
    <xf borderId="12" fillId="0" fontId="5" numFmtId="0" xfId="0" applyAlignment="1" applyBorder="1" applyFont="1">
      <alignment horizontal="center" readingOrder="0" shrinkToFit="0" vertical="center" wrapText="0"/>
    </xf>
    <xf borderId="12" fillId="0" fontId="5" numFmtId="0" xfId="0" applyAlignment="1" applyBorder="1" applyFont="1">
      <alignment horizontal="center" readingOrder="0" shrinkToFit="0" vertical="center" wrapText="0"/>
    </xf>
    <xf borderId="13" fillId="0" fontId="5" numFmtId="0" xfId="0" applyAlignment="1" applyBorder="1" applyFont="1">
      <alignment horizontal="center" readingOrder="0" shrinkToFit="0" vertical="center" wrapText="0"/>
    </xf>
    <xf borderId="3" fillId="0" fontId="1" numFmtId="0" xfId="0" applyAlignment="1" applyBorder="1" applyFont="1">
      <alignment horizontal="center" readingOrder="0" shrinkToFit="0" vertical="bottom" wrapText="1"/>
    </xf>
    <xf borderId="4" fillId="0" fontId="5" numFmtId="9" xfId="0" applyAlignment="1" applyBorder="1" applyFont="1" applyNumberFormat="1">
      <alignment horizontal="center" readingOrder="0" shrinkToFit="0" vertical="center" wrapText="0"/>
    </xf>
    <xf borderId="3" fillId="0" fontId="10" numFmtId="0" xfId="0" applyAlignment="1" applyBorder="1" applyFont="1">
      <alignment shrinkToFit="0" wrapText="0"/>
    </xf>
    <xf borderId="4" fillId="0" fontId="1" numFmtId="0" xfId="0" applyAlignment="1" applyBorder="1" applyFont="1">
      <alignment horizontal="center" readingOrder="0" shrinkToFit="0" vertical="bottom" wrapText="1"/>
    </xf>
    <xf borderId="12" fillId="0" fontId="5" numFmtId="2" xfId="0" applyAlignment="1" applyBorder="1" applyFont="1" applyNumberFormat="1">
      <alignment horizontal="left" readingOrder="0" shrinkToFit="0" vertical="center" wrapText="0"/>
    </xf>
    <xf borderId="3" fillId="0" fontId="11" numFmtId="0" xfId="0" applyAlignment="1" applyBorder="1" applyFont="1">
      <alignment horizontal="left" shrinkToFit="0" vertical="center" wrapText="0"/>
    </xf>
    <xf borderId="3" fillId="0" fontId="12" numFmtId="0" xfId="0" applyAlignment="1" applyBorder="1" applyFont="1">
      <alignment horizontal="left" readingOrder="0" shrinkToFit="0" vertical="center" wrapText="0"/>
    </xf>
    <xf borderId="4" fillId="0" fontId="5" numFmtId="0" xfId="0" applyAlignment="1" applyBorder="1" applyFont="1">
      <alignment horizontal="center" readingOrder="0" shrinkToFit="0" vertical="center" wrapText="0"/>
    </xf>
    <xf borderId="3" fillId="0" fontId="5" numFmtId="165" xfId="0" applyAlignment="1" applyBorder="1" applyFont="1" applyNumberFormat="1">
      <alignment horizontal="center" shrinkToFit="0" vertical="center" wrapText="0"/>
    </xf>
    <xf borderId="4" fillId="0" fontId="1" numFmtId="0" xfId="0" applyAlignment="1" applyBorder="1" applyFont="1">
      <alignment horizontal="center" readingOrder="0" shrinkToFit="0" vertical="bottom" wrapText="1"/>
    </xf>
    <xf borderId="2" fillId="0" fontId="1" numFmtId="9" xfId="0" applyAlignment="1" applyBorder="1" applyFont="1" applyNumberFormat="1">
      <alignment horizontal="center" readingOrder="0" shrinkToFit="0" vertical="bottom" wrapText="1"/>
    </xf>
    <xf borderId="3" fillId="0" fontId="13" numFmtId="0" xfId="0" applyAlignment="1" applyBorder="1" applyFont="1">
      <alignment horizontal="left" readingOrder="0" shrinkToFit="0" vertical="center" wrapText="0"/>
    </xf>
    <xf borderId="13" fillId="0" fontId="1" numFmtId="0" xfId="0" applyAlignment="1" applyBorder="1" applyFont="1">
      <alignment horizontal="center" shrinkToFit="0" vertical="bottom" wrapText="1"/>
    </xf>
    <xf borderId="14" fillId="0" fontId="1" numFmtId="0" xfId="0" applyAlignment="1" applyBorder="1" applyFont="1">
      <alignment horizontal="center" shrinkToFit="0" vertical="bottom" wrapText="1"/>
    </xf>
    <xf borderId="3" fillId="0" fontId="5" numFmtId="167" xfId="0" applyAlignment="1" applyBorder="1" applyFont="1" applyNumberFormat="1">
      <alignment horizontal="left" readingOrder="0" shrinkToFit="0" vertical="center" wrapText="0"/>
    </xf>
    <xf borderId="12" fillId="0" fontId="5" numFmtId="0" xfId="0" applyAlignment="1" applyBorder="1" applyFont="1">
      <alignment horizontal="left" readingOrder="0" shrinkToFit="0" vertical="center" wrapText="0"/>
    </xf>
    <xf borderId="3" fillId="0" fontId="14" numFmtId="0" xfId="0" applyAlignment="1" applyBorder="1" applyFont="1">
      <alignment horizontal="left" readingOrder="0" shrinkToFit="0" vertical="center" wrapText="0"/>
    </xf>
    <xf borderId="3" fillId="0" fontId="15" numFmtId="0" xfId="0" applyAlignment="1" applyBorder="1" applyFont="1">
      <alignment horizontal="left" readingOrder="0" shrinkToFit="0" vertical="center" wrapText="0"/>
    </xf>
    <xf borderId="3" fillId="0" fontId="3" numFmtId="164" xfId="0" applyAlignment="1" applyBorder="1" applyFont="1" applyNumberFormat="1">
      <alignment horizontal="center" shrinkToFit="0" vertical="center" wrapText="0"/>
    </xf>
    <xf borderId="3" fillId="0" fontId="1" numFmtId="0" xfId="0" applyAlignment="1" applyBorder="1" applyFont="1">
      <alignment horizontal="center" shrinkToFit="0" vertical="bottom" wrapText="1"/>
    </xf>
    <xf borderId="3" fillId="0" fontId="1" numFmtId="0" xfId="0" applyAlignment="1" applyBorder="1" applyFont="1">
      <alignment horizontal="center" readingOrder="0" shrinkToFit="0" vertical="bottom" wrapText="1"/>
    </xf>
    <xf borderId="3" fillId="0" fontId="16" numFmtId="0" xfId="0" applyAlignment="1" applyBorder="1" applyFont="1">
      <alignment horizontal="center" shrinkToFit="0" wrapText="0"/>
    </xf>
    <xf borderId="2" fillId="0" fontId="16" numFmtId="0" xfId="0" applyAlignment="1" applyBorder="1" applyFont="1">
      <alignment horizontal="center" shrinkToFit="0" wrapText="0"/>
    </xf>
    <xf borderId="2" fillId="0" fontId="5" numFmtId="0" xfId="0" applyAlignment="1" applyBorder="1" applyFont="1">
      <alignment horizontal="center" readingOrder="0" shrinkToFit="0" vertical="center" wrapText="0"/>
    </xf>
    <xf borderId="13" fillId="0" fontId="5" numFmtId="9" xfId="0" applyAlignment="1" applyBorder="1" applyFont="1" applyNumberFormat="1">
      <alignment horizontal="center" readingOrder="0" shrinkToFit="0" vertical="center" wrapText="0"/>
    </xf>
    <xf borderId="12" fillId="0" fontId="17" numFmtId="0" xfId="0" applyAlignment="1" applyBorder="1" applyFont="1">
      <alignment horizontal="left" shrinkToFit="0" vertical="center" wrapText="0"/>
    </xf>
    <xf borderId="15" fillId="4" fontId="5" numFmtId="0" xfId="0" applyAlignment="1" applyBorder="1" applyFont="1">
      <alignment horizontal="center" shrinkToFit="0" vertical="center" wrapText="0"/>
    </xf>
    <xf borderId="12" fillId="0" fontId="1" numFmtId="0" xfId="0" applyAlignment="1" applyBorder="1" applyFont="1">
      <alignment horizontal="center" readingOrder="0" shrinkToFit="0" vertical="bottom" wrapText="1"/>
    </xf>
    <xf borderId="14" fillId="0" fontId="5" numFmtId="0" xfId="0" applyAlignment="1" applyBorder="1" applyFont="1">
      <alignment horizontal="center" readingOrder="0" shrinkToFit="0" vertical="center" wrapText="0"/>
    </xf>
    <xf borderId="13" fillId="0" fontId="1" numFmtId="0" xfId="0" applyAlignment="1" applyBorder="1" applyFont="1">
      <alignment horizontal="center" readingOrder="0" shrinkToFit="0" vertical="bottom" wrapText="1"/>
    </xf>
    <xf borderId="14" fillId="0" fontId="1" numFmtId="9" xfId="0" applyAlignment="1" applyBorder="1" applyFont="1" applyNumberFormat="1">
      <alignment horizontal="center" readingOrder="0" shrinkToFit="0" vertical="bottom" wrapText="1"/>
    </xf>
    <xf borderId="8" fillId="0" fontId="5" numFmtId="165" xfId="0" applyAlignment="1" applyBorder="1" applyFont="1" applyNumberFormat="1">
      <alignment horizontal="center" readingOrder="0" shrinkToFit="0" vertical="center" wrapText="0"/>
    </xf>
    <xf borderId="8" fillId="0" fontId="5" numFmtId="0" xfId="0" applyAlignment="1" applyBorder="1" applyFont="1">
      <alignment horizontal="left" readingOrder="0" shrinkToFit="0" vertical="center" wrapText="0"/>
    </xf>
    <xf borderId="8" fillId="0" fontId="5" numFmtId="0" xfId="0" applyAlignment="1" applyBorder="1" applyFont="1">
      <alignment horizontal="center" shrinkToFit="0" vertical="center" wrapText="0"/>
    </xf>
    <xf borderId="9" fillId="0" fontId="1" numFmtId="0" xfId="0" applyAlignment="1" applyBorder="1" applyFont="1">
      <alignment horizontal="center" shrinkToFit="0" vertical="bottom" wrapText="1"/>
    </xf>
    <xf borderId="10" fillId="0" fontId="1" numFmtId="0" xfId="0" applyAlignment="1" applyBorder="1" applyFont="1">
      <alignment horizontal="center" shrinkToFit="0" vertical="bottom" wrapText="1"/>
    </xf>
    <xf borderId="9" fillId="0" fontId="5" numFmtId="0" xfId="0" applyAlignment="1" applyBorder="1" applyFont="1">
      <alignment horizontal="center" shrinkToFit="0" vertical="center" wrapText="0"/>
    </xf>
    <xf borderId="11" fillId="0" fontId="1" numFmtId="9" xfId="0" applyAlignment="1" applyBorder="1" applyFont="1" applyNumberFormat="1">
      <alignment horizontal="center" shrinkToFit="0" vertical="bottom" wrapText="1"/>
    </xf>
    <xf borderId="1"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1" fillId="0" fontId="5" numFmtId="0" xfId="0" applyAlignment="1" applyBorder="1" applyFont="1">
      <alignment horizontal="center" shrinkToFit="0" vertical="center" wrapText="0"/>
    </xf>
    <xf borderId="7" fillId="0" fontId="1" numFmtId="9" xfId="0" applyAlignment="1" applyBorder="1" applyFont="1" applyNumberFormat="1">
      <alignment horizontal="center" shrinkToFit="0" vertical="bottom" wrapText="1"/>
    </xf>
    <xf borderId="13" fillId="2" fontId="5" numFmtId="164" xfId="0" applyAlignment="1" applyBorder="1" applyFont="1" applyNumberFormat="1">
      <alignment horizontal="left" shrinkToFit="0" vertical="center" wrapText="0"/>
    </xf>
    <xf borderId="13" fillId="2" fontId="1" numFmtId="0" xfId="0" applyAlignment="1" applyBorder="1" applyFont="1">
      <alignment shrinkToFit="0" wrapText="1"/>
    </xf>
    <xf borderId="13" fillId="2" fontId="5" numFmtId="0" xfId="0" applyAlignment="1" applyBorder="1" applyFont="1">
      <alignment horizontal="left" shrinkToFit="0" vertical="center" wrapText="0"/>
    </xf>
    <xf borderId="15" fillId="2" fontId="1" numFmtId="0" xfId="0" applyAlignment="1" applyBorder="1" applyFont="1">
      <alignment horizontal="center" shrinkToFit="0" vertical="bottom" wrapText="1"/>
    </xf>
    <xf borderId="1" fillId="2" fontId="5" numFmtId="164" xfId="0" applyAlignment="1" applyBorder="1" applyFont="1" applyNumberFormat="1">
      <alignment horizontal="left" shrinkToFit="0" vertical="center" wrapText="0"/>
    </xf>
    <xf borderId="1" fillId="2" fontId="1" numFmtId="0" xfId="0" applyAlignment="1" applyBorder="1" applyFont="1">
      <alignment shrinkToFit="0" wrapText="1"/>
    </xf>
    <xf borderId="0" fillId="2" fontId="5" numFmtId="0" xfId="0" applyAlignment="1" applyFont="1">
      <alignment horizontal="left" shrinkToFit="0" vertical="center" wrapText="0"/>
    </xf>
    <xf borderId="2" fillId="2" fontId="1" numFmtId="0" xfId="0" applyAlignment="1" applyBorder="1" applyFont="1">
      <alignment horizontal="center" shrinkToFit="0" vertical="bottom" wrapText="1"/>
    </xf>
    <xf borderId="12" fillId="0" fontId="18" numFmtId="164" xfId="0" applyAlignment="1" applyBorder="1" applyFont="1" applyNumberFormat="1">
      <alignment horizontal="left" readingOrder="0" shrinkToFit="0" vertical="center" wrapText="0"/>
    </xf>
    <xf borderId="8" fillId="3" fontId="4" numFmtId="168" xfId="0" applyAlignment="1" applyBorder="1" applyFont="1" applyNumberFormat="1">
      <alignment horizontal="center" shrinkToFit="0" vertical="center" wrapText="0"/>
    </xf>
    <xf borderId="3" fillId="0" fontId="18" numFmtId="0" xfId="0" applyAlignment="1" applyBorder="1" applyFont="1">
      <alignment horizontal="left" readingOrder="0" shrinkToFit="0" vertical="center" wrapText="0"/>
    </xf>
    <xf borderId="8" fillId="4" fontId="18" numFmtId="0" xfId="0" applyAlignment="1" applyBorder="1" applyFont="1">
      <alignment horizontal="center" shrinkToFit="0" vertical="center" wrapText="0"/>
    </xf>
    <xf borderId="12" fillId="4" fontId="18" numFmtId="0" xfId="0" applyAlignment="1" applyBorder="1" applyFont="1">
      <alignment horizontal="center" shrinkToFit="0" vertical="center" wrapText="0"/>
    </xf>
    <xf borderId="3" fillId="4" fontId="18" numFmtId="0" xfId="0" applyAlignment="1" applyBorder="1" applyFont="1">
      <alignment horizontal="center" shrinkToFit="0" vertical="center" wrapText="0"/>
    </xf>
    <xf borderId="2" fillId="4" fontId="18" numFmtId="0" xfId="0" applyAlignment="1" applyBorder="1" applyFont="1">
      <alignment horizontal="center" shrinkToFit="0" vertical="center" wrapText="0"/>
    </xf>
    <xf borderId="4" fillId="0" fontId="18" numFmtId="0" xfId="0" applyAlignment="1" applyBorder="1" applyFont="1">
      <alignment horizontal="left" readingOrder="0" shrinkToFit="0" vertical="center" wrapText="0"/>
    </xf>
    <xf borderId="3" fillId="4" fontId="19" numFmtId="0" xfId="0" applyAlignment="1" applyBorder="1" applyFont="1">
      <alignment horizontal="center" shrinkToFit="0" wrapText="1"/>
    </xf>
    <xf borderId="10" fillId="0" fontId="18" numFmtId="0" xfId="0" applyAlignment="1" applyBorder="1" applyFont="1">
      <alignment horizontal="left" readingOrder="0" shrinkToFit="0" vertical="center" wrapText="0"/>
    </xf>
    <xf borderId="11" fillId="4" fontId="19" numFmtId="0" xfId="0" applyAlignment="1" applyBorder="1" applyFont="1">
      <alignment horizontal="center" shrinkToFit="0" wrapText="1"/>
    </xf>
    <xf borderId="0" fillId="2" fontId="5" numFmtId="164" xfId="0" applyAlignment="1" applyFont="1" applyNumberFormat="1">
      <alignment horizontal="left" shrinkToFit="0" vertical="center" wrapText="0"/>
    </xf>
    <xf borderId="12" fillId="4" fontId="18" numFmtId="164" xfId="0" applyAlignment="1" applyBorder="1" applyFont="1" applyNumberFormat="1">
      <alignment horizontal="left" readingOrder="0" shrinkToFit="0" vertical="center" wrapText="0"/>
    </xf>
    <xf borderId="8" fillId="5" fontId="4" numFmtId="0" xfId="0" applyAlignment="1" applyBorder="1" applyFill="1" applyFont="1">
      <alignment horizontal="center" shrinkToFit="0" vertical="center" wrapText="0"/>
    </xf>
    <xf borderId="12" fillId="0" fontId="1" numFmtId="0" xfId="0" applyAlignment="1" applyBorder="1" applyFont="1">
      <alignment shrinkToFit="0" wrapText="1"/>
    </xf>
    <xf borderId="2" fillId="2" fontId="5" numFmtId="164" xfId="0" applyAlignment="1" applyBorder="1" applyFont="1" applyNumberFormat="1">
      <alignment horizontal="left" shrinkToFit="0" vertical="center" wrapText="0"/>
    </xf>
    <xf borderId="4" fillId="0" fontId="1" numFmtId="0" xfId="0" applyAlignment="1" applyBorder="1" applyFont="1">
      <alignment shrinkToFit="0" wrapText="1"/>
    </xf>
    <xf borderId="13" fillId="0" fontId="1" numFmtId="0" xfId="0" applyAlignment="1" applyBorder="1" applyFont="1">
      <alignment shrinkToFit="0" wrapText="1"/>
    </xf>
    <xf borderId="2" fillId="0" fontId="1" numFmtId="0" xfId="0" applyAlignment="1" applyBorder="1" applyFont="1">
      <alignment shrinkToFit="0" wrapText="1"/>
    </xf>
    <xf borderId="4" fillId="0" fontId="20" numFmtId="0" xfId="0" applyAlignment="1" applyBorder="1" applyFont="1">
      <alignment horizontal="left" readingOrder="0" shrinkToFit="0" vertical="center" wrapText="0"/>
    </xf>
    <xf borderId="0" fillId="0" fontId="21" numFmtId="0" xfId="0" applyAlignment="1" applyFont="1">
      <alignment horizontal="center" readingOrder="0" shrinkToFit="0" vertical="center" wrapText="0"/>
    </xf>
    <xf borderId="2" fillId="0" fontId="22" numFmtId="0" xfId="0" applyAlignment="1" applyBorder="1" applyFont="1">
      <alignment horizontal="center" readingOrder="0" shrinkToFit="0" vertical="center" wrapText="0"/>
    </xf>
    <xf borderId="4" fillId="0" fontId="5" numFmtId="0" xfId="0" applyAlignment="1" applyBorder="1" applyFont="1">
      <alignment horizontal="left" readingOrder="0" shrinkToFit="0" vertical="center" wrapText="0"/>
    </xf>
    <xf borderId="2" fillId="0" fontId="5" numFmtId="0" xfId="0" applyAlignment="1" applyBorder="1" applyFont="1">
      <alignment horizontal="center" readingOrder="0" shrinkToFit="0" vertical="center" wrapText="0"/>
    </xf>
    <xf borderId="4" fillId="0" fontId="5" numFmtId="0" xfId="0" applyAlignment="1" applyBorder="1" applyFont="1">
      <alignment horizontal="left" readingOrder="0" shrinkToFit="0" vertical="center" wrapText="0"/>
    </xf>
    <xf borderId="6" fillId="0" fontId="5" numFmtId="0" xfId="0" applyAlignment="1" applyBorder="1" applyFont="1">
      <alignment horizontal="left" readingOrder="0" shrinkToFit="0" vertical="center" wrapText="0"/>
    </xf>
    <xf borderId="7" fillId="0" fontId="5" numFmtId="0" xfId="0" applyAlignment="1" applyBorder="1" applyFont="1">
      <alignment horizontal="center" readingOrder="0" shrinkToFit="0" vertical="center" wrapText="0"/>
    </xf>
    <xf borderId="1" fillId="0" fontId="1" numFmtId="0" xfId="0" applyAlignment="1" applyBorder="1" applyFont="1">
      <alignment shrinkToFit="0" wrapText="1"/>
    </xf>
    <xf borderId="7" fillId="0" fontId="1" numFmtId="0" xfId="0" applyAlignment="1" applyBorder="1" applyFont="1">
      <alignment shrinkToFit="0" wrapText="1"/>
    </xf>
    <xf borderId="3" fillId="0" fontId="1" numFmtId="0" xfId="0" applyAlignment="1" applyBorder="1" applyFont="1">
      <alignment shrinkToFit="0" wrapText="1"/>
    </xf>
    <xf borderId="14" fillId="5" fontId="23" numFmtId="0" xfId="0" applyAlignment="1" applyBorder="1" applyFont="1">
      <alignment horizontal="left" readingOrder="0" shrinkToFit="0" vertical="center" wrapText="0"/>
    </xf>
    <xf borderId="15" fillId="5" fontId="23" numFmtId="0" xfId="0" applyAlignment="1" applyBorder="1" applyFont="1">
      <alignment horizontal="left" shrinkToFit="0" vertical="center" wrapText="0"/>
    </xf>
    <xf borderId="6" fillId="5" fontId="23" numFmtId="0" xfId="0" applyAlignment="1" applyBorder="1" applyFont="1">
      <alignment horizontal="left" readingOrder="0" shrinkToFit="0" vertical="center" wrapText="0"/>
    </xf>
    <xf borderId="7" fillId="5" fontId="23" numFmtId="0" xfId="0" applyAlignment="1" applyBorder="1" applyFont="1">
      <alignment horizontal="left" shrinkToFit="0" vertical="center" wrapText="0"/>
    </xf>
    <xf borderId="6" fillId="0" fontId="5" numFmtId="0" xfId="0" applyAlignment="1" applyBorder="1" applyFont="1">
      <alignment shrinkToFit="0" vertical="bottom" wrapText="0"/>
    </xf>
    <xf borderId="9" fillId="0" fontId="5" numFmtId="0" xfId="0" applyAlignment="1" applyBorder="1" applyFont="1">
      <alignment shrinkToFit="0" vertical="bottom" wrapText="0"/>
    </xf>
    <xf borderId="11" fillId="0" fontId="5" numFmtId="0" xfId="0" applyAlignment="1" applyBorder="1" applyFont="1">
      <alignment shrinkToFit="0" vertical="bottom" wrapText="0"/>
    </xf>
    <xf borderId="4" fillId="2" fontId="5" numFmtId="0" xfId="0" applyAlignment="1" applyBorder="1" applyFont="1">
      <alignment shrinkToFit="0" vertical="bottom" wrapText="0"/>
    </xf>
    <xf borderId="0" fillId="2" fontId="5" numFmtId="9" xfId="0" applyAlignment="1" applyFont="1" applyNumberFormat="1">
      <alignment horizontal="left" shrinkToFit="0" vertical="center" wrapText="0"/>
    </xf>
    <xf borderId="13" fillId="2" fontId="5" numFmtId="0" xfId="0" applyAlignment="1" applyBorder="1" applyFont="1">
      <alignment shrinkToFit="0" vertical="bottom" wrapText="0"/>
    </xf>
    <xf borderId="0" fillId="2" fontId="5" numFmtId="0" xfId="0" applyAlignment="1" applyFont="1">
      <alignment shrinkToFit="0" vertical="bottom" wrapText="0"/>
    </xf>
    <xf borderId="0" fillId="2" fontId="1" numFmtId="0" xfId="0" applyAlignment="1" applyFont="1">
      <alignment horizontal="center" shrinkToFit="0" vertical="center" wrapText="1"/>
    </xf>
    <xf borderId="0" fillId="2" fontId="1" numFmtId="0" xfId="0" applyAlignment="1" applyFont="1">
      <alignment shrinkToFit="0" wrapText="1"/>
    </xf>
    <xf borderId="0" fillId="2" fontId="1" numFmtId="4" xfId="0" applyAlignment="1" applyFont="1" applyNumberFormat="1">
      <alignment readingOrder="0" shrinkToFit="0" wrapText="1"/>
    </xf>
    <xf borderId="0" fillId="2" fontId="5" numFmtId="0" xfId="0" applyAlignment="1" applyFont="1">
      <alignment horizontal="center" shrinkToFit="0" vertical="center" wrapText="1"/>
    </xf>
    <xf borderId="7" fillId="3" fontId="4" numFmtId="0" xfId="0" applyAlignment="1" applyBorder="1" applyFont="1">
      <alignment horizontal="center" readingOrder="0" shrinkToFit="0" vertical="center" wrapText="1"/>
    </xf>
    <xf borderId="5" fillId="3" fontId="4" numFmtId="164" xfId="0" applyAlignment="1" applyBorder="1" applyFont="1" applyNumberFormat="1">
      <alignment horizontal="center" readingOrder="0" shrinkToFit="0" vertical="center" wrapText="1"/>
    </xf>
    <xf borderId="5" fillId="3" fontId="4" numFmtId="0" xfId="0" applyAlignment="1" applyBorder="1" applyFont="1">
      <alignment horizontal="center" readingOrder="0" shrinkToFit="0" vertical="center" wrapText="1"/>
    </xf>
    <xf borderId="8" fillId="3" fontId="23" numFmtId="0" xfId="0" applyAlignment="1" applyBorder="1" applyFont="1">
      <alignment horizontal="center" shrinkToFit="0" vertical="center" wrapText="1"/>
    </xf>
    <xf borderId="5" fillId="3" fontId="4"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8" fillId="0" fontId="5" numFmtId="165" xfId="0" applyAlignment="1" applyBorder="1" applyFont="1" applyNumberFormat="1">
      <alignment horizontal="center" readingOrder="0" shrinkToFit="0" vertical="center" wrapText="1"/>
    </xf>
    <xf borderId="8" fillId="4" fontId="11" numFmtId="0" xfId="0" applyAlignment="1" applyBorder="1" applyFont="1">
      <alignment horizontal="center" shrinkToFit="0" vertical="center" wrapText="1"/>
    </xf>
    <xf borderId="8" fillId="4" fontId="24"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1"/>
    </xf>
    <xf borderId="11" fillId="6" fontId="1" numFmtId="0" xfId="0" applyAlignment="1" applyBorder="1" applyFill="1" applyFont="1">
      <alignment horizontal="center" shrinkToFit="0" vertical="center" wrapText="1"/>
    </xf>
    <xf borderId="8" fillId="6" fontId="5" numFmtId="165" xfId="0" applyAlignment="1" applyBorder="1" applyFont="1" applyNumberFormat="1">
      <alignment horizontal="center" readingOrder="0" shrinkToFit="0" vertical="center" wrapText="1"/>
    </xf>
    <xf borderId="8" fillId="6" fontId="11" numFmtId="0" xfId="0" applyAlignment="1" applyBorder="1" applyFont="1">
      <alignment horizontal="center" shrinkToFit="0" vertical="center" wrapText="1"/>
    </xf>
    <xf borderId="8" fillId="6" fontId="25" numFmtId="0" xfId="0" applyAlignment="1" applyBorder="1" applyFont="1">
      <alignment horizontal="center" readingOrder="0" shrinkToFit="0" vertical="center" wrapText="1"/>
    </xf>
    <xf borderId="8" fillId="6" fontId="5" numFmtId="0" xfId="0" applyAlignment="1" applyBorder="1" applyFont="1">
      <alignment horizontal="center" readingOrder="0" shrinkToFit="0" vertical="center" wrapText="1"/>
    </xf>
    <xf borderId="8" fillId="6" fontId="5" numFmtId="0" xfId="0" applyAlignment="1" applyBorder="1" applyFont="1">
      <alignment horizontal="center" readingOrder="0" shrinkToFit="0" vertical="center" wrapText="1"/>
    </xf>
    <xf borderId="8" fillId="6" fontId="5" numFmtId="0" xfId="0" applyAlignment="1" applyBorder="1" applyFont="1">
      <alignment horizontal="center" readingOrder="0" shrinkToFit="0" vertical="center" wrapText="0"/>
    </xf>
    <xf borderId="10" fillId="6" fontId="5" numFmtId="0" xfId="0" applyAlignment="1" applyBorder="1" applyFont="1">
      <alignment horizontal="center" readingOrder="0" shrinkToFit="0" vertical="center" wrapText="1"/>
    </xf>
    <xf borderId="0" fillId="2" fontId="1" numFmtId="0" xfId="0" applyAlignment="1" applyFont="1">
      <alignment readingOrder="0" shrinkToFit="0" wrapText="1"/>
    </xf>
    <xf borderId="10" fillId="6" fontId="5" numFmtId="0" xfId="0" applyAlignment="1" applyBorder="1" applyFont="1">
      <alignment horizontal="center" readingOrder="0" shrinkToFit="0" vertical="center" wrapText="1"/>
    </xf>
    <xf borderId="8" fillId="6" fontId="26" numFmtId="0" xfId="0" applyAlignment="1" applyBorder="1" applyFont="1">
      <alignment horizontal="center" readingOrder="0" shrinkToFit="0" vertical="center" wrapText="1"/>
    </xf>
    <xf borderId="0" fillId="2" fontId="1" numFmtId="169" xfId="0" applyAlignment="1" applyFont="1" applyNumberFormat="1">
      <alignment readingOrder="0" shrinkToFit="0" wrapText="1"/>
    </xf>
    <xf borderId="10" fillId="6" fontId="27" numFmtId="0" xfId="0" applyAlignment="1" applyBorder="1" applyFont="1">
      <alignment horizontal="center" readingOrder="0" shrinkToFit="0" vertical="center" wrapText="1"/>
    </xf>
    <xf borderId="8" fillId="6" fontId="28" numFmtId="0" xfId="0" applyAlignment="1" applyBorder="1" applyFont="1">
      <alignment horizontal="center" shrinkToFit="0" vertical="center" wrapText="1"/>
    </xf>
    <xf borderId="8" fillId="6" fontId="5" numFmtId="0" xfId="0" applyAlignment="1" applyBorder="1" applyFont="1">
      <alignment horizontal="center" readingOrder="0" shrinkToFit="0" vertical="center" wrapText="0"/>
    </xf>
    <xf borderId="11" fillId="0" fontId="1"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11" fillId="4" fontId="1" numFmtId="0" xfId="0" applyAlignment="1" applyBorder="1" applyFont="1">
      <alignment horizontal="center" shrinkToFit="0" vertical="center" wrapText="1"/>
    </xf>
    <xf borderId="8" fillId="4" fontId="5" numFmtId="165" xfId="0" applyAlignment="1" applyBorder="1" applyFont="1" applyNumberFormat="1">
      <alignment horizontal="center" readingOrder="0" shrinkToFit="0" vertical="center" wrapText="1"/>
    </xf>
    <xf borderId="8" fillId="4" fontId="5" numFmtId="0" xfId="0" applyAlignment="1" applyBorder="1" applyFont="1">
      <alignment horizontal="center" readingOrder="0" shrinkToFit="0" vertical="center" wrapText="1"/>
    </xf>
    <xf borderId="8" fillId="4" fontId="5" numFmtId="0" xfId="0" applyAlignment="1" applyBorder="1" applyFont="1">
      <alignment horizontal="center" readingOrder="0" shrinkToFit="0" vertical="center" wrapText="1"/>
    </xf>
    <xf borderId="8" fillId="4" fontId="5" numFmtId="0" xfId="0" applyAlignment="1" applyBorder="1" applyFont="1">
      <alignment horizontal="center" readingOrder="0" shrinkToFit="0" vertical="center" wrapText="1"/>
    </xf>
    <xf borderId="8" fillId="4" fontId="5" numFmtId="0" xfId="0" applyAlignment="1" applyBorder="1" applyFont="1">
      <alignment horizontal="center" readingOrder="0" shrinkToFit="0" vertical="center" wrapText="0"/>
    </xf>
    <xf borderId="8" fillId="0" fontId="5" numFmtId="0" xfId="0" applyAlignment="1" applyBorder="1" applyFont="1">
      <alignment horizontal="center" readingOrder="0" shrinkToFit="0" vertical="center" wrapText="0"/>
    </xf>
    <xf borderId="10" fillId="4" fontId="5" numFmtId="0" xfId="0" applyAlignment="1" applyBorder="1" applyFont="1">
      <alignment horizontal="center" readingOrder="0" shrinkToFit="0" vertical="center" wrapText="1"/>
    </xf>
    <xf borderId="8" fillId="0" fontId="29" numFmtId="0" xfId="0" applyAlignment="1" applyBorder="1" applyFont="1">
      <alignment horizontal="center" shrinkToFit="0" vertical="center" wrapText="1"/>
    </xf>
    <xf borderId="8" fillId="6" fontId="5" numFmtId="0" xfId="0" applyAlignment="1" applyBorder="1" applyFont="1">
      <alignment horizontal="center" readingOrder="0" shrinkToFit="0" vertical="center" wrapText="1"/>
    </xf>
    <xf borderId="8" fillId="6" fontId="5" numFmtId="0" xfId="0" applyAlignment="1" applyBorder="1" applyFont="1">
      <alignment horizontal="center" shrinkToFit="0" vertical="center" wrapText="1"/>
    </xf>
    <xf borderId="8" fillId="6" fontId="5" numFmtId="164" xfId="0" applyAlignment="1" applyBorder="1" applyFont="1" applyNumberFormat="1">
      <alignment horizontal="center" readingOrder="0" shrinkToFit="0" vertical="center" wrapText="1"/>
    </xf>
    <xf borderId="8" fillId="6" fontId="5" numFmtId="0" xfId="0" applyAlignment="1" applyBorder="1" applyFont="1">
      <alignment horizontal="center" readingOrder="0" shrinkToFit="0" vertical="center" wrapText="0"/>
    </xf>
    <xf borderId="10" fillId="6" fontId="30" numFmtId="0" xfId="0" applyAlignment="1" applyBorder="1" applyFont="1">
      <alignment horizontal="center" readingOrder="0" shrinkToFit="0" vertical="center" wrapText="1"/>
    </xf>
    <xf borderId="8" fillId="0" fontId="5" numFmtId="0" xfId="0" applyAlignment="1" applyBorder="1" applyFont="1">
      <alignment horizontal="center" shrinkToFit="0" vertical="center" wrapText="1"/>
    </xf>
    <xf borderId="8" fillId="0" fontId="5" numFmtId="164" xfId="0" applyAlignment="1" applyBorder="1" applyFont="1" applyNumberFormat="1">
      <alignment horizontal="center" readingOrder="0" shrinkToFit="0" vertical="center" wrapText="1"/>
    </xf>
    <xf borderId="8" fillId="0" fontId="3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8" fillId="0" fontId="32" numFmtId="0" xfId="0" applyAlignment="1" applyBorder="1" applyFont="1">
      <alignment horizontal="center" shrinkToFit="0" vertical="center" wrapText="1"/>
    </xf>
    <xf borderId="8" fillId="0" fontId="33" numFmtId="0" xfId="0" applyAlignment="1" applyBorder="1" applyFont="1">
      <alignment horizontal="center" shrinkToFit="0" vertical="bottom" wrapText="1"/>
    </xf>
    <xf borderId="11" fillId="0" fontId="1" numFmtId="0" xfId="0" applyAlignment="1" applyBorder="1" applyFont="1">
      <alignment horizontal="center" shrinkToFit="0" vertical="center" wrapText="0"/>
    </xf>
    <xf borderId="10" fillId="4" fontId="5" numFmtId="0" xfId="0" applyAlignment="1" applyBorder="1" applyFont="1">
      <alignment horizontal="center" readingOrder="0" shrinkToFit="0" vertical="center" wrapText="0"/>
    </xf>
    <xf borderId="11" fillId="0" fontId="1" numFmtId="0" xfId="0" applyAlignment="1" applyBorder="1" applyFont="1">
      <alignment horizontal="center" readingOrder="0" shrinkToFit="0" vertical="center" wrapText="1"/>
    </xf>
    <xf borderId="10" fillId="4" fontId="34" numFmtId="0" xfId="0" applyAlignment="1" applyBorder="1" applyFont="1">
      <alignment horizontal="center" readingOrder="0" shrinkToFit="0" vertical="center" wrapText="1"/>
    </xf>
    <xf borderId="10" fillId="4" fontId="35" numFmtId="0" xfId="0" applyAlignment="1" applyBorder="1" applyFont="1">
      <alignment horizontal="center" readingOrder="0" shrinkToFit="0" vertical="center" wrapText="1"/>
    </xf>
    <xf borderId="8" fillId="0" fontId="36" numFmtId="0" xfId="0" applyAlignment="1" applyBorder="1" applyFont="1">
      <alignment horizontal="center" readingOrder="0" shrinkToFit="0" vertical="center" wrapText="1"/>
    </xf>
    <xf borderId="10" fillId="7" fontId="5" numFmtId="0" xfId="0" applyAlignment="1" applyBorder="1" applyFill="1" applyFont="1">
      <alignment horizontal="center" readingOrder="0" shrinkToFit="0" vertical="center" wrapText="1"/>
    </xf>
    <xf borderId="8" fillId="0" fontId="37" numFmtId="0" xfId="0" applyAlignment="1" applyBorder="1" applyFont="1">
      <alignment horizontal="center" readingOrder="0" shrinkToFit="0" vertical="center" wrapText="1"/>
    </xf>
    <xf borderId="9" fillId="0" fontId="1" numFmtId="0" xfId="0" applyAlignment="1" applyBorder="1" applyFont="1">
      <alignment horizontal="center" shrinkToFit="0" vertical="center" wrapText="1"/>
    </xf>
    <xf borderId="10" fillId="4" fontId="5"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0" fontId="38" numFmtId="0" xfId="0" applyAlignment="1" applyBorder="1" applyFont="1">
      <alignment horizontal="center" readingOrder="0" shrinkToFit="0" vertical="center" wrapText="1"/>
    </xf>
    <xf borderId="10" fillId="4" fontId="11" numFmtId="0" xfId="0" applyAlignment="1" applyBorder="1" applyFont="1">
      <alignment horizontal="center" readingOrder="0" shrinkToFit="0" vertical="center" wrapText="1"/>
    </xf>
    <xf borderId="8" fillId="0" fontId="39" numFmtId="0" xfId="0" applyAlignment="1" applyBorder="1" applyFont="1">
      <alignment horizontal="center" readingOrder="0" shrinkToFit="0" vertical="center" wrapText="1"/>
    </xf>
    <xf borderId="10" fillId="7" fontId="5" numFmtId="0" xfId="0" applyAlignment="1" applyBorder="1" applyFont="1">
      <alignment horizontal="center" readingOrder="0" shrinkToFit="0" vertical="center" wrapText="1"/>
    </xf>
    <xf borderId="8" fillId="4" fontId="11" numFmtId="0" xfId="0" applyAlignment="1" applyBorder="1" applyFont="1">
      <alignment horizontal="center" readingOrder="0" shrinkToFit="0" vertical="center" wrapText="1"/>
    </xf>
    <xf borderId="8" fillId="0" fontId="40" numFmtId="0" xfId="0" applyAlignment="1" applyBorder="1" applyFont="1">
      <alignment horizontal="center" readingOrder="0" shrinkToFit="0" vertical="center" wrapText="1"/>
    </xf>
    <xf borderId="10" fillId="4" fontId="41"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12" fillId="0" fontId="5" numFmtId="165" xfId="0" applyAlignment="1" applyBorder="1" applyFont="1" applyNumberFormat="1">
      <alignment horizontal="center" readingOrder="0" shrinkToFit="0" vertical="center" wrapText="1"/>
    </xf>
    <xf borderId="12" fillId="0" fontId="1" numFmtId="0" xfId="0" applyAlignment="1" applyBorder="1" applyFont="1">
      <alignment horizontal="center" readingOrder="0" shrinkToFit="0" vertical="center" wrapText="1"/>
    </xf>
    <xf borderId="12" fillId="0" fontId="1" numFmtId="0" xfId="0" applyAlignment="1" applyBorder="1" applyFont="1">
      <alignment horizontal="center" readingOrder="0" shrinkToFit="0" vertical="center" wrapText="1"/>
    </xf>
    <xf borderId="14" fillId="0" fontId="1" numFmtId="0" xfId="0" applyAlignment="1" applyBorder="1" applyFont="1">
      <alignment horizontal="center" readingOrder="0" shrinkToFit="0" vertical="center" wrapText="1"/>
    </xf>
    <xf borderId="8" fillId="0" fontId="42" numFmtId="0" xfId="0" applyAlignment="1" applyBorder="1" applyFont="1">
      <alignment horizontal="center" readingOrder="0" shrinkToFit="0" vertical="center" wrapText="1"/>
    </xf>
    <xf borderId="8" fillId="0" fontId="43" numFmtId="0" xfId="0" applyAlignment="1" applyBorder="1" applyFont="1">
      <alignment horizontal="center" readingOrder="0" shrinkToFit="0" vertical="center" wrapText="1"/>
    </xf>
    <xf borderId="13" fillId="2" fontId="1" numFmtId="4" xfId="0" applyAlignment="1" applyBorder="1" applyFont="1" applyNumberFormat="1">
      <alignment readingOrder="0" shrinkToFit="0" wrapText="1"/>
    </xf>
    <xf borderId="0" fillId="0" fontId="44" numFmtId="0" xfId="0" applyAlignment="1" applyFont="1">
      <alignment horizontal="center" readingOrder="0" shrinkToFit="0" vertical="bottom" wrapText="1"/>
    </xf>
    <xf borderId="0" fillId="0" fontId="45" numFmtId="0" xfId="0" applyAlignment="1" applyFont="1">
      <alignment horizontal="center" readingOrder="0" shrinkToFit="0" vertical="bottom" wrapText="1"/>
    </xf>
    <xf borderId="0" fillId="2" fontId="46" numFmtId="0" xfId="0" applyAlignment="1" applyFont="1">
      <alignment horizontal="center" shrinkToFit="0" vertical="center" wrapText="1"/>
    </xf>
    <xf borderId="0" fillId="2" fontId="5" numFmtId="4" xfId="0" applyAlignment="1" applyFont="1" applyNumberFormat="1">
      <alignment horizontal="right" readingOrder="0" shrinkToFit="0" vertical="center" wrapText="0"/>
    </xf>
    <xf borderId="0" fillId="2" fontId="47" numFmtId="4" xfId="0" applyAlignment="1" applyFont="1" applyNumberFormat="1">
      <alignment horizontal="right" readingOrder="0" shrinkToFit="0" vertical="center" wrapText="1"/>
    </xf>
    <xf borderId="0" fillId="0" fontId="1" numFmtId="0" xfId="0" applyAlignment="1" applyFont="1">
      <alignment horizontal="center" shrinkToFit="0" vertical="bottom" wrapText="1"/>
    </xf>
    <xf borderId="0" fillId="2" fontId="48" numFmtId="0" xfId="0" applyAlignment="1" applyFont="1">
      <alignment shrinkToFit="0" wrapText="1"/>
    </xf>
    <xf borderId="0" fillId="0" fontId="5" numFmtId="1" xfId="0" applyAlignment="1" applyFont="1" applyNumberFormat="1">
      <alignment horizontal="center" shrinkToFit="0" vertical="center" wrapText="1"/>
    </xf>
    <xf borderId="0" fillId="2" fontId="48" numFmtId="1" xfId="0" applyAlignment="1" applyFont="1" applyNumberFormat="1">
      <alignment horizontal="right" shrinkToFit="0" vertical="center" wrapText="0"/>
    </xf>
    <xf borderId="0" fillId="2" fontId="5" numFmtId="4" xfId="0" applyAlignment="1" applyFont="1" applyNumberFormat="1">
      <alignment readingOrder="0" shrinkToFit="0" wrapText="1"/>
    </xf>
    <xf borderId="0" fillId="2" fontId="48" numFmtId="0" xfId="0" applyAlignment="1" applyFont="1">
      <alignment readingOrder="0" shrinkToFit="0" wrapText="1"/>
    </xf>
    <xf borderId="0" fillId="0" fontId="1" numFmtId="0" xfId="0" applyAlignment="1" applyFont="1">
      <alignment horizontal="center" readingOrder="0" shrinkToFit="0" vertical="center" wrapText="1"/>
    </xf>
    <xf borderId="0" fillId="2" fontId="1" numFmtId="0" xfId="0" applyAlignment="1" applyFont="1">
      <alignment shrinkToFit="0" vertical="center" wrapText="1"/>
    </xf>
    <xf borderId="0" fillId="2" fontId="48" numFmtId="170" xfId="0" applyAlignment="1" applyFont="1" applyNumberFormat="1">
      <alignment horizontal="left" readingOrder="0" shrinkToFit="0" vertical="center" wrapText="1"/>
    </xf>
    <xf borderId="0" fillId="2" fontId="1" numFmtId="164" xfId="0" applyAlignment="1" applyFont="1" applyNumberFormat="1">
      <alignment horizontal="left" shrinkToFit="0" vertical="center" wrapText="1"/>
    </xf>
    <xf borderId="0" fillId="2" fontId="48" numFmtId="0" xfId="0" applyAlignment="1" applyFont="1">
      <alignment horizontal="left" readingOrder="0" shrinkToFit="0" vertical="center" wrapText="1"/>
    </xf>
    <xf borderId="0" fillId="2" fontId="1" numFmtId="164" xfId="0" applyAlignment="1" applyFont="1" applyNumberFormat="1">
      <alignment shrinkToFit="0" wrapText="1"/>
    </xf>
    <xf borderId="0" fillId="0" fontId="5" numFmtId="164" xfId="0" applyAlignment="1" applyFont="1" applyNumberFormat="1">
      <alignment horizontal="center" readingOrder="0" shrinkToFit="0" vertical="center" wrapText="1"/>
    </xf>
    <xf borderId="0" fillId="2" fontId="49" numFmtId="168" xfId="0" applyAlignment="1" applyFont="1" applyNumberFormat="1">
      <alignment horizontal="center" shrinkToFit="0" vertical="center" wrapText="1"/>
    </xf>
    <xf borderId="0" fillId="2" fontId="48" numFmtId="0" xfId="0" applyAlignment="1" applyFont="1">
      <alignment horizontal="left" readingOrder="0" shrinkToFit="0" vertical="center" wrapText="0"/>
    </xf>
    <xf borderId="0" fillId="4" fontId="5" numFmtId="164" xfId="0" applyAlignment="1" applyFont="1" applyNumberFormat="1">
      <alignment horizontal="center" readingOrder="0" shrinkToFit="0" vertical="center" wrapText="1"/>
    </xf>
    <xf borderId="0" fillId="2" fontId="5" numFmtId="171" xfId="0" applyAlignment="1" applyFont="1" applyNumberFormat="1">
      <alignment horizontal="center" shrinkToFit="0" vertical="center" wrapText="1"/>
    </xf>
    <xf borderId="0" fillId="2" fontId="48" numFmtId="0" xfId="0" applyAlignment="1" applyFont="1">
      <alignment horizontal="left" shrinkToFit="0" vertical="center" wrapText="0"/>
    </xf>
    <xf borderId="0" fillId="0" fontId="5" numFmtId="164" xfId="0" applyAlignment="1" applyFont="1" applyNumberFormat="1">
      <alignment horizontal="center" readingOrder="0" shrinkToFit="0" vertical="center" wrapText="0"/>
    </xf>
    <xf borderId="1" fillId="0" fontId="5" numFmtId="164" xfId="0" applyAlignment="1" applyBorder="1" applyFont="1" applyNumberFormat="1">
      <alignment horizontal="center" readingOrder="0" shrinkToFit="0" vertical="center" wrapText="1"/>
    </xf>
    <xf borderId="1" fillId="0" fontId="5" numFmtId="1" xfId="0" applyAlignment="1" applyBorder="1" applyFont="1" applyNumberFormat="1">
      <alignment horizontal="center" shrinkToFit="0" vertical="center" wrapText="1"/>
    </xf>
    <xf borderId="1" fillId="2" fontId="5" numFmtId="171" xfId="0" applyAlignment="1" applyBorder="1" applyFont="1" applyNumberFormat="1">
      <alignment horizontal="center" shrinkToFit="0" vertical="center" wrapText="1"/>
    </xf>
    <xf borderId="2" fillId="2" fontId="1" numFmtId="0" xfId="0" applyAlignment="1" applyBorder="1" applyFont="1">
      <alignment horizontal="center" shrinkToFit="0" vertical="center" wrapText="1"/>
    </xf>
    <xf borderId="10" fillId="7" fontId="18" numFmtId="164" xfId="0" applyAlignment="1" applyBorder="1" applyFont="1" applyNumberFormat="1">
      <alignment horizontal="center" readingOrder="0" shrinkToFit="0" vertical="center" wrapText="1"/>
    </xf>
    <xf borderId="9" fillId="7" fontId="18" numFmtId="1" xfId="0" applyAlignment="1" applyBorder="1" applyFont="1" applyNumberFormat="1">
      <alignment horizontal="center" shrinkToFit="0" vertical="center" wrapText="1"/>
    </xf>
    <xf borderId="11" fillId="7" fontId="18" numFmtId="171" xfId="0" applyAlignment="1" applyBorder="1" applyFont="1" applyNumberFormat="1">
      <alignment horizontal="center" shrinkToFit="0" vertical="center" wrapText="1"/>
    </xf>
    <xf borderId="4" fillId="2" fontId="1" numFmtId="0" xfId="0" applyAlignment="1" applyBorder="1" applyFont="1">
      <alignment shrinkToFit="0" vertical="center" wrapText="1"/>
    </xf>
    <xf borderId="1" fillId="2" fontId="1" numFmtId="0" xfId="0" applyAlignment="1" applyBorder="1" applyFont="1">
      <alignment horizontal="center" shrinkToFit="0" vertical="bottom" wrapText="1"/>
    </xf>
    <xf borderId="8" fillId="3" fontId="23" numFmtId="0" xfId="0" applyAlignment="1" applyBorder="1" applyFont="1">
      <alignment horizontal="center" readingOrder="0" shrinkToFit="0" vertical="center" wrapText="1"/>
    </xf>
    <xf borderId="12" fillId="3" fontId="4" numFmtId="164" xfId="0" applyAlignment="1" applyBorder="1" applyFont="1" applyNumberFormat="1">
      <alignment horizontal="center" readingOrder="0" shrinkToFit="0" vertical="center" wrapText="1"/>
    </xf>
    <xf borderId="12" fillId="3" fontId="4" numFmtId="0" xfId="0" applyAlignment="1" applyBorder="1" applyFont="1">
      <alignment horizontal="center" readingOrder="0" shrinkToFit="0" vertical="center" wrapText="1"/>
    </xf>
    <xf borderId="14" fillId="0" fontId="1" numFmtId="0" xfId="0" applyAlignment="1" applyBorder="1" applyFont="1">
      <alignment horizontal="center" readingOrder="0" shrinkToFit="0" vertical="bottom" wrapText="1"/>
    </xf>
    <xf borderId="0" fillId="0" fontId="50" numFmtId="0" xfId="0" applyAlignment="1" applyFont="1">
      <alignment shrinkToFit="0" wrapText="1"/>
    </xf>
    <xf borderId="0" fillId="0" fontId="1" numFmtId="0" xfId="0" applyAlignment="1" applyFont="1">
      <alignment readingOrder="0" shrinkToFit="0" wrapText="1"/>
    </xf>
    <xf borderId="2" fillId="0" fontId="1" numFmtId="0" xfId="0" applyAlignment="1" applyBorder="1" applyFont="1">
      <alignment horizontal="center" readingOrder="0" shrinkToFit="0" vertical="bottom" wrapText="1"/>
    </xf>
    <xf borderId="4" fillId="0" fontId="1" numFmtId="0" xfId="0" applyAlignment="1" applyBorder="1" applyFont="1">
      <alignment horizontal="center" shrinkToFit="0" vertical="bottom" wrapText="1"/>
    </xf>
    <xf borderId="0" fillId="0" fontId="51" numFmtId="0" xfId="0" applyAlignment="1" applyFont="1">
      <alignment shrinkToFit="0" vertical="bottom" wrapText="0"/>
    </xf>
    <xf borderId="0" fillId="0" fontId="1" numFmtId="10" xfId="0" applyAlignment="1" applyFont="1" applyNumberFormat="1">
      <alignment horizontal="center" readingOrder="0" shrinkToFit="0" vertical="bottom" wrapText="1"/>
    </xf>
    <xf borderId="0" fillId="0" fontId="1" numFmtId="0" xfId="0" applyAlignment="1" applyFont="1">
      <alignment readingOrder="0" shrinkToFit="0" vertical="bottom" wrapText="0"/>
    </xf>
    <xf borderId="0" fillId="0" fontId="52" numFmtId="0" xfId="0" applyAlignment="1" applyFont="1">
      <alignment readingOrder="0" shrinkToFit="0" wrapText="1"/>
    </xf>
    <xf borderId="0" fillId="0" fontId="52" numFmtId="0" xfId="0" applyAlignment="1" applyFont="1">
      <alignment horizontal="left" shrinkToFit="0" wrapText="1"/>
    </xf>
    <xf borderId="0" fillId="0" fontId="52" numFmtId="0" xfId="0" applyAlignment="1" applyFont="1">
      <alignment shrinkToFit="0" wrapText="1"/>
    </xf>
    <xf borderId="0" fillId="0" fontId="52" numFmtId="0" xfId="0" applyAlignment="1" applyFont="1">
      <alignment horizontal="left" readingOrder="0" shrinkToFit="0" wrapText="1"/>
    </xf>
    <xf borderId="0" fillId="0" fontId="1" numFmtId="0" xfId="0" applyAlignment="1" applyFont="1">
      <alignment horizontal="left" shrinkToFit="0" wrapText="1"/>
    </xf>
  </cellXfs>
  <cellStyles count="1">
    <cellStyle xfId="0" name="Normal" builtinId="0"/>
  </cellStyles>
  <dxfs count="3">
    <dxf>
      <font>
        <color rgb="FF000000"/>
      </font>
      <fill>
        <patternFill patternType="solid">
          <fgColor rgb="FFFF6600"/>
          <bgColor rgb="FFFF6600"/>
        </patternFill>
      </fill>
      <border/>
    </dxf>
    <dxf>
      <font>
        <color rgb="FF000000"/>
      </font>
      <fill>
        <patternFill patternType="solid">
          <fgColor rgb="FF99CCFF"/>
          <bgColor rgb="FF99CCFF"/>
        </patternFill>
      </fill>
      <border/>
    </dxf>
    <dxf>
      <font>
        <color rgb="FF000000"/>
      </font>
      <fill>
        <patternFill patternType="solid">
          <fgColor rgb="FF969696"/>
          <bgColor rgb="FF969696"/>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www.rottentomatoes.com/m/jaws" TargetMode="External"/><Relationship Id="rId2" Type="http://schemas.openxmlformats.org/officeDocument/2006/relationships/hyperlink" Target="https://www.rottentomatoes.com/m/f9" TargetMode="External"/><Relationship Id="rId3" Type="http://schemas.openxmlformats.org/officeDocument/2006/relationships/hyperlink" Target="https://www.rottentomatoes.com/tv/music_box/s01.5" TargetMode="External"/><Relationship Id="rId4" Type="http://schemas.openxmlformats.org/officeDocument/2006/relationships/hyperlink" Target="http://startup.com" TargetMode="External"/><Relationship Id="rId9" Type="http://schemas.openxmlformats.org/officeDocument/2006/relationships/drawing" Target="../drawings/drawing1.xml"/><Relationship Id="rId5" Type="http://schemas.openxmlformats.org/officeDocument/2006/relationships/hyperlink" Target="https://www.rottentomatoes.com/m/the_game_changers" TargetMode="External"/><Relationship Id="rId6" Type="http://schemas.openxmlformats.org/officeDocument/2006/relationships/hyperlink" Target="https://www.rottentomatoes.com/m/class" TargetMode="External"/><Relationship Id="rId7" Type="http://schemas.openxmlformats.org/officeDocument/2006/relationships/hyperlink" Target="https://www.rottentomatoes.com/m/inside_llewyn_davis_2013" TargetMode="External"/><Relationship Id="rId8" Type="http://schemas.openxmlformats.org/officeDocument/2006/relationships/hyperlink" Target="https://www.rottentomatoes.com/m/bad_teache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notion.so/raybould/The-complete-life-s-little-instruction-book-B-Jan-5-2020-a52771e75c95403583ccd258e9063ed0" TargetMode="External"/><Relationship Id="rId42" Type="http://schemas.openxmlformats.org/officeDocument/2006/relationships/hyperlink" Target="https://www.notion.so/raybould/Facebook-The-Inside-Story-by-Steven-Levy-5-24-2020-B-390d7832bc9c46ca8831cd41e6a65c7a" TargetMode="External"/><Relationship Id="rId41" Type="http://schemas.openxmlformats.org/officeDocument/2006/relationships/hyperlink" Target="https://www.notion.so/raybould/No-Filter-The-Inside-Story-of-Instagram-by-Sarah-Frier-5-17-20-B-b9016dfa94774632a2bb072c3e9e1209" TargetMode="External"/><Relationship Id="rId44" Type="http://schemas.openxmlformats.org/officeDocument/2006/relationships/hyperlink" Target="https://youtu.be/dR-asutg1Tk" TargetMode="External"/><Relationship Id="rId43" Type="http://schemas.openxmlformats.org/officeDocument/2006/relationships/hyperlink" Target="https://www.notion.so/raybould/Carry-that-Quota-Sales-Tactics-and-Stories-by-the-Rep-for-the-Rep-by-Jesse-Epstein-Sept-12-2020--8efff74377ae461c9dd2fecad6fc4696" TargetMode="External"/><Relationship Id="rId46" Type="http://schemas.openxmlformats.org/officeDocument/2006/relationships/hyperlink" Target="https://www.notion.so/raybould/How-To-Talk-So-Kids-Will-Listen-Listen-So-Kids-Will-Talk-B-9-26-20-6bb7b60ddb2c4023888b9fc5e4482c22" TargetMode="External"/><Relationship Id="rId45" Type="http://schemas.openxmlformats.org/officeDocument/2006/relationships/hyperlink" Target="https://www.notion.so/raybould/A-Life-Worth-Living-A-Life-Worth-Living-Finding-Your-Purpose-and-Daring-to-Live-the-Life-You-ve-Im-40eac1e2e6f34786a3296ec0a793db74" TargetMode="External"/><Relationship Id="rId107" Type="http://schemas.openxmlformats.org/officeDocument/2006/relationships/hyperlink" Target="https://raybould.notion.site/My-Brilliant-Friend-by-Elena-Ferrante-B-B-September-24-2025-28a496f2ab418012a879e37505ba2063?source=copy_link" TargetMode="External"/><Relationship Id="rId106" Type="http://schemas.openxmlformats.org/officeDocument/2006/relationships/hyperlink" Target="https://raybould.notion.site/Don-t-Believe-Everything-You-Think-Why-Your-Thinking-Is-The-Beginning-End-Of-Suffering-by-Joseph--267496f2ab418067bfeded457d23c6af?source=copy_link" TargetMode="External"/><Relationship Id="rId105" Type="http://schemas.openxmlformats.org/officeDocument/2006/relationships/hyperlink" Target="https://raybould.notion.site/The-Warrior-Rafael-Nadal-and-His-Kingdom-of-Clay-by-Christopher-Clarey-B-B-267496f2ab4180f5848cece98793bf74?source=copy_link" TargetMode="External"/><Relationship Id="rId104" Type="http://schemas.openxmlformats.org/officeDocument/2006/relationships/hyperlink" Target="https://raybould.notion.site/The-Singularity-is-Nearer-When-We-Merge-with-AI-Dec-28-2024-B-B-16c496f2ab4180008698f0c8fc77d014?pvs=4" TargetMode="External"/><Relationship Id="rId109" Type="http://schemas.openxmlformats.org/officeDocument/2006/relationships/hyperlink" Target="https://www.notion.so/raybould/9724f76685b145a784e3cb58c9d059d9?pvs=4" TargetMode="External"/><Relationship Id="rId108" Type="http://schemas.openxmlformats.org/officeDocument/2006/relationships/hyperlink" Target="https://raybould.notion.site/Tell-Me-Everything-by-Elizabeth-Strout-October-3-2025-B-B-28a496f2ab4180b88506d4720585d0a7?source=copy_link" TargetMode="External"/><Relationship Id="rId48" Type="http://schemas.openxmlformats.org/officeDocument/2006/relationships/hyperlink" Target="https://www.amazon.com/Full-Body-Yes-Change-Inside-ebook/dp/B08T3K1WNS/ref=tmm_kin_swatch_0?_encoding=UTF8&amp;qid=1630816880&amp;sr=8-1" TargetMode="External"/><Relationship Id="rId47" Type="http://schemas.openxmlformats.org/officeDocument/2006/relationships/hyperlink" Target="https://www.notion.so/raybould/It-Takes-What-It-Takes-How-to-Think-Neutrally-and-Gain-Control-of-your-Life-by-Trevor-Moawad-and-An-3ea0087988f74eabac13fa1fda232ae1" TargetMode="External"/><Relationship Id="rId49" Type="http://schemas.openxmlformats.org/officeDocument/2006/relationships/hyperlink" Target="https://www.notion.so/raybould/The-Full-Body-Yes-Change-Your-Work-and-Your-World-from-the-Inside-Out-by-Scott-Shute-July-26-2021-2fa3c525e1d1454d9b6e2ec58ab16d5f" TargetMode="External"/><Relationship Id="rId103" Type="http://schemas.openxmlformats.org/officeDocument/2006/relationships/hyperlink" Target="https://raybould.notion.site/Scaling-People-Tactics-for-Management-and-Company-Building-by-Claire-Hughes-Johnson-Dec-26-2024--169496f2ab41801ebb32ed7867e9cee5?pvs=4" TargetMode="External"/><Relationship Id="rId102" Type="http://schemas.openxmlformats.org/officeDocument/2006/relationships/hyperlink" Target="https://raybould.notion.site/Eleven-Rings-The-Soul-of-Success-by-Phil-Jackson-B-B-Nov-24-2024-166496f2ab418001b58fe67c73ce1122?pvs=4" TargetMode="External"/><Relationship Id="rId101" Type="http://schemas.openxmlformats.org/officeDocument/2006/relationships/hyperlink" Target="https://raybould.notion.site/The-Sales-Acceleration-Formula-Using-Data-Technology-and-Inbound-Selling-to-go-from-0-to-100-Mi-142496f2ab41807fb460f434c64af7fd?pvs=4" TargetMode="External"/><Relationship Id="rId100" Type="http://schemas.openxmlformats.org/officeDocument/2006/relationships/hyperlink" Target="https://raybould.notion.site/The-Comfort-Crisis-Embracing-Discomfort-to-Reclaim-Your-Wild-Happy-Healthy-Self-by-Michael-Easter-11e496f2ab41805799f4c2184e70845b?pvs=4" TargetMode="External"/><Relationship Id="rId31" Type="http://schemas.openxmlformats.org/officeDocument/2006/relationships/hyperlink" Target="https://www.notion.so/raybould/The-Inner-Game-of-Tennis-The-Classic-Guide-to-the-Mental-Side-of-Peak-Performance-ee901040e9024704a60f912c4e9ed26d?pvs=4" TargetMode="External"/><Relationship Id="rId30" Type="http://schemas.openxmlformats.org/officeDocument/2006/relationships/hyperlink" Target="https://www.amazon.com/Wiseguy-audiobook/dp/B07VZXWN32/ref=tmm_aud_swatch_0?_encoding=UTF8&amp;qid=1672290110&amp;sr=1-1" TargetMode="External"/><Relationship Id="rId33" Type="http://schemas.openxmlformats.org/officeDocument/2006/relationships/hyperlink" Target="https://raybould.notion.site/From-Strength-to-Strength-Finding-Success-Happiness-and-Deep-Purpose-in-the-Second-Half-of-Life--6596a3031d954325b8fd0c13537572fe?pvs=4" TargetMode="External"/><Relationship Id="rId32" Type="http://schemas.openxmlformats.org/officeDocument/2006/relationships/hyperlink" Target="https://raybould.notion.site/The-Alter-Ego-Effect-The-Power-of-Secret-Identities-to-Transform-Your-Life-by-Todd-Herman-B-A-J-6db2ba6129a34d58844df967309aec02?pvs=4" TargetMode="External"/><Relationship Id="rId35" Type="http://schemas.openxmlformats.org/officeDocument/2006/relationships/hyperlink" Target="https://raybould.notion.site/The-Master-The-Long-Run-and-Beautiful-Game-of-Roger-Federer-B-A-Dec-17-2023-dcc6013911744ef38493211820af68b5?pvs=4" TargetMode="External"/><Relationship Id="rId34" Type="http://schemas.openxmlformats.org/officeDocument/2006/relationships/hyperlink" Target="https://raybould.notion.site/Exercised-Why-Something-We-Never-Evolved-To-Do-Is-Healthy-and-Rewarding-by-Daniel-Lieberman-Sept-1-3570d1d8dfb6483e8f515b644ee2a708?pvs=4" TargetMode="External"/><Relationship Id="rId37" Type="http://schemas.openxmlformats.org/officeDocument/2006/relationships/hyperlink" Target="https://www.notion.so/raybould/Can-t-hurt-me-by-David-Goggins-B-December-13-2019-5cb269eb188c483397102dd5b77dc538" TargetMode="External"/><Relationship Id="rId36" Type="http://schemas.openxmlformats.org/officeDocument/2006/relationships/hyperlink" Target="https://raybould.notion.site/Demon-Copperhead-by-Barbara-Kingsolver-267496f2ab41802ebfbdc9e330d3401e?source=copy_link" TargetMode="External"/><Relationship Id="rId39" Type="http://schemas.openxmlformats.org/officeDocument/2006/relationships/hyperlink" Target="https://www.notion.so/raybould/Of-Anger-by-Seneca-B-Dec-31-2020-e3df1f771f0e485cb4ffdabf2416a934" TargetMode="External"/><Relationship Id="rId38" Type="http://schemas.openxmlformats.org/officeDocument/2006/relationships/hyperlink" Target="https://www.notion.so/raybould/Chasing-daylight-B-December-28-2019-b1c38d7a828c43a4b4c8ca8b16164ee8" TargetMode="External"/><Relationship Id="rId20" Type="http://schemas.openxmlformats.org/officeDocument/2006/relationships/hyperlink" Target="https://raybould.notion.site/Why-we-sleep-Unlocking-the-Power-of-sleep-and-Dreams-Jan-27-2019-B-A-2023ea00439e49c6a893c322a822ad10?source=copy_link" TargetMode="External"/><Relationship Id="rId22" Type="http://schemas.openxmlformats.org/officeDocument/2006/relationships/hyperlink" Target="https://www.notion.so/raybould/Greenlights-by-Matthew-McConaughey-Nov-8-2020-B-A-b7605ee3438e4f02beaea6bca5b6ee77" TargetMode="External"/><Relationship Id="rId21" Type="http://schemas.openxmlformats.org/officeDocument/2006/relationships/hyperlink" Target="https://www.notion.so/raybould/No-Rules-Rules-Netflix-and-the-Culture-of-Reinvention-B-A-9-13-20-7574a7f7a43744f6aa5c967f393407f9" TargetMode="External"/><Relationship Id="rId24" Type="http://schemas.openxmlformats.org/officeDocument/2006/relationships/hyperlink" Target="https://www.amazon.com/Boy-Mole-Fox-Horse/dp/0062976583/ref=sr_1_1?crid=2QNONVKDW9ZGY&amp;dchild=1&amp;keywords=the+boy+the+mole+the+fox+by+charlie+mackesy&amp;qid=1630818196&amp;sprefix=the+boy+the+%2Caps%2C250&amp;sr=8-1" TargetMode="External"/><Relationship Id="rId23" Type="http://schemas.openxmlformats.org/officeDocument/2006/relationships/hyperlink" Target="https://www.notion.so/raybould/Breath-by-James-Nestor-Nov-9-2020-B-A-ad4dab3bc02e4575b70467bd22752bd3" TargetMode="External"/><Relationship Id="rId129" Type="http://schemas.openxmlformats.org/officeDocument/2006/relationships/hyperlink" Target="https://www.notion.so/raybould/Keep-Calm-and-Swim-to-France-Tales-of-an-English-Channel-Swimmer-by-Mark-Ransom-B-B-Nov-28-2021-eff0ffb52d9441b896a926c3c5e49a32" TargetMode="External"/><Relationship Id="rId128" Type="http://schemas.openxmlformats.org/officeDocument/2006/relationships/hyperlink" Target="https://raybould.notion.site/Killers-of-the-Flower-Moon-The-Osage-Murders-and-the-Birth-of-the-FBI-by-David-Grann-October-11-2-28b496f2ab4180b581c1c0898964c301?source=copy_link" TargetMode="External"/><Relationship Id="rId127" Type="http://schemas.openxmlformats.org/officeDocument/2006/relationships/hyperlink" Target="https://raybould.notion.site/Normal-People-by-Sally-Rooney-Sept-1-2025-B-267496f2ab4180c0af3ecfb8a8943f2c?source=copy_link" TargetMode="External"/><Relationship Id="rId126" Type="http://schemas.openxmlformats.org/officeDocument/2006/relationships/hyperlink" Target="https://raybould.notion.site/The-Adventures-of-Huckleberry-Finn-by-Mark-Twain-Aug-31-2025-B-267496f2ab4180198f34c6dfa980d01b?source=copy_link" TargetMode="External"/><Relationship Id="rId26" Type="http://schemas.openxmlformats.org/officeDocument/2006/relationships/hyperlink" Target="https://www.notion.so/raybould/Four-Thousand-Weeks-Time-Management-for-Mortals-by-Oliver-Burkeman-Sept-27-2021-B-A-f744757444fa423c9a5c138d72ef741d" TargetMode="External"/><Relationship Id="rId121" Type="http://schemas.openxmlformats.org/officeDocument/2006/relationships/hyperlink" Target="https://raybould.notion.site/How-Not-to-Die-Discover-the-Foods-Scientifically-Proven-to-Prevent-and-Reverse-Disease-by-Michael-G-142496f2ab418086b78cd0d2120561f8?pvs=4" TargetMode="External"/><Relationship Id="rId25" Type="http://schemas.openxmlformats.org/officeDocument/2006/relationships/hyperlink" Target="https://www.notion.so/raybould/The-boy-the-mole-the-fox-and-the-horse-B-A-July-29-2021-5d56ba0eaefa42f9bb7516b2d78b9b81" TargetMode="External"/><Relationship Id="rId120" Type="http://schemas.openxmlformats.org/officeDocument/2006/relationships/hyperlink" Target="https://raybould.notion.site/Resilience-Hard-Won-Wisdom-for-Living-a-Better-Life-by-Eric-Greitens-B-August-7-2023-a1ea3772eb2f430e83659f803a5f93e6?pvs=4" TargetMode="External"/><Relationship Id="rId28" Type="http://schemas.openxmlformats.org/officeDocument/2006/relationships/hyperlink" Target="https://www.notion.so/raybould/Write-Useful-Books-by-Rob-Fitzpatrick-Nov-26-2021-B-A-fc16e55102bb493988f44aeb73d13b5e" TargetMode="External"/><Relationship Id="rId27" Type="http://schemas.openxmlformats.org/officeDocument/2006/relationships/hyperlink" Target="https://www.notion.so/raybould/The-Great-CEO-Within-The-Tactical-Guide-to-Company-Building-Oct-18-2021-B-A-224cbf6d201246baa65e6ed8ccf5ce42" TargetMode="External"/><Relationship Id="rId125" Type="http://schemas.openxmlformats.org/officeDocument/2006/relationships/hyperlink" Target="https://raybould.notion.site/Good-Strategy-Bad-Strategy-The-Difference-and-Why-It-Matters-by-Richard-Rumelt-May-11-2025-B-267496f2ab4180fba88adbbf74839382?source=copy_link" TargetMode="External"/><Relationship Id="rId29" Type="http://schemas.openxmlformats.org/officeDocument/2006/relationships/hyperlink" Target="https://www.notion.so/raybould/Sapiens-by-Yuval-Noah-Harari-Dec-23-2021-B-A-2ebfab277431460cad2904f1e7ae6ae4" TargetMode="External"/><Relationship Id="rId124" Type="http://schemas.openxmlformats.org/officeDocument/2006/relationships/hyperlink" Target="https://raybould.notion.site/Superagency-by-Reid-Hoffman-and-Greg-Beato-Feb-16-2025-B-19c496f2ab418063822bdc2852ad060c?pvs=4" TargetMode="External"/><Relationship Id="rId123" Type="http://schemas.openxmlformats.org/officeDocument/2006/relationships/hyperlink" Target="https://raybould.notion.site/The-Coming-Wave-Technology-Power-and-the-Twenty-first-Century-s-Greatest-Dilemma-16c496f2ab41802eb94dc0445669bad0?pvs=4" TargetMode="External"/><Relationship Id="rId122" Type="http://schemas.openxmlformats.org/officeDocument/2006/relationships/hyperlink" Target="https://raybould.notion.site/Brave-New-Words-How-AI-Will-Revolutionize-Education-and-Why-That-s-a-Good-Thing-by-Salman-Khan-J-142496f2ab4180f08e8ddcf33a00e434?pvs=4" TargetMode="External"/><Relationship Id="rId95" Type="http://schemas.openxmlformats.org/officeDocument/2006/relationships/hyperlink" Target="https://www.notion.so/raybould/Put-Your-Ass-Where-Your-Heart-Wants-to-Be-by-Steven-Pressfield-B-B-Jan-17-2023-0214997d71d74edfa185833849ea3f68?pvs=4" TargetMode="External"/><Relationship Id="rId94" Type="http://schemas.openxmlformats.org/officeDocument/2006/relationships/hyperlink" Target="https://www.notion.so/raybould/Brooklyn-by-Colm-Toibin-B-Sept-29-2023-addab3d186934069b969a2e9cc504b36?pvs=4" TargetMode="External"/><Relationship Id="rId97" Type="http://schemas.openxmlformats.org/officeDocument/2006/relationships/hyperlink" Target="https://www.notion.so/raybould/Endure-How-to-Work-Hard-Outlast-and-Keep-Hammering-by-Cameron-Hanes-April-14-2023-B-B-9ee338ba0b014b72bfa244d58ece7026" TargetMode="External"/><Relationship Id="rId96" Type="http://schemas.openxmlformats.org/officeDocument/2006/relationships/hyperlink" Target="https://www.notion.so/raybould/The-Founders-The-Story-of-Paypal-and-the-Entrepreneurs-Who-Shaped-Silicon-Valley-by-Jimmy-Soni-Mar-f9805952210d4789a67336c4eb2ec558?pvs=4" TargetMode="External"/><Relationship Id="rId11" Type="http://schemas.openxmlformats.org/officeDocument/2006/relationships/hyperlink" Target="https://www.notion.so/raybould/Maybe-you-should-talk-to-somebody-by-Lori-Gottlieb-A-December-17-2019-40368c290e3c4161a10061374be78057" TargetMode="External"/><Relationship Id="rId99" Type="http://schemas.openxmlformats.org/officeDocument/2006/relationships/hyperlink" Target="https://raybould.notion.site/Co-Intelligence-Living-and-Working-with-AI-by-Ethan-Mollick-B-B-June-15-2024-142496f2ab4180b6bfdcd0bf730f7e31?pvs=4" TargetMode="External"/><Relationship Id="rId10" Type="http://schemas.openxmlformats.org/officeDocument/2006/relationships/hyperlink" Target="https://www.notion.so/raybould/Atomic-Habits-An-Easy-Proven-Way-to-Build-Good-Habits-Break-Bad-Ones-by-James-Clear-1-31-2019--0a9a27ba718a4fbabb276bc7f49c0657" TargetMode="External"/><Relationship Id="rId98" Type="http://schemas.openxmlformats.org/officeDocument/2006/relationships/hyperlink" Target="https://www.notion.so/raybould/The-Fear-Project-by-Jaimal-Yogis-June-1-B-B-3ea799ae7234494c87b216b6286afd7a?pvs=4" TargetMode="External"/><Relationship Id="rId13" Type="http://schemas.openxmlformats.org/officeDocument/2006/relationships/hyperlink" Target="https://www.notion.so/raybould/The-Nickel-Boys-by-Colson-Whitehead-August-14-2020-A-554506be05d04f1893b0f65a5a270b93" TargetMode="External"/><Relationship Id="rId12" Type="http://schemas.openxmlformats.org/officeDocument/2006/relationships/hyperlink" Target="https://www.notion.so/raybould/Never-Split-the-Difference-by-Chris-Voss-Tahl-Raz-June-20-2020-A-af37ec4581a841cbb9cf822a53259dcf" TargetMode="External"/><Relationship Id="rId91" Type="http://schemas.openxmlformats.org/officeDocument/2006/relationships/hyperlink" Target="https://www.notion.so/raybould/The-5-Second-Rule-Transform-Your-Life-Work-and-Confidence-with-Everyday-Courage-by-Mel-Robbins-B-99444f382fc848ed88a6931b25d2c803" TargetMode="External"/><Relationship Id="rId90" Type="http://schemas.openxmlformats.org/officeDocument/2006/relationships/hyperlink" Target="https://www.notion.so/raybould/How-I-Found-Peace-14-Revelations-that-Cleared-My-Mind-by-Paul-Petrone-October-10-2021-B-B-6f33762b913c4d7aafb3d4ea8239dfc8" TargetMode="External"/><Relationship Id="rId93" Type="http://schemas.openxmlformats.org/officeDocument/2006/relationships/hyperlink" Target="https://raybould.notion.site/Alright-Alright-Alright-The-Oral-History-of-Richard-Linklater-s-Dazed-and-Confused-B-B-July-21-69669d2364f7429cb596062a0fb76786" TargetMode="External"/><Relationship Id="rId92" Type="http://schemas.openxmlformats.org/officeDocument/2006/relationships/hyperlink" Target="https://www.notion.so/raybould/You-are-Here-by-Thich-Nhat-Hanh-Melvin-McLeod-and-Sherab-Chodzin-Kohn-B-B-6358a824c04f46159bc47ee085d35605" TargetMode="External"/><Relationship Id="rId118" Type="http://schemas.openxmlformats.org/officeDocument/2006/relationships/hyperlink" Target="https://www.notion.so/raybould/Amp-It-Up-Leading-for-Hypergrowth-by-Raising-Expectations-Increasing-Urgency-and-Elevating-Intens-d61d78e917d84cc69f7fae50a5c4fc2d?pvs=4" TargetMode="External"/><Relationship Id="rId117" Type="http://schemas.openxmlformats.org/officeDocument/2006/relationships/hyperlink" Target="https://raybould.notion.site/Percy-Jackson-and-the-Olympians-The-Lightning-Thief-B-December-20-2022-a19d857347a74cefbc9a59f73baa3456" TargetMode="External"/><Relationship Id="rId116" Type="http://schemas.openxmlformats.org/officeDocument/2006/relationships/hyperlink" Target="https://raybould.notion.site/Why-We-Swim-by-Bonnie-Tsui-B-Nov-6-2022-8f4d7852387a478c93588f1381f17c3f" TargetMode="External"/><Relationship Id="rId115" Type="http://schemas.openxmlformats.org/officeDocument/2006/relationships/hyperlink" Target="https://raybould.notion.site/Directed-by-James-Burrows-Five-Decades-of-Stories-from-the-Legendary-Director-of-Taxi-Cheers-Fras-46876fde23ab4261a9d24ff934db7888" TargetMode="External"/><Relationship Id="rId119" Type="http://schemas.openxmlformats.org/officeDocument/2006/relationships/hyperlink" Target="https://www.notion.so/raybould/The-Mamba-Mentality-How-I-Play-by-Kobe-Bryant-April-15-2023-B-310151fc8d9541448ed214b48d18ac1a?pvs=4" TargetMode="External"/><Relationship Id="rId15" Type="http://schemas.openxmlformats.org/officeDocument/2006/relationships/hyperlink" Target="https://www.notion.so/raybould/A-Gentleman-in-Moscow-by-Amos-Towles-A-June-30-2022-db3e48a5d5ec4791a6c04cb96be55561" TargetMode="External"/><Relationship Id="rId110" Type="http://schemas.openxmlformats.org/officeDocument/2006/relationships/hyperlink" Target="https://www.notion.so/raybould/Writing-Without-Bullshit-Boost-Your-Career-by-Saying-What-You-Mean-by-Josh-Bernoff-B-5-15-20-3b0270924879434b9dfcb4c61e3c45d4" TargetMode="External"/><Relationship Id="rId14" Type="http://schemas.openxmlformats.org/officeDocument/2006/relationships/hyperlink" Target="https://www.notion.so/raybould/Bird-by-Bird-by-Anne-Lamont-A-4-7-2021-9f21551bc37d4139b7e3de315df456ad" TargetMode="External"/><Relationship Id="rId17" Type="http://schemas.openxmlformats.org/officeDocument/2006/relationships/hyperlink" Target="https://raybould.notion.site/A-Little-Life-by-Hanya-Yanagihara-A-Dec-2-2024-151496f2ab4180e0b7efc8e91dd1107b?pvs=4" TargetMode="External"/><Relationship Id="rId16" Type="http://schemas.openxmlformats.org/officeDocument/2006/relationships/hyperlink" Target="https://www.notion.so/raybould/Outlive-The-Science-and-Art-of-Longevity-by-Peter-Attia-A-June-15-2023-3ae7d99bc6874d26aeb280dee78a1284?pvs=4" TargetMode="External"/><Relationship Id="rId19" Type="http://schemas.openxmlformats.org/officeDocument/2006/relationships/hyperlink" Target="https://raybould.notion.site/Small-Things-Like-These-by-28a496f2ab41808d8715f8de58db8479?source=copy_link" TargetMode="External"/><Relationship Id="rId114" Type="http://schemas.openxmlformats.org/officeDocument/2006/relationships/hyperlink" Target="https://www.notion.so/raybould/The-Dearly-Beloved-by-Cara-Wall-July-5-2022-B-006632eb51584e42a75dbddf00065f8d" TargetMode="External"/><Relationship Id="rId18" Type="http://schemas.openxmlformats.org/officeDocument/2006/relationships/hyperlink" Target="https://raybould.notion.site/James-by-Percival-Everett-267496f2ab4180f19cb2de8f92dbff0e?source=copy_link" TargetMode="External"/><Relationship Id="rId113" Type="http://schemas.openxmlformats.org/officeDocument/2006/relationships/hyperlink" Target="https://www.notion.so/raybould/Phil-The-Rip-Roaring-and-Unauthorized-Biography-of-Golf-s-Most-Colorful-Superstar-B-May-27-20-cbb092669b1b4dd195766f42af9165cd" TargetMode="External"/><Relationship Id="rId112" Type="http://schemas.openxmlformats.org/officeDocument/2006/relationships/hyperlink" Target="https://www.notion.so/raybould/Where-the-Crazy-People-Swim-by-Steve-Walker-Jan-5-2022-B-710795fada29458e8f49f8e03c87b967" TargetMode="External"/><Relationship Id="rId111" Type="http://schemas.openxmlformats.org/officeDocument/2006/relationships/hyperlink" Target="https://www.notion.so/raybould/What-You-Do-is-Who-You-are-by-Ben-Horowitz-6af2f6cd61f54396a4c2cfb9a6efff18" TargetMode="External"/><Relationship Id="rId84" Type="http://schemas.openxmlformats.org/officeDocument/2006/relationships/hyperlink" Target="https://www.notion.so/raybould/Relentless-by-Tim-Grover-B-B-January-18-2020-25ad94bfdfe14cd3ab3cb04aae1afdd3" TargetMode="External"/><Relationship Id="rId83" Type="http://schemas.openxmlformats.org/officeDocument/2006/relationships/hyperlink" Target="https://www.notion.so/raybould/The-Good-Listener-B-B-Jan-8-2020-1463c5479c8646f69023af355fbc7a91" TargetMode="External"/><Relationship Id="rId86" Type="http://schemas.openxmlformats.org/officeDocument/2006/relationships/hyperlink" Target="https://www.notion.so/raybould/Search-Inside-Yourself-The-Unexpected-Path-to-Achieving-Success-Happiness-and-World-Peace-by-Cha-e45e9e47b7a149d98a6ba90b912d6c5b" TargetMode="External"/><Relationship Id="rId85" Type="http://schemas.openxmlformats.org/officeDocument/2006/relationships/hyperlink" Target="https://www.amazon.com/Search-Inside-Yourself-Unexpected-Achieving-ebook/dp/B0070XF474/ref=sr_1_1?crid=3CQ8GEC30KVTT&amp;keywords=search+inside+yourself&amp;qid=1630815516&amp;sprefix=search+inside+your%2Caps%2C215&amp;sr=8-1" TargetMode="External"/><Relationship Id="rId88" Type="http://schemas.openxmlformats.org/officeDocument/2006/relationships/hyperlink" Target="https://www.notion.so/raybould/Workquake-Embracing-the-Aftershocks-of-COVID-19-to-Create-a-Better-Model-of-Working-by-Steve-Cadiga-39fa09b5a9174d58bedaa3da8885fe16" TargetMode="External"/><Relationship Id="rId150" Type="http://schemas.openxmlformats.org/officeDocument/2006/relationships/hyperlink" Target="http://raybould.notion.site/" TargetMode="External"/><Relationship Id="rId87" Type="http://schemas.openxmlformats.org/officeDocument/2006/relationships/hyperlink" Target="https://www.amazon.com/Workquake-Embracing-Aftershocks-COVID-19-Working/dp/1645434265/ref=sr_1_1?crid=3O2JWRHWWLJN2&amp;keywords=workquake+steve+cadigan&amp;qid=1637796300&amp;sprefix=workquake%2Caps%2C223&amp;sr=8-1" TargetMode="External"/><Relationship Id="rId89" Type="http://schemas.openxmlformats.org/officeDocument/2006/relationships/hyperlink" Target="https://www.notion.so/raybould/Masters-of-Scale-Surprising-Truths-from-the-World-s-Most-Successful-Enterpreneurs-Sept-25-2021-B-432ba234e3314ddc83188d33dcefe1f2" TargetMode="External"/><Relationship Id="rId80" Type="http://schemas.openxmlformats.org/officeDocument/2006/relationships/hyperlink" Target="https://raybould.notion.site/Buckeye-by-Patrick-Ryan-B-October-5-2025-28a496f2ab4180a5802dc25e02356562?source=copy_link" TargetMode="External"/><Relationship Id="rId82" Type="http://schemas.openxmlformats.org/officeDocument/2006/relationships/hyperlink" Target="https://www.notion.so/raybould/The-Examined-Life-How-We-Lose-and-Find-Ourselves-B-B-Dec-28-2019-8eb42081430b4995976a7c0dcd27c986" TargetMode="External"/><Relationship Id="rId81" Type="http://schemas.openxmlformats.org/officeDocument/2006/relationships/hyperlink" Target="https://www.notion.so/raybould/Stillness-is-the-Key-by-Ryan-Holiday-B-B-December-7-2019-8d19ba5eedbc404f9f21f5c4a445c183" TargetMode="External"/><Relationship Id="rId1" Type="http://schemas.openxmlformats.org/officeDocument/2006/relationships/hyperlink" Target="https://www.amazon.com/Amateurs-Story-Young-Their-Olympic-ebook/dp/B00AEGIGDS/ref=sr_1_1?crid=358FWSFPMT2ZV&amp;dchild=1&amp;keywords=the+amateurs&amp;qid=1609623235&amp;s=digital-text&amp;sprefix=the+amateurs%2Cdigital-text%2C229&amp;sr=1-1" TargetMode="External"/><Relationship Id="rId2" Type="http://schemas.openxmlformats.org/officeDocument/2006/relationships/hyperlink" Target="https://www.amazon.com/Civil-Action-Jonathan-Harr-ebook/dp/B005DB6PCI/ref=sr_1_1?crid=3P7YCLJOVGL4L&amp;dchild=1&amp;keywords=a+civil+action&amp;qid=1609623269&amp;s=digital-text&amp;sprefix=a+civil+action%2Cdigital-text%2C220&amp;sr=1-1" TargetMode="External"/><Relationship Id="rId3" Type="http://schemas.openxmlformats.org/officeDocument/2006/relationships/hyperlink" Target="https://www.amazon.com/Animal-Farm-Fairy-Modern-Classic-ebook/dp/B003K16PUU/ref=sr_1_1?crid=26D7VK7N4VDWN&amp;dchild=1&amp;keywords=animal+farm&amp;qid=1609623291&amp;s=digital-text&amp;sprefix=animal+farm%2Cdigital-text%2C234&amp;sr=1-1" TargetMode="External"/><Relationship Id="rId149" Type="http://schemas.openxmlformats.org/officeDocument/2006/relationships/hyperlink" Target="https://www.amazon.com/Only-Business-Writing-Book-Youll/dp/0393635325/ref=sr_1_1?crid=25B6MZLZLMP5&amp;dchild=1&amp;keywords=the+only+business+writing+book+you%27ll+ever+need&amp;qid=1630815126&amp;sprefix=the+only+business+%2Caps%2C228&amp;sr=8-1" TargetMode="External"/><Relationship Id="rId4" Type="http://schemas.openxmlformats.org/officeDocument/2006/relationships/hyperlink" Target="https://www.amazon.com/ETHAN-FROME-Edith-Wharton-ebook/dp/B08RSR2P6D/ref=sr_1_1?crid=QIKE9A9L97R6&amp;dchild=1&amp;keywords=ethan+frome&amp;qid=1609623307&amp;s=digital-text&amp;sprefix=ethan+frome%2Cdigital-text%2C239&amp;sr=1-1" TargetMode="External"/><Relationship Id="rId148" Type="http://schemas.openxmlformats.org/officeDocument/2006/relationships/hyperlink" Target="https://www.notion.so/raybould/Oceans-Seven-How-I-cheated-death-and-broke-the-hardest-record-in-swimming-by-Attila-Manjoki-and-Mar-5d4e15fdc0244c81b6052948b52812ed?pvs=4" TargetMode="External"/><Relationship Id="rId9" Type="http://schemas.openxmlformats.org/officeDocument/2006/relationships/hyperlink" Target="https://raybould.notion.site/Conscious-Business-by-Fred-Kofman-A-June-16-2013-04189141a1384e4c98092b757205cbf5?pvs=4" TargetMode="External"/><Relationship Id="rId143" Type="http://schemas.openxmlformats.org/officeDocument/2006/relationships/hyperlink" Target="https://raybould.notion.site/Going-Infinite-The-Rise-and-Fall-of-a-New-Tycoon-by-Michael-Lewis-B-Oct-7-2023-d73e5bfad865484abe2cdae2f8a57dec?pvs=4" TargetMode="External"/><Relationship Id="rId142" Type="http://schemas.openxmlformats.org/officeDocument/2006/relationships/hyperlink" Target="https://raybould.notion.site/Getting-to-Neutral-How-to-Conquer-Negativity-and-Thrive-in-a-Chaotic-World-by-Trevor-Moawad-B-Au-28f3111216f54167bd1eeffe5ec1b483?pvs=4" TargetMode="External"/><Relationship Id="rId141" Type="http://schemas.openxmlformats.org/officeDocument/2006/relationships/hyperlink" Target="https://raybould.notion.site/Turning-Pro-Tap-Your-Inner-Power-and-Create-Your-Life-s-Work-by-Steven-Pressfield-B-Feb-3-2023-12b71c26542f4b15850138b525021ba2?pvs=4" TargetMode="External"/><Relationship Id="rId140" Type="http://schemas.openxmlformats.org/officeDocument/2006/relationships/hyperlink" Target="https://raybould.notion.site/Where-the-Crawdads-Sing-by-Delia-Owens-B-July-18-2022-6649006583954fe28d31a1b1151614f6" TargetMode="External"/><Relationship Id="rId5" Type="http://schemas.openxmlformats.org/officeDocument/2006/relationships/hyperlink" Target="https://www.amazon.com/Gold-Water-Ordinary-Extraordinary-Olympic-ebook/dp/B0176VEB78/ref=tmm_kin_swatch_0?_encoding=UTF8&amp;qid=1609623331&amp;sr=8-1" TargetMode="External"/><Relationship Id="rId147" Type="http://schemas.openxmlformats.org/officeDocument/2006/relationships/hyperlink" Target="https://www.notion.so/raybould/With-Each-Stroke-The-Endless-Blue-by-several-authors-Jan-5-2022-C-B-ed33bec3f2764631b9f29df9031f0de5" TargetMode="External"/><Relationship Id="rId6" Type="http://schemas.openxmlformats.org/officeDocument/2006/relationships/hyperlink" Target="https://www.amazon.com/Habits-Highly-Effective-People-Powerful-ebook/dp/B07WF972WK/ref=sr_1_1?crid=3IZ2F9C4YEI7M&amp;keywords=seven+habits+of+highly+effective+people&amp;qid=1694559180&amp;s=digital-text&amp;sprefix=seven+hab%2Cdigital-text%2C166&amp;sr=1-1" TargetMode="External"/><Relationship Id="rId146" Type="http://schemas.openxmlformats.org/officeDocument/2006/relationships/hyperlink" Target="https://smile.amazon.com/Privileged-Poor-Colleges-Disadvantaged-Students-ebook/dp/B07N2S7DLV/ref=sr_1_1?crid=353EB2NOIQS3F&amp;keywords=privileged+poor&amp;qid=1644697824&amp;s=digital-text&amp;sprefix=privileged+poor%2Cdigital-text%2C122&amp;sr=1-1" TargetMode="External"/><Relationship Id="rId7" Type="http://schemas.openxmlformats.org/officeDocument/2006/relationships/hyperlink" Target="http://peak/" TargetMode="External"/><Relationship Id="rId145" Type="http://schemas.openxmlformats.org/officeDocument/2006/relationships/hyperlink" Target="https://raybould.notion.site/All-Fours-by-Miranda-July-B-Sept-15-2025-28a496f2ab418027ad05c176b9123770?source=copy_link" TargetMode="External"/><Relationship Id="rId8" Type="http://schemas.openxmlformats.org/officeDocument/2006/relationships/hyperlink" Target="https://www.amazon.com/Conscious-Business-Build-Through-Values-ebook/dp/B0034184XM/ref=sr_1_1?crid=2Q4MN8S7NRICS&amp;keywords=conscious+business+how+to+build+value+through+values&amp;qid=1694559207&amp;s=digital-text&amp;sprefix=conscious+business%2Cdigital-text%2C142&amp;sr=1-1" TargetMode="External"/><Relationship Id="rId144" Type="http://schemas.openxmlformats.org/officeDocument/2006/relationships/hyperlink" Target="https://raybould.notion.site/Burn-Book-A-Tech-Love-Story-by-Kara-Swisher-March-12-2024-B-142496f2ab4180b1b066dca1033a7ee3?pvs=4" TargetMode="External"/><Relationship Id="rId73" Type="http://schemas.openxmlformats.org/officeDocument/2006/relationships/hyperlink" Target="https://raybould.notion.site/High-Growth-Handbook-Scaling-Startups-From-10-to-10-000-People-by-Elad-Gil-B-May-14-2024-142496f2ab41801596b4cb091d2ceed7?pvs=4" TargetMode="External"/><Relationship Id="rId72" Type="http://schemas.openxmlformats.org/officeDocument/2006/relationships/hyperlink" Target="https://raybould.notion.site/Storyworthy-Engage-Teach-Persuade-and-Change-Your-Life-through-the-Power-of-Storytelling-by-Matt-142496f2ab418004b470d0f719914c6b?pvs=4" TargetMode="External"/><Relationship Id="rId75" Type="http://schemas.openxmlformats.org/officeDocument/2006/relationships/hyperlink" Target="https://raybould.notion.site/The-CBT-Workbook-for-Mental-Health-Evidence-Based-Exercises-to-Transform-Negative-Thoughts-and-Mana-267496f2ab418020b575cf6467edad56?source=copy_link" TargetMode="External"/><Relationship Id="rId74" Type="http://schemas.openxmlformats.org/officeDocument/2006/relationships/hyperlink" Target="https://raybould.notion.site/Playing-to-Win-How-Strategy-Really-Works-by-A-G-Lafley-Roger-Martin-B-Jan-5-2025-19c496f2ab41804987cbd1febebdff32?source=copy_link" TargetMode="External"/><Relationship Id="rId77" Type="http://schemas.openxmlformats.org/officeDocument/2006/relationships/hyperlink" Target="https://raybould.notion.site/Crossing-to-Safety-by-Wallace-Stegner-Sept-14-2025-B-26e496f2ab418013bd00e212ce9ebaa9?source=copy_link" TargetMode="External"/><Relationship Id="rId76" Type="http://schemas.openxmlformats.org/officeDocument/2006/relationships/hyperlink" Target="https://raybould.notion.site/Train-Dreams-by-Denis-Johnson-B-Sept-1-2025-267496f2ab4180768c19e3bfe1c4ad0c?source=copy_link" TargetMode="External"/><Relationship Id="rId79" Type="http://schemas.openxmlformats.org/officeDocument/2006/relationships/hyperlink" Target="https://raybould.notion.site/Olive-Again-by-Elizabeth-Strout-B-October-1-2025-28a496f2ab4180dd8a5fcce1297b9bf3?source=copy_link" TargetMode="External"/><Relationship Id="rId78" Type="http://schemas.openxmlformats.org/officeDocument/2006/relationships/hyperlink" Target="https://raybould.notion.site/Olive-Kitteridge-by-Elizabeth-Strout-October-27-2025-September-28-2025-28a496f2ab4180f98fc4d43802309515?source=copy_link" TargetMode="External"/><Relationship Id="rId71" Type="http://schemas.openxmlformats.org/officeDocument/2006/relationships/hyperlink" Target="https://raybould.notion.site/In-Defense-of-Food-An-Eater-s-Manifesto-by-Michael-Pollan-Dec-29-2024-B-142496f2ab4180febb70cc46aa969c16?pvs=4" TargetMode="External"/><Relationship Id="rId70" Type="http://schemas.openxmlformats.org/officeDocument/2006/relationships/hyperlink" Target="https://raybould.notion.site/How-Not-to-Die-Discover-the-Foods-Scientifically-Proven-to-Prevent-and-Reverse-Disease-by-Michael-G-142496f2ab418086b78cd0d2120561f8?pvs=4" TargetMode="External"/><Relationship Id="rId139" Type="http://schemas.openxmlformats.org/officeDocument/2006/relationships/hyperlink" Target="https://www.notion.so/raybould/The-Fountainhead-by-Ayn-Rand-B-April-16-2022-db805e0ece9b450e9afdbc7664c80fbf" TargetMode="External"/><Relationship Id="rId138" Type="http://schemas.openxmlformats.org/officeDocument/2006/relationships/hyperlink" Target="https://www.notion.so/raybould/In-Cold-Water-by-Mike-Humphreys-53de11449f1c4bd5af1bf585ea582f2a" TargetMode="External"/><Relationship Id="rId137" Type="http://schemas.openxmlformats.org/officeDocument/2006/relationships/hyperlink" Target="https://smile.amazon.com/Cold-Water-Mike-Humphreys-ebook/dp/B079J3VBQC/ref=sr_1_2?crid=1WLRVKGM80BEU&amp;keywords=in+cold+water&amp;qid=1644698730&amp;sprefix=in+cold+water%2Caps%2C125&amp;sr=8-2" TargetMode="External"/><Relationship Id="rId132" Type="http://schemas.openxmlformats.org/officeDocument/2006/relationships/hyperlink" Target="https://www.notion.so/raybould/The-Art-of-Resilience-Strategies-for-an-Unbreakable-Mind-and-Body-by-Ross-Edgley-B-B-May-3-2023-b4a73f7c4fcd4a4ea5761f3cd2efc3e0?pvs=4" TargetMode="External"/><Relationship Id="rId131" Type="http://schemas.openxmlformats.org/officeDocument/2006/relationships/hyperlink" Target="https://www.notion.so/raybould/The-Fear-Bubble-Harness-Fear-and-Live-Without-Limits-by-Ant-Middleton-B-B-4-30-2023-cdf8cb52e6a5425fa7d4f2e61f88b0a7?pvs=4" TargetMode="External"/><Relationship Id="rId130" Type="http://schemas.openxmlformats.org/officeDocument/2006/relationships/hyperlink" Target="https://www.notion.so/raybould/The-Power-Law-Venture-Capital-and-the-Making-of-the-New-Future-by-Sebastian-Mallaby-B-B-Feb-10--b59b4c49d69e4be8ae543244e7e57907?pvs=4" TargetMode="External"/><Relationship Id="rId136" Type="http://schemas.openxmlformats.org/officeDocument/2006/relationships/hyperlink" Target="https://raybould.notion.site/Listen-Like-You-Mean-It-Reclaiming-the-Lost-Art-of-True-Connection-by-Ximena-Vengoechea-July-31-2-1c3d48048b294123992d31b4fd501427?pvs=4" TargetMode="External"/><Relationship Id="rId135" Type="http://schemas.openxmlformats.org/officeDocument/2006/relationships/hyperlink" Target="https://www.amazon.com/Listen-Like-You-Mean-Reclaiming/dp/B08D6ZP4F1/ref=sr_1_1?crid=2PQHV3NERFUR8&amp;dchild=1&amp;keywords=listen+like+you+mean+it&amp;qid=1630816062&amp;sprefix=listen+like+you+mean+%2Caps%2C232&amp;sr=8-1" TargetMode="External"/><Relationship Id="rId134" Type="http://schemas.openxmlformats.org/officeDocument/2006/relationships/hyperlink" Target="https://raybould.notion.site/On-Writing-A-Memoir-Of-The-Craft-by-Stephen-King-B-Feb-1-2019-a1e48577f6d7469aa8a8e0f4e86ee1f7?pvs=4" TargetMode="External"/><Relationship Id="rId133" Type="http://schemas.openxmlformats.org/officeDocument/2006/relationships/hyperlink" Target="https://raybould.notion.site/It-Goes-So-Fast-The-Year-of-No-Do-Overs-by-Mary-Louise-Kelly-B-B-August-30-2023-9803548bf95847cd8c6dcb6f6caaa573?pvs=4" TargetMode="External"/><Relationship Id="rId62" Type="http://schemas.openxmlformats.org/officeDocument/2006/relationships/hyperlink" Target="https://raybould.notion.site/Awareness-Conversations-with-the-Masters-by-Anthony-de-Mello-B-Nov-5-2022-750274a4bd704015ba9e51f090c2bba3" TargetMode="External"/><Relationship Id="rId61" Type="http://schemas.openxmlformats.org/officeDocument/2006/relationships/hyperlink" Target="https://raybould.notion.site/The-Psychology-of-Money-Timeless-lessons-on-wealth-greed-and-happiness-by-Morgan-Housel-B-Dec--2326ca8d9e90447db8bc88af7623f395" TargetMode="External"/><Relationship Id="rId64" Type="http://schemas.openxmlformats.org/officeDocument/2006/relationships/hyperlink" Target="https://www.notion.so/raybould/Tomorrow-and-Tomorrow-and-Tomorrow-by-Gabrielle-Zevin-B-March-9-2023-bdecc66e91ef4dca867c876c9a9348de?pvs=4" TargetMode="External"/><Relationship Id="rId63" Type="http://schemas.openxmlformats.org/officeDocument/2006/relationships/hyperlink" Target="https://www.notion.so/raybould/Never-Finished-Unshackle-Your-Mind-and-Win-the-War-Within-by-David-Goggins-B-Feb-11-5d1b4c4e9f5d4f3b9825a73f8be989d7?pvs=4" TargetMode="External"/><Relationship Id="rId66" Type="http://schemas.openxmlformats.org/officeDocument/2006/relationships/hyperlink" Target="https://www.notion.so/raybould/I-Will-Teach-You-to-Be-Rich-No-Guilt-No-Excuses-Just-a-6-Week-Program-That-Works-June-22-2023--2dfcfe9bb85441eba413d0db68cd99b6?pvs=4" TargetMode="External"/><Relationship Id="rId65" Type="http://schemas.openxmlformats.org/officeDocument/2006/relationships/hyperlink" Target="https://www.notion.so/raybould/Will-to-Wild-by-Shelby-Stanger-June-16-2023-B-B-d2e23f38dd4648baaaed58b9a759fb7a?pvs=4" TargetMode="External"/><Relationship Id="rId68" Type="http://schemas.openxmlformats.org/officeDocument/2006/relationships/hyperlink" Target="https://raybould.notion.site/Die-With-Zero-Getting-All-You-Can-from-Your-Money-and-Your-Life-by-Bill-Perkins-Oct-16-2023-B-34be86ed1923459f9fb052f889615a0c?pvs=4" TargetMode="External"/><Relationship Id="rId67" Type="http://schemas.openxmlformats.org/officeDocument/2006/relationships/hyperlink" Target="https://raybould.notion.site/Elon-Musk-by-Walter-Isaacson-Sept-21-2003-B-f9aa69770992478ba56a0355093a15aa?pvs=4" TargetMode="External"/><Relationship Id="rId60" Type="http://schemas.openxmlformats.org/officeDocument/2006/relationships/hyperlink" Target="https://raybould.notion.site/The-Underground-Railroad-by-Colson-Whitehead-B-August-29-2022-4c9822bddf1b4f87b617d19c29f4618e" TargetMode="External"/><Relationship Id="rId69" Type="http://schemas.openxmlformats.org/officeDocument/2006/relationships/hyperlink" Target="https://www.notion.so/raybould/Monetizing-Innovation-by-Madhavan-Ramanujam-and-Georg-Tacke-B-Nov-12-2023-17c15cd1a622492d9bebd13006be5cd7?pvs=4" TargetMode="External"/><Relationship Id="rId51" Type="http://schemas.openxmlformats.org/officeDocument/2006/relationships/hyperlink" Target="https://www.amazon.com/Years-That-Matter-Most-College-ebook/dp/B07LC92MH2/ref=tmm_kin_swatch_0?_encoding=UTF8&amp;qid=1630817562&amp;sr=8-1" TargetMode="External"/><Relationship Id="rId50" Type="http://schemas.openxmlformats.org/officeDocument/2006/relationships/hyperlink" Target="https://www.amazon.com/Connect-Building-Exceptional-Relationships-Colleagues-ebook/dp/B0894279WZ/ref=tmm_kin_swatch_0?_encoding=UTF8&amp;qid=1630816492&amp;sr=8-1" TargetMode="External"/><Relationship Id="rId53" Type="http://schemas.openxmlformats.org/officeDocument/2006/relationships/hyperlink" Target="https://www.notion.so/raybould/The-Mom-Test-How-to-talk-to-customers-and-learn-if-your-business-is-a-good-idea-when-everybody-is-l-e0368d981a114969bc79852281b6a2ad" TargetMode="External"/><Relationship Id="rId52" Type="http://schemas.openxmlformats.org/officeDocument/2006/relationships/hyperlink" Target="https://www.notion.so/raybould/The-New-One-Minute-Manager-by-Ken-Blanchard-Spencer-Johnson-B-Oct-21-2021-9ef64821f68c43e989f5354c149e56e1" TargetMode="External"/><Relationship Id="rId55" Type="http://schemas.openxmlformats.org/officeDocument/2006/relationships/hyperlink" Target="http://will/" TargetMode="External"/><Relationship Id="rId54" Type="http://schemas.openxmlformats.org/officeDocument/2006/relationships/hyperlink" Target="https://www.notion.so/raybould/No-Hard-Feelings-The-Secret-Power-of-Embracing-Emotions-at-Work-by-Lizz-Fosslien-and-Mollie-West-Du-6ee5121b004e4c37af479c85ab019ecf" TargetMode="External"/><Relationship Id="rId57" Type="http://schemas.openxmlformats.org/officeDocument/2006/relationships/hyperlink" Target="https://www.notion.so/raybould/The-Power-of-the-Dog-by-Thomas-Savage-3-30-2022-B-a26ef4b642a2429eb620cd74f88930d4" TargetMode="External"/><Relationship Id="rId56" Type="http://schemas.openxmlformats.org/officeDocument/2006/relationships/hyperlink" Target="https://www.notion.so/raybould/The-High-Five-Habit-by-Mel-Robbins-Oct-11-2021-B-359f532b746f4b3fa24ed85349fb72a8" TargetMode="External"/><Relationship Id="rId59" Type="http://schemas.openxmlformats.org/officeDocument/2006/relationships/hyperlink" Target="https://www.amazon.com/Welcome-Dunder-Mifflin-Ultimate-History-ebook/dp/B08LDK5BJH/ref=tmm_kin_swatch_0?_encoding=UTF8&amp;qid=1659128052&amp;sr=1-1" TargetMode="External"/><Relationship Id="rId154" Type="http://schemas.openxmlformats.org/officeDocument/2006/relationships/drawing" Target="../drawings/drawing2.xml"/><Relationship Id="rId58" Type="http://schemas.openxmlformats.org/officeDocument/2006/relationships/hyperlink" Target="https://raybould.notion.site/Unbroken-A-World-War-II-Story-of-Survival-Resilience-and-Redemption-by-Laura-Hillenbrand-B-Jul-4cc3104373ff42ea906e812121d1ea80" TargetMode="External"/><Relationship Id="rId153" Type="http://schemas.openxmlformats.org/officeDocument/2006/relationships/hyperlink" Target="https://www.notion.so/raybould/Rich-Dad-Poor-Dad-What-the-Rich-Teach-Their-Kids-About-Money-That-the-Poor-and-Middle-Class-Do-Not--0c343336c9e14238a458898c90f41fcc?pvs=4" TargetMode="External"/><Relationship Id="rId152" Type="http://schemas.openxmlformats.org/officeDocument/2006/relationships/hyperlink" Target="https://raybould.notion.site/Blueprint-An-Olympian-s-Story-of-Striving-Adapting-and-Embracing-the-Suck-by-Katie-Hoff-and-Richa-0ce2e738947c4c25acf7e50393ee5d7f" TargetMode="External"/><Relationship Id="rId151" Type="http://schemas.openxmlformats.org/officeDocument/2006/relationships/hyperlink" Target="https://raybould.notion.site/Silver-Lining-by-Elizabeth-Beisel-C-Aug-22-2022-ab6e6d31602e4efb8227bb44365cdcc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2.75"/>
  <cols>
    <col customWidth="1" min="1" max="1" width="4.88"/>
    <col customWidth="1" min="2" max="2" width="7.25"/>
    <col customWidth="1" min="3" max="3" width="13.13"/>
    <col customWidth="1" min="4" max="4" width="26.25"/>
    <col customWidth="1" min="5" max="5" width="11.25"/>
    <col customWidth="1" min="6" max="6" width="7.13"/>
    <col customWidth="1" min="7" max="7" width="10.0"/>
    <col customWidth="1" min="8" max="8" width="11.5"/>
    <col customWidth="1" min="9" max="9" width="14.25"/>
    <col customWidth="1" min="10" max="10" width="7.5"/>
    <col customWidth="1" min="11" max="11" width="11.38"/>
    <col customWidth="1" min="12" max="12" width="9.88"/>
    <col customWidth="1" min="13" max="13" width="9.63"/>
    <col customWidth="1" min="14" max="14" width="4.88"/>
  </cols>
  <sheetData>
    <row r="1" ht="28.5" customHeight="1">
      <c r="A1" s="1"/>
      <c r="B1" s="1"/>
      <c r="C1" s="1"/>
      <c r="D1" s="1"/>
      <c r="E1" s="1"/>
      <c r="F1" s="2"/>
      <c r="G1" s="3"/>
      <c r="H1" s="1"/>
      <c r="I1" s="1"/>
      <c r="J1" s="1"/>
      <c r="K1" s="1"/>
      <c r="L1" s="1"/>
      <c r="M1" s="4"/>
      <c r="N1" s="1"/>
    </row>
    <row r="2" ht="30.0" customHeight="1">
      <c r="A2" s="1"/>
      <c r="B2" s="5" t="s">
        <v>0</v>
      </c>
      <c r="C2" s="5" t="s">
        <v>1</v>
      </c>
      <c r="D2" s="6" t="s">
        <v>2</v>
      </c>
      <c r="E2" s="5" t="s">
        <v>3</v>
      </c>
      <c r="F2" s="7" t="s">
        <v>4</v>
      </c>
      <c r="G2" s="6" t="s">
        <v>5</v>
      </c>
      <c r="H2" s="5" t="s">
        <v>6</v>
      </c>
      <c r="I2" s="7" t="s">
        <v>7</v>
      </c>
      <c r="J2" s="5" t="s">
        <v>8</v>
      </c>
      <c r="K2" s="8" t="s">
        <v>9</v>
      </c>
      <c r="L2" s="5" t="s">
        <v>10</v>
      </c>
      <c r="M2" s="8" t="s">
        <v>11</v>
      </c>
      <c r="N2" s="1"/>
    </row>
    <row r="3">
      <c r="A3" s="9"/>
      <c r="B3" s="10">
        <v>1.0</v>
      </c>
      <c r="C3" s="11" t="s">
        <v>12</v>
      </c>
      <c r="D3" s="12" t="str">
        <f>hyperlink("http://www.rottentomatoes.com/m/godfather/","Godfather, The")</f>
        <v>Godfather, The</v>
      </c>
      <c r="E3" s="13" t="s">
        <v>13</v>
      </c>
      <c r="F3" s="13">
        <v>20.0</v>
      </c>
      <c r="G3" s="13" t="s">
        <v>14</v>
      </c>
      <c r="H3" s="13" t="s">
        <v>15</v>
      </c>
      <c r="I3" s="13" t="s">
        <v>16</v>
      </c>
      <c r="J3" s="14">
        <v>1972.0</v>
      </c>
      <c r="K3" s="15">
        <v>1.0</v>
      </c>
      <c r="L3" s="14">
        <v>175.0</v>
      </c>
      <c r="M3" s="16">
        <f t="shared" ref="M3:M40" si="1">if(iserror(K3/L3*100),"NA",K3/L3*100)</f>
        <v>0.5714285714</v>
      </c>
      <c r="N3" s="17"/>
    </row>
    <row r="4">
      <c r="A4" s="9"/>
      <c r="B4" s="18">
        <f t="shared" ref="B4:B5" si="2">B3+1</f>
        <v>2</v>
      </c>
      <c r="C4" s="19" t="s">
        <v>12</v>
      </c>
      <c r="D4" s="20" t="str">
        <f>hyperlink("http://www.rottentomatoes.com/m/hoop_dreams/","Hoop Dreams")</f>
        <v>Hoop Dreams</v>
      </c>
      <c r="E4" s="21" t="s">
        <v>13</v>
      </c>
      <c r="F4" s="21">
        <v>20.0</v>
      </c>
      <c r="G4" s="21" t="s">
        <v>14</v>
      </c>
      <c r="H4" s="21" t="s">
        <v>17</v>
      </c>
      <c r="I4" s="21" t="s">
        <v>16</v>
      </c>
      <c r="J4" s="22">
        <v>1994.0</v>
      </c>
      <c r="K4" s="23">
        <v>0.98</v>
      </c>
      <c r="L4" s="22">
        <v>171.0</v>
      </c>
      <c r="M4" s="24">
        <f t="shared" si="1"/>
        <v>0.5730994152</v>
      </c>
      <c r="N4" s="17"/>
    </row>
    <row r="5">
      <c r="A5" s="9"/>
      <c r="B5" s="25">
        <f t="shared" si="2"/>
        <v>3</v>
      </c>
      <c r="C5" s="26" t="s">
        <v>18</v>
      </c>
      <c r="D5" s="27" t="str">
        <f>hyperlink("http://www.rottentomatoes.com/m/almost_famous/","Almost Famous")</f>
        <v>Almost Famous</v>
      </c>
      <c r="E5" s="28" t="s">
        <v>19</v>
      </c>
      <c r="F5" s="28">
        <v>19.0</v>
      </c>
      <c r="G5" s="28" t="s">
        <v>14</v>
      </c>
      <c r="H5" s="28" t="s">
        <v>20</v>
      </c>
      <c r="I5" s="28" t="s">
        <v>21</v>
      </c>
      <c r="J5" s="29">
        <v>2000.0</v>
      </c>
      <c r="K5" s="30">
        <v>0.88</v>
      </c>
      <c r="L5" s="29">
        <v>122.0</v>
      </c>
      <c r="M5" s="31">
        <f t="shared" si="1"/>
        <v>0.7213114754</v>
      </c>
      <c r="N5" s="17"/>
    </row>
    <row r="6">
      <c r="A6" s="9"/>
      <c r="B6" s="32">
        <v>4.0</v>
      </c>
      <c r="C6" s="11" t="s">
        <v>22</v>
      </c>
      <c r="D6" s="12" t="s">
        <v>23</v>
      </c>
      <c r="E6" s="33" t="s">
        <v>24</v>
      </c>
      <c r="F6" s="33">
        <v>18.0</v>
      </c>
      <c r="G6" s="13" t="s">
        <v>14</v>
      </c>
      <c r="H6" s="13" t="s">
        <v>15</v>
      </c>
      <c r="I6" s="13" t="s">
        <v>16</v>
      </c>
      <c r="J6" s="14">
        <v>1975.0</v>
      </c>
      <c r="K6" s="15">
        <v>1.0</v>
      </c>
      <c r="L6" s="14">
        <v>130.0</v>
      </c>
      <c r="M6" s="16">
        <f t="shared" si="1"/>
        <v>0.7692307692</v>
      </c>
      <c r="N6" s="17"/>
    </row>
    <row r="7">
      <c r="A7" s="9"/>
      <c r="B7" s="32">
        <v>5.0</v>
      </c>
      <c r="C7" s="11" t="s">
        <v>12</v>
      </c>
      <c r="D7" s="12" t="str">
        <f>hyperlink("https://www.rottentomatoes.com/m/goodfellas","Goodfellas")</f>
        <v>Goodfellas</v>
      </c>
      <c r="E7" s="13" t="s">
        <v>24</v>
      </c>
      <c r="F7" s="13">
        <v>18.0</v>
      </c>
      <c r="G7" s="13" t="s">
        <v>14</v>
      </c>
      <c r="H7" s="13" t="s">
        <v>15</v>
      </c>
      <c r="I7" s="13" t="s">
        <v>16</v>
      </c>
      <c r="J7" s="14">
        <v>1990.0</v>
      </c>
      <c r="K7" s="15">
        <v>0.96</v>
      </c>
      <c r="L7" s="14">
        <v>128.0</v>
      </c>
      <c r="M7" s="16">
        <f t="shared" si="1"/>
        <v>0.75</v>
      </c>
      <c r="N7" s="17"/>
    </row>
    <row r="8">
      <c r="A8" s="9"/>
      <c r="B8" s="32">
        <v>6.0</v>
      </c>
      <c r="C8" s="34">
        <v>40454.0</v>
      </c>
      <c r="D8" s="12" t="str">
        <f>hyperlink("https://www.rottentomatoes.com/m/the_social_network","Social Network, The")</f>
        <v>Social Network, The</v>
      </c>
      <c r="E8" s="33" t="s">
        <v>24</v>
      </c>
      <c r="F8" s="33">
        <v>18.0</v>
      </c>
      <c r="G8" s="35" t="str">
        <f>IF(C8&gt;40908,"2012",IF(C8&gt;40543,"2011",IF(C8&gt;40178,"2010",IF(C8&gt;=39814,"2009",IF(C8&gt;=39448,"2008",IF(C8&gt;39082,"2007",IF(C8&lt;38717,"Pre-2006","2006")))))))</f>
        <v>2010</v>
      </c>
      <c r="H8" s="13" t="s">
        <v>25</v>
      </c>
      <c r="I8" s="13" t="s">
        <v>26</v>
      </c>
      <c r="J8" s="14">
        <v>2010.0</v>
      </c>
      <c r="K8" s="15">
        <v>0.96</v>
      </c>
      <c r="L8" s="14">
        <v>120.0</v>
      </c>
      <c r="M8" s="16">
        <f t="shared" si="1"/>
        <v>0.8</v>
      </c>
      <c r="N8" s="17"/>
    </row>
    <row r="9">
      <c r="A9" s="9"/>
      <c r="B9" s="32">
        <v>7.0</v>
      </c>
      <c r="C9" s="34">
        <v>43883.0</v>
      </c>
      <c r="D9" s="12" t="str">
        <f>hyperlink("https://www.rottentomatoes.com/m/parasite_2019","Parasite")</f>
        <v>Parasite</v>
      </c>
      <c r="E9" s="33" t="s">
        <v>24</v>
      </c>
      <c r="F9" s="33">
        <v>18.0</v>
      </c>
      <c r="G9" s="36">
        <v>2020.0</v>
      </c>
      <c r="H9" s="33" t="s">
        <v>27</v>
      </c>
      <c r="I9" s="33" t="s">
        <v>26</v>
      </c>
      <c r="J9" s="37">
        <v>2019.0</v>
      </c>
      <c r="K9" s="15">
        <v>0.99</v>
      </c>
      <c r="L9" s="37">
        <v>132.0</v>
      </c>
      <c r="M9" s="16">
        <f t="shared" si="1"/>
        <v>0.75</v>
      </c>
      <c r="N9" s="17"/>
    </row>
    <row r="10">
      <c r="A10" s="9"/>
      <c r="B10" s="32">
        <v>8.0</v>
      </c>
      <c r="C10" s="11" t="s">
        <v>22</v>
      </c>
      <c r="D10" s="12" t="str">
        <f>hyperlink("https://www.rottentomatoes.com/m/stand_by_me","Stand By Me")</f>
        <v>Stand By Me</v>
      </c>
      <c r="E10" s="13" t="s">
        <v>24</v>
      </c>
      <c r="F10" s="13">
        <v>18.0</v>
      </c>
      <c r="G10" s="13" t="s">
        <v>14</v>
      </c>
      <c r="H10" s="13" t="s">
        <v>15</v>
      </c>
      <c r="I10" s="13" t="s">
        <v>16</v>
      </c>
      <c r="J10" s="14">
        <v>1986.0</v>
      </c>
      <c r="K10" s="15">
        <v>0.91</v>
      </c>
      <c r="L10" s="14">
        <v>88.0</v>
      </c>
      <c r="M10" s="16">
        <f t="shared" si="1"/>
        <v>1.034090909</v>
      </c>
      <c r="N10" s="17"/>
    </row>
    <row r="11">
      <c r="A11" s="9"/>
      <c r="B11" s="32">
        <v>9.0</v>
      </c>
      <c r="C11" s="11" t="s">
        <v>22</v>
      </c>
      <c r="D11" s="12" t="str">
        <f>hyperlink("https://www.rottentomatoes.com/m/ferris_buellers_day_off","Ferris Bueller's Day Off")</f>
        <v>Ferris Bueller's Day Off</v>
      </c>
      <c r="E11" s="33" t="s">
        <v>24</v>
      </c>
      <c r="F11" s="33">
        <v>18.0</v>
      </c>
      <c r="G11" s="13" t="s">
        <v>14</v>
      </c>
      <c r="H11" s="13" t="s">
        <v>15</v>
      </c>
      <c r="I11" s="13" t="s">
        <v>16</v>
      </c>
      <c r="J11" s="14">
        <v>1986.0</v>
      </c>
      <c r="K11" s="15">
        <v>0.84</v>
      </c>
      <c r="L11" s="14">
        <v>103.0</v>
      </c>
      <c r="M11" s="16">
        <f t="shared" si="1"/>
        <v>0.8155339806</v>
      </c>
      <c r="N11" s="17"/>
    </row>
    <row r="12">
      <c r="A12" s="9"/>
      <c r="B12" s="32">
        <v>10.0</v>
      </c>
      <c r="C12" s="11" t="s">
        <v>22</v>
      </c>
      <c r="D12" s="12" t="str">
        <f>hyperlink("https://www.rottentomatoes.com/m/back_to_the_future","Back to the Future")</f>
        <v>Back to the Future</v>
      </c>
      <c r="E12" s="13" t="s">
        <v>24</v>
      </c>
      <c r="F12" s="13">
        <v>18.0</v>
      </c>
      <c r="G12" s="13" t="s">
        <v>14</v>
      </c>
      <c r="H12" s="13" t="s">
        <v>15</v>
      </c>
      <c r="I12" s="13" t="s">
        <v>26</v>
      </c>
      <c r="J12" s="14">
        <v>1985.0</v>
      </c>
      <c r="K12" s="15">
        <v>0.95</v>
      </c>
      <c r="L12" s="14">
        <v>118.0</v>
      </c>
      <c r="M12" s="16">
        <f t="shared" si="1"/>
        <v>0.8050847458</v>
      </c>
      <c r="N12" s="17"/>
    </row>
    <row r="13">
      <c r="A13" s="9"/>
      <c r="B13" s="38">
        <f t="shared" ref="B13:B26" si="3">B12+1</f>
        <v>11</v>
      </c>
      <c r="C13" s="11" t="s">
        <v>12</v>
      </c>
      <c r="D13" s="12" t="str">
        <f>hyperlink("https://www.rottentomatoes.com/m/1000013_12_angry_men","12 Angry Men")</f>
        <v>12 Angry Men</v>
      </c>
      <c r="E13" s="13" t="s">
        <v>24</v>
      </c>
      <c r="F13" s="13">
        <v>18.0</v>
      </c>
      <c r="G13" s="13" t="s">
        <v>14</v>
      </c>
      <c r="H13" s="13" t="s">
        <v>15</v>
      </c>
      <c r="I13" s="13" t="s">
        <v>16</v>
      </c>
      <c r="J13" s="14">
        <v>1957.0</v>
      </c>
      <c r="K13" s="15">
        <v>1.0</v>
      </c>
      <c r="L13" s="14">
        <v>96.0</v>
      </c>
      <c r="M13" s="16">
        <f t="shared" si="1"/>
        <v>1.041666667</v>
      </c>
      <c r="N13" s="17"/>
    </row>
    <row r="14">
      <c r="A14" s="9"/>
      <c r="B14" s="38">
        <f t="shared" si="3"/>
        <v>12</v>
      </c>
      <c r="C14" s="34">
        <v>37417.0</v>
      </c>
      <c r="D14" s="12" t="str">
        <f>hyperlink("https://www.rottentomatoes.com/m/about_a_boy","About A Boy")</f>
        <v>About A Boy</v>
      </c>
      <c r="E14" s="13" t="s">
        <v>24</v>
      </c>
      <c r="F14" s="13">
        <v>18.0</v>
      </c>
      <c r="G14" s="35" t="str">
        <f t="shared" ref="G14:G15" si="4">IF(C14&gt;40908,"2012",IF(C14&gt;40543,"2011",IF(C14&gt;40178,"2010",IF(C14&gt;=39814,"2009",IF(C14&gt;=39448,"2008",IF(C14&gt;39082,"2007",IF(C14&lt;38717,"Pre-2006","2006")))))))</f>
        <v>Pre-2006</v>
      </c>
      <c r="H14" s="13" t="s">
        <v>15</v>
      </c>
      <c r="I14" s="13" t="s">
        <v>26</v>
      </c>
      <c r="J14" s="14">
        <v>2002.0</v>
      </c>
      <c r="K14" s="15">
        <v>0.94</v>
      </c>
      <c r="L14" s="14">
        <v>102.0</v>
      </c>
      <c r="M14" s="16">
        <f t="shared" si="1"/>
        <v>0.9215686275</v>
      </c>
      <c r="N14" s="17"/>
    </row>
    <row r="15">
      <c r="A15" s="9"/>
      <c r="B15" s="38">
        <f t="shared" si="3"/>
        <v>13</v>
      </c>
      <c r="C15" s="34">
        <v>39465.0</v>
      </c>
      <c r="D15" s="12" t="str">
        <f>hyperlink("https://www.rottentomatoes.com/m/1000619_all_about_eve","All About Eve")</f>
        <v>All About Eve</v>
      </c>
      <c r="E15" s="13" t="s">
        <v>24</v>
      </c>
      <c r="F15" s="13">
        <v>18.0</v>
      </c>
      <c r="G15" s="35" t="str">
        <f t="shared" si="4"/>
        <v>2008</v>
      </c>
      <c r="H15" s="13" t="s">
        <v>17</v>
      </c>
      <c r="I15" s="13" t="s">
        <v>21</v>
      </c>
      <c r="J15" s="14">
        <v>1950.0</v>
      </c>
      <c r="K15" s="15">
        <v>1.0</v>
      </c>
      <c r="L15" s="14">
        <v>140.0</v>
      </c>
      <c r="M15" s="16">
        <f t="shared" si="1"/>
        <v>0.7142857143</v>
      </c>
      <c r="N15" s="17"/>
    </row>
    <row r="16">
      <c r="A16" s="9"/>
      <c r="B16" s="38">
        <f t="shared" si="3"/>
        <v>14</v>
      </c>
      <c r="C16" s="11" t="s">
        <v>12</v>
      </c>
      <c r="D16" s="12" t="str">
        <f>hyperlink("https://www.rottentomatoes.com/m/american_president","American President, The")</f>
        <v>American President, The</v>
      </c>
      <c r="E16" s="13" t="s">
        <v>24</v>
      </c>
      <c r="F16" s="13">
        <v>18.0</v>
      </c>
      <c r="G16" s="13" t="s">
        <v>14</v>
      </c>
      <c r="H16" s="13" t="s">
        <v>28</v>
      </c>
      <c r="I16" s="13" t="s">
        <v>26</v>
      </c>
      <c r="J16" s="14">
        <v>1995.0</v>
      </c>
      <c r="K16" s="15">
        <v>0.89</v>
      </c>
      <c r="L16" s="14">
        <v>116.0</v>
      </c>
      <c r="M16" s="16">
        <f t="shared" si="1"/>
        <v>0.7672413793</v>
      </c>
      <c r="N16" s="17"/>
    </row>
    <row r="17">
      <c r="A17" s="9"/>
      <c r="B17" s="38">
        <f t="shared" si="3"/>
        <v>15</v>
      </c>
      <c r="C17" s="34">
        <v>37252.0</v>
      </c>
      <c r="D17" s="12" t="str">
        <f>hyperlink("https://www.rottentomatoes.com/m/beautiful_mind","Beautiful Mind, A")</f>
        <v>Beautiful Mind, A</v>
      </c>
      <c r="E17" s="13" t="s">
        <v>24</v>
      </c>
      <c r="F17" s="13">
        <v>18.0</v>
      </c>
      <c r="G17" s="35" t="str">
        <f>IF(C17&gt;40908,"2012",IF(C17&gt;40543,"2011",IF(C17&gt;40178,"2010",IF(C17&gt;=39814,"2009",IF(C17&gt;=39448,"2008",IF(C17&gt;39082,"2007",IF(C17&lt;38717,"Pre-2006","2006")))))))</f>
        <v>Pre-2006</v>
      </c>
      <c r="H17" s="13" t="s">
        <v>29</v>
      </c>
      <c r="I17" s="13" t="s">
        <v>26</v>
      </c>
      <c r="J17" s="14">
        <v>2001.0</v>
      </c>
      <c r="K17" s="15">
        <v>0.78</v>
      </c>
      <c r="L17" s="14">
        <v>136.0</v>
      </c>
      <c r="M17" s="16">
        <f t="shared" si="1"/>
        <v>0.5735294118</v>
      </c>
      <c r="N17" s="17"/>
    </row>
    <row r="18">
      <c r="A18" s="9"/>
      <c r="B18" s="38">
        <f t="shared" si="3"/>
        <v>16</v>
      </c>
      <c r="C18" s="11" t="s">
        <v>30</v>
      </c>
      <c r="D18" s="12" t="str">
        <f>hyperlink("https://www.rottentomatoes.com/m/braveheart","Braveheart")</f>
        <v>Braveheart</v>
      </c>
      <c r="E18" s="13" t="s">
        <v>24</v>
      </c>
      <c r="F18" s="13">
        <v>18.0</v>
      </c>
      <c r="G18" s="13" t="s">
        <v>14</v>
      </c>
      <c r="H18" s="13" t="s">
        <v>28</v>
      </c>
      <c r="I18" s="13" t="s">
        <v>16</v>
      </c>
      <c r="J18" s="14">
        <v>1995.0</v>
      </c>
      <c r="K18" s="15">
        <v>0.76</v>
      </c>
      <c r="L18" s="14">
        <v>177.0</v>
      </c>
      <c r="M18" s="16">
        <f t="shared" si="1"/>
        <v>0.4293785311</v>
      </c>
      <c r="N18" s="17"/>
    </row>
    <row r="19">
      <c r="A19" s="9"/>
      <c r="B19" s="38">
        <f t="shared" si="3"/>
        <v>17</v>
      </c>
      <c r="C19" s="11" t="s">
        <v>31</v>
      </c>
      <c r="D19" s="12" t="str">
        <f>hyperlink("https://www.rottentomatoes.com/m/forrest_gump","Forrest Gump")</f>
        <v>Forrest Gump</v>
      </c>
      <c r="E19" s="13" t="s">
        <v>24</v>
      </c>
      <c r="F19" s="13">
        <v>18.0</v>
      </c>
      <c r="G19" s="13" t="s">
        <v>14</v>
      </c>
      <c r="H19" s="13" t="s">
        <v>17</v>
      </c>
      <c r="I19" s="13" t="s">
        <v>26</v>
      </c>
      <c r="J19" s="14">
        <v>1994.0</v>
      </c>
      <c r="K19" s="15">
        <v>0.72</v>
      </c>
      <c r="L19" s="14">
        <v>157.0</v>
      </c>
      <c r="M19" s="16">
        <f t="shared" si="1"/>
        <v>0.4585987261</v>
      </c>
      <c r="N19" s="17"/>
    </row>
    <row r="20">
      <c r="A20" s="1"/>
      <c r="B20" s="38">
        <f t="shared" si="3"/>
        <v>18</v>
      </c>
      <c r="C20" s="34">
        <v>38997.0</v>
      </c>
      <c r="D20" s="12" t="str">
        <f>hyperlink("http://www.rottentomatoes.com/m/mystic_river/","Mystic River")</f>
        <v>Mystic River</v>
      </c>
      <c r="E20" s="33" t="s">
        <v>24</v>
      </c>
      <c r="F20" s="33">
        <v>18.0</v>
      </c>
      <c r="G20" s="13" t="s">
        <v>32</v>
      </c>
      <c r="H20" s="13" t="s">
        <v>17</v>
      </c>
      <c r="I20" s="13" t="s">
        <v>21</v>
      </c>
      <c r="J20" s="13">
        <v>2003.0</v>
      </c>
      <c r="K20" s="39">
        <v>0.87</v>
      </c>
      <c r="L20" s="14">
        <v>137.0</v>
      </c>
      <c r="M20" s="16">
        <f t="shared" si="1"/>
        <v>0.6350364964</v>
      </c>
      <c r="N20" s="1"/>
    </row>
    <row r="21">
      <c r="A21" s="9"/>
      <c r="B21" s="32">
        <f t="shared" si="3"/>
        <v>19</v>
      </c>
      <c r="C21" s="11" t="s">
        <v>12</v>
      </c>
      <c r="D21" s="12" t="str">
        <f>hyperlink("https://www.rottentomatoes.com/m/philadelphia_story","Philadelphia Story, The")</f>
        <v>Philadelphia Story, The</v>
      </c>
      <c r="E21" s="13" t="s">
        <v>24</v>
      </c>
      <c r="F21" s="13">
        <v>18.0</v>
      </c>
      <c r="G21" s="13" t="s">
        <v>14</v>
      </c>
      <c r="H21" s="13" t="s">
        <v>15</v>
      </c>
      <c r="I21" s="13" t="s">
        <v>16</v>
      </c>
      <c r="J21" s="14">
        <v>1940.0</v>
      </c>
      <c r="K21" s="15">
        <v>1.0</v>
      </c>
      <c r="L21" s="14">
        <v>176.0</v>
      </c>
      <c r="M21" s="16">
        <f t="shared" si="1"/>
        <v>0.5681818182</v>
      </c>
      <c r="N21" s="17"/>
    </row>
    <row r="22">
      <c r="A22" s="9"/>
      <c r="B22" s="38">
        <f t="shared" si="3"/>
        <v>20</v>
      </c>
      <c r="C22" s="11" t="s">
        <v>12</v>
      </c>
      <c r="D22" s="12" t="str">
        <f>hyperlink("https://www.rottentomatoes.com/m/shawshank_redemption","Shawshank Redemption, The")</f>
        <v>Shawshank Redemption, The</v>
      </c>
      <c r="E22" s="13" t="s">
        <v>24</v>
      </c>
      <c r="F22" s="13">
        <v>18.0</v>
      </c>
      <c r="G22" s="13" t="s">
        <v>14</v>
      </c>
      <c r="H22" s="13" t="s">
        <v>25</v>
      </c>
      <c r="I22" s="13" t="s">
        <v>21</v>
      </c>
      <c r="J22" s="14">
        <v>1994.0</v>
      </c>
      <c r="K22" s="15">
        <v>0.89</v>
      </c>
      <c r="L22" s="14">
        <v>145.0</v>
      </c>
      <c r="M22" s="16">
        <f t="shared" si="1"/>
        <v>0.6137931034</v>
      </c>
      <c r="N22" s="17"/>
    </row>
    <row r="23">
      <c r="A23" s="9"/>
      <c r="B23" s="18">
        <f t="shared" si="3"/>
        <v>21</v>
      </c>
      <c r="C23" s="19" t="s">
        <v>12</v>
      </c>
      <c r="D23" s="20" t="str">
        <f>hyperlink("https://www.rottentomatoes.com/m/sting","Sting, The")</f>
        <v>Sting, The</v>
      </c>
      <c r="E23" s="21" t="s">
        <v>24</v>
      </c>
      <c r="F23" s="21">
        <v>18.0</v>
      </c>
      <c r="G23" s="21" t="s">
        <v>14</v>
      </c>
      <c r="H23" s="21" t="s">
        <v>15</v>
      </c>
      <c r="I23" s="21" t="s">
        <v>16</v>
      </c>
      <c r="J23" s="22">
        <v>1974.0</v>
      </c>
      <c r="K23" s="23">
        <v>0.91</v>
      </c>
      <c r="L23" s="22">
        <v>130.0</v>
      </c>
      <c r="M23" s="24">
        <f t="shared" si="1"/>
        <v>0.7</v>
      </c>
      <c r="N23" s="17"/>
    </row>
    <row r="24">
      <c r="A24" s="9"/>
      <c r="B24" s="40">
        <f t="shared" si="3"/>
        <v>22</v>
      </c>
      <c r="C24" s="41">
        <v>39704.0</v>
      </c>
      <c r="D24" s="42" t="s">
        <v>33</v>
      </c>
      <c r="E24" s="43" t="s">
        <v>34</v>
      </c>
      <c r="F24" s="43">
        <v>17.0</v>
      </c>
      <c r="G24" s="44" t="str">
        <f>IF(C24&gt;40908,"2012",IF(C24&gt;40543,"2011",IF(C24&gt;40178,"2010",IF(C24&gt;=39814,"2009",IF(C24&gt;=39448,"2008",IF(C24&gt;39082,"2007",IF(C24&lt;38717,"Pre-2006","2006")))))))</f>
        <v>2008</v>
      </c>
      <c r="H24" s="43" t="s">
        <v>35</v>
      </c>
      <c r="I24" s="43" t="s">
        <v>26</v>
      </c>
      <c r="J24" s="45">
        <v>2008.0</v>
      </c>
      <c r="K24" s="46">
        <v>0.78</v>
      </c>
      <c r="L24" s="45">
        <v>96.0</v>
      </c>
      <c r="M24" s="47">
        <f t="shared" si="1"/>
        <v>0.8125</v>
      </c>
      <c r="N24" s="17"/>
    </row>
    <row r="25">
      <c r="A25" s="9"/>
      <c r="B25" s="38">
        <f t="shared" si="3"/>
        <v>23</v>
      </c>
      <c r="C25" s="11" t="s">
        <v>12</v>
      </c>
      <c r="D25" s="48" t="s">
        <v>36</v>
      </c>
      <c r="E25" s="13" t="s">
        <v>34</v>
      </c>
      <c r="F25" s="13">
        <v>17.0</v>
      </c>
      <c r="G25" s="13" t="s">
        <v>14</v>
      </c>
      <c r="H25" s="13" t="s">
        <v>37</v>
      </c>
      <c r="I25" s="13" t="s">
        <v>16</v>
      </c>
      <c r="J25" s="14">
        <v>1978.0</v>
      </c>
      <c r="K25" s="15">
        <v>0.91</v>
      </c>
      <c r="L25" s="14">
        <v>183.0</v>
      </c>
      <c r="M25" s="16">
        <f t="shared" si="1"/>
        <v>0.4972677596</v>
      </c>
      <c r="N25" s="17"/>
    </row>
    <row r="26">
      <c r="A26" s="9"/>
      <c r="B26" s="38">
        <f t="shared" si="3"/>
        <v>24</v>
      </c>
      <c r="C26" s="11" t="s">
        <v>12</v>
      </c>
      <c r="D26" s="48" t="s">
        <v>38</v>
      </c>
      <c r="E26" s="13" t="s">
        <v>34</v>
      </c>
      <c r="F26" s="13">
        <v>17.0</v>
      </c>
      <c r="G26" s="13" t="s">
        <v>14</v>
      </c>
      <c r="H26" s="13" t="s">
        <v>15</v>
      </c>
      <c r="I26" s="13" t="s">
        <v>16</v>
      </c>
      <c r="J26" s="14">
        <v>1974.0</v>
      </c>
      <c r="K26" s="15">
        <v>0.98</v>
      </c>
      <c r="L26" s="14">
        <v>200.0</v>
      </c>
      <c r="M26" s="16">
        <f t="shared" si="1"/>
        <v>0.49</v>
      </c>
      <c r="N26" s="17"/>
    </row>
    <row r="27">
      <c r="A27" s="9"/>
      <c r="B27" s="38">
        <f t="shared" ref="B27:B1139" si="5">B26+1</f>
        <v>25</v>
      </c>
      <c r="C27" s="11" t="s">
        <v>12</v>
      </c>
      <c r="D27" s="48" t="s">
        <v>39</v>
      </c>
      <c r="E27" s="13" t="s">
        <v>34</v>
      </c>
      <c r="F27" s="13">
        <v>17.0</v>
      </c>
      <c r="G27" s="13" t="s">
        <v>14</v>
      </c>
      <c r="H27" s="13" t="s">
        <v>15</v>
      </c>
      <c r="I27" s="13" t="s">
        <v>16</v>
      </c>
      <c r="J27" s="14">
        <v>1940.0</v>
      </c>
      <c r="K27" s="15">
        <v>1.0</v>
      </c>
      <c r="L27" s="14">
        <v>129.0</v>
      </c>
      <c r="M27" s="16">
        <f t="shared" si="1"/>
        <v>0.7751937984</v>
      </c>
      <c r="N27" s="17"/>
    </row>
    <row r="28">
      <c r="A28" s="9"/>
      <c r="B28" s="38">
        <f t="shared" si="5"/>
        <v>26</v>
      </c>
      <c r="C28" s="34">
        <v>38777.0</v>
      </c>
      <c r="D28" s="48" t="s">
        <v>40</v>
      </c>
      <c r="E28" s="13" t="s">
        <v>34</v>
      </c>
      <c r="F28" s="13">
        <v>17.0</v>
      </c>
      <c r="G28" s="35" t="str">
        <f t="shared" ref="G28:G29" si="6">IF(C28&gt;40908,"2012",IF(C28&gt;40543,"2011",IF(C28&gt;40178,"2010",IF(C28&gt;=39814,"2009",IF(C28&gt;=39448,"2008",IF(C28&gt;39082,"2007",IF(C28&lt;38717,"Pre-2006","2006")))))))</f>
        <v>2006</v>
      </c>
      <c r="H28" s="13" t="s">
        <v>27</v>
      </c>
      <c r="I28" s="13" t="s">
        <v>21</v>
      </c>
      <c r="J28" s="14">
        <v>2004.0</v>
      </c>
      <c r="K28" s="15">
        <v>0.83</v>
      </c>
      <c r="L28" s="14">
        <v>110.0</v>
      </c>
      <c r="M28" s="16">
        <f t="shared" si="1"/>
        <v>0.7545454545</v>
      </c>
      <c r="N28" s="17"/>
    </row>
    <row r="29">
      <c r="A29" s="9"/>
      <c r="B29" s="38">
        <f t="shared" si="5"/>
        <v>27</v>
      </c>
      <c r="C29" s="34">
        <v>40374.0</v>
      </c>
      <c r="D29" s="48" t="s">
        <v>41</v>
      </c>
      <c r="E29" s="13" t="s">
        <v>34</v>
      </c>
      <c r="F29" s="13">
        <v>17.0</v>
      </c>
      <c r="G29" s="35" t="str">
        <f t="shared" si="6"/>
        <v>2010</v>
      </c>
      <c r="H29" s="13" t="s">
        <v>25</v>
      </c>
      <c r="I29" s="13" t="s">
        <v>26</v>
      </c>
      <c r="J29" s="14">
        <v>2010.0</v>
      </c>
      <c r="K29" s="15">
        <v>0.86</v>
      </c>
      <c r="L29" s="14">
        <v>148.0</v>
      </c>
      <c r="M29" s="16">
        <f t="shared" si="1"/>
        <v>0.5810810811</v>
      </c>
      <c r="N29" s="17"/>
    </row>
    <row r="30">
      <c r="A30" s="9"/>
      <c r="B30" s="38">
        <f t="shared" si="5"/>
        <v>28</v>
      </c>
      <c r="C30" s="11" t="s">
        <v>22</v>
      </c>
      <c r="D30" s="48" t="s">
        <v>42</v>
      </c>
      <c r="E30" s="13" t="s">
        <v>34</v>
      </c>
      <c r="F30" s="13">
        <v>17.0</v>
      </c>
      <c r="G30" s="13" t="s">
        <v>14</v>
      </c>
      <c r="H30" s="13" t="s">
        <v>15</v>
      </c>
      <c r="I30" s="13" t="s">
        <v>26</v>
      </c>
      <c r="J30" s="14">
        <v>1989.0</v>
      </c>
      <c r="K30" s="15">
        <v>0.89</v>
      </c>
      <c r="L30" s="14">
        <v>126.0</v>
      </c>
      <c r="M30" s="16">
        <f t="shared" si="1"/>
        <v>0.7063492063</v>
      </c>
      <c r="N30" s="17"/>
    </row>
    <row r="31">
      <c r="A31" s="9"/>
      <c r="B31" s="38">
        <f t="shared" si="5"/>
        <v>29</v>
      </c>
      <c r="C31" s="34">
        <v>39150.0</v>
      </c>
      <c r="D31" s="48" t="s">
        <v>43</v>
      </c>
      <c r="E31" s="13" t="s">
        <v>34</v>
      </c>
      <c r="F31" s="13">
        <v>17.0</v>
      </c>
      <c r="G31" s="35" t="str">
        <f>IF(C31&gt;40908,"2012",IF(C31&gt;40543,"2011",IF(C31&gt;40178,"2010",IF(C31&gt;=39814,"2009",IF(C31&gt;=39448,"2008",IF(C31&gt;39082,"2007",IF(C31&lt;38717,"Pre-2006","2006")))))))</f>
        <v>2007</v>
      </c>
      <c r="H31" s="13" t="s">
        <v>17</v>
      </c>
      <c r="I31" s="13" t="s">
        <v>26</v>
      </c>
      <c r="J31" s="14">
        <v>2006.0</v>
      </c>
      <c r="K31" s="15">
        <v>0.87</v>
      </c>
      <c r="L31" s="14">
        <v>123.0</v>
      </c>
      <c r="M31" s="16">
        <f t="shared" si="1"/>
        <v>0.7073170732</v>
      </c>
      <c r="N31" s="17"/>
    </row>
    <row r="32">
      <c r="A32" s="9"/>
      <c r="B32" s="38">
        <f t="shared" si="5"/>
        <v>30</v>
      </c>
      <c r="C32" s="11" t="s">
        <v>12</v>
      </c>
      <c r="D32" s="48" t="s">
        <v>44</v>
      </c>
      <c r="E32" s="13" t="s">
        <v>34</v>
      </c>
      <c r="F32" s="13">
        <v>17.0</v>
      </c>
      <c r="G32" s="13" t="s">
        <v>14</v>
      </c>
      <c r="H32" s="13" t="s">
        <v>15</v>
      </c>
      <c r="I32" s="13" t="s">
        <v>16</v>
      </c>
      <c r="J32" s="14">
        <v>1970.0</v>
      </c>
      <c r="K32" s="15">
        <v>0.97</v>
      </c>
      <c r="L32" s="14">
        <v>171.0</v>
      </c>
      <c r="M32" s="16">
        <f t="shared" si="1"/>
        <v>0.567251462</v>
      </c>
      <c r="N32" s="17"/>
    </row>
    <row r="33">
      <c r="A33" s="9"/>
      <c r="B33" s="38">
        <f t="shared" si="5"/>
        <v>31</v>
      </c>
      <c r="C33" s="11" t="s">
        <v>22</v>
      </c>
      <c r="D33" s="48" t="s">
        <v>45</v>
      </c>
      <c r="E33" s="13" t="s">
        <v>34</v>
      </c>
      <c r="F33" s="13">
        <v>17.0</v>
      </c>
      <c r="G33" s="13" t="s">
        <v>14</v>
      </c>
      <c r="H33" s="13" t="s">
        <v>15</v>
      </c>
      <c r="I33" s="13" t="s">
        <v>26</v>
      </c>
      <c r="J33" s="14">
        <v>1980.0</v>
      </c>
      <c r="K33" s="15">
        <v>0.97</v>
      </c>
      <c r="L33" s="14">
        <v>124.0</v>
      </c>
      <c r="M33" s="16">
        <f t="shared" si="1"/>
        <v>0.7822580645</v>
      </c>
      <c r="N33" s="17"/>
    </row>
    <row r="34">
      <c r="A34" s="9"/>
      <c r="B34" s="18">
        <f t="shared" si="5"/>
        <v>32</v>
      </c>
      <c r="C34" s="49">
        <v>39964.0</v>
      </c>
      <c r="D34" s="50" t="s">
        <v>46</v>
      </c>
      <c r="E34" s="21" t="s">
        <v>34</v>
      </c>
      <c r="F34" s="21">
        <v>17.0</v>
      </c>
      <c r="G34" s="51" t="str">
        <f>IF(C34&gt;40908,"2012",IF(C34&gt;40543,"2011",IF(C34&gt;40178,"2010",IF(C34&gt;=39814,"2009",IF(C34&gt;=39448,"2008",IF(C34&gt;39082,"2007",IF(C34&lt;38717,"Pre-2006","2006")))))))</f>
        <v>2009</v>
      </c>
      <c r="H34" s="21" t="s">
        <v>27</v>
      </c>
      <c r="I34" s="21" t="s">
        <v>47</v>
      </c>
      <c r="J34" s="22">
        <v>2009.0</v>
      </c>
      <c r="K34" s="23">
        <v>0.98</v>
      </c>
      <c r="L34" s="22">
        <v>96.0</v>
      </c>
      <c r="M34" s="24">
        <f t="shared" si="1"/>
        <v>1.020833333</v>
      </c>
      <c r="N34" s="17"/>
    </row>
    <row r="35">
      <c r="A35" s="9"/>
      <c r="B35" s="40">
        <f t="shared" si="5"/>
        <v>33</v>
      </c>
      <c r="C35" s="52" t="s">
        <v>22</v>
      </c>
      <c r="D35" s="42" t="s">
        <v>48</v>
      </c>
      <c r="E35" s="43" t="s">
        <v>49</v>
      </c>
      <c r="F35" s="43">
        <v>16.0</v>
      </c>
      <c r="G35" s="43" t="s">
        <v>14</v>
      </c>
      <c r="H35" s="43" t="s">
        <v>15</v>
      </c>
      <c r="I35" s="43" t="s">
        <v>26</v>
      </c>
      <c r="J35" s="53">
        <v>1987.0</v>
      </c>
      <c r="K35" s="54">
        <v>0.77</v>
      </c>
      <c r="L35" s="45">
        <v>102.0</v>
      </c>
      <c r="M35" s="47">
        <f t="shared" si="1"/>
        <v>0.7549019608</v>
      </c>
      <c r="N35" s="17"/>
    </row>
    <row r="36">
      <c r="A36" s="9"/>
      <c r="B36" s="38">
        <f t="shared" si="5"/>
        <v>34</v>
      </c>
      <c r="C36" s="11" t="s">
        <v>12</v>
      </c>
      <c r="D36" s="48" t="s">
        <v>50</v>
      </c>
      <c r="E36" s="13" t="s">
        <v>49</v>
      </c>
      <c r="F36" s="13">
        <v>16.0</v>
      </c>
      <c r="G36" s="13" t="s">
        <v>14</v>
      </c>
      <c r="H36" s="13" t="s">
        <v>15</v>
      </c>
      <c r="I36" s="13" t="s">
        <v>16</v>
      </c>
      <c r="J36" s="55">
        <v>1998.0</v>
      </c>
      <c r="K36" s="56">
        <v>0.81</v>
      </c>
      <c r="L36" s="14">
        <v>118.0</v>
      </c>
      <c r="M36" s="16">
        <f t="shared" si="1"/>
        <v>0.686440678</v>
      </c>
      <c r="N36" s="17"/>
    </row>
    <row r="37">
      <c r="A37" s="9"/>
      <c r="B37" s="38">
        <f t="shared" si="5"/>
        <v>35</v>
      </c>
      <c r="C37" s="34">
        <v>41635.0</v>
      </c>
      <c r="D37" s="48" t="s">
        <v>51</v>
      </c>
      <c r="E37" s="13" t="s">
        <v>49</v>
      </c>
      <c r="F37" s="13">
        <v>16.0</v>
      </c>
      <c r="G37" s="13">
        <v>2013.0</v>
      </c>
      <c r="H37" s="13" t="s">
        <v>29</v>
      </c>
      <c r="I37" s="13" t="s">
        <v>26</v>
      </c>
      <c r="J37" s="55">
        <v>2013.0</v>
      </c>
      <c r="K37" s="56">
        <v>0.93</v>
      </c>
      <c r="L37" s="14">
        <v>139.0</v>
      </c>
      <c r="M37" s="16">
        <f t="shared" si="1"/>
        <v>0.6690647482</v>
      </c>
      <c r="N37" s="17"/>
    </row>
    <row r="38">
      <c r="A38" s="9"/>
      <c r="B38" s="38">
        <f t="shared" si="5"/>
        <v>36</v>
      </c>
      <c r="C38" s="11" t="s">
        <v>18</v>
      </c>
      <c r="D38" s="48" t="s">
        <v>52</v>
      </c>
      <c r="E38" s="13" t="s">
        <v>49</v>
      </c>
      <c r="F38" s="13">
        <v>16.0</v>
      </c>
      <c r="G38" s="13" t="s">
        <v>14</v>
      </c>
      <c r="H38" s="13" t="s">
        <v>27</v>
      </c>
      <c r="I38" s="13" t="s">
        <v>26</v>
      </c>
      <c r="J38" s="55">
        <v>2005.0</v>
      </c>
      <c r="K38" s="56">
        <v>0.85</v>
      </c>
      <c r="L38" s="14">
        <v>140.0</v>
      </c>
      <c r="M38" s="16">
        <f t="shared" si="1"/>
        <v>0.6071428571</v>
      </c>
      <c r="N38" s="17"/>
    </row>
    <row r="39">
      <c r="A39" s="9"/>
      <c r="B39" s="38">
        <f t="shared" si="5"/>
        <v>37</v>
      </c>
      <c r="C39" s="11" t="s">
        <v>12</v>
      </c>
      <c r="D39" s="48" t="s">
        <v>53</v>
      </c>
      <c r="E39" s="13" t="s">
        <v>49</v>
      </c>
      <c r="F39" s="13">
        <v>16.0</v>
      </c>
      <c r="G39" s="13" t="s">
        <v>14</v>
      </c>
      <c r="H39" s="13" t="s">
        <v>15</v>
      </c>
      <c r="I39" s="13" t="s">
        <v>16</v>
      </c>
      <c r="J39" s="55">
        <v>1987.0</v>
      </c>
      <c r="K39" s="56">
        <v>0.86</v>
      </c>
      <c r="L39" s="14">
        <v>113.0</v>
      </c>
      <c r="M39" s="16">
        <f t="shared" si="1"/>
        <v>0.7610619469</v>
      </c>
      <c r="N39" s="17"/>
    </row>
    <row r="40">
      <c r="A40" s="9"/>
      <c r="B40" s="38">
        <f t="shared" si="5"/>
        <v>38</v>
      </c>
      <c r="C40" s="11" t="s">
        <v>22</v>
      </c>
      <c r="D40" s="48" t="s">
        <v>54</v>
      </c>
      <c r="E40" s="13" t="s">
        <v>49</v>
      </c>
      <c r="F40" s="13">
        <v>16.0</v>
      </c>
      <c r="G40" s="13" t="s">
        <v>14</v>
      </c>
      <c r="H40" s="13" t="s">
        <v>26</v>
      </c>
      <c r="I40" s="13" t="s">
        <v>17</v>
      </c>
      <c r="J40" s="55">
        <v>1988.0</v>
      </c>
      <c r="K40" s="56">
        <v>0.96</v>
      </c>
      <c r="L40" s="14">
        <v>98.0</v>
      </c>
      <c r="M40" s="16">
        <f t="shared" si="1"/>
        <v>0.9795918367</v>
      </c>
      <c r="N40" s="17"/>
    </row>
    <row r="41">
      <c r="A41" s="9"/>
      <c r="B41" s="38">
        <f t="shared" si="5"/>
        <v>39</v>
      </c>
      <c r="C41" s="34">
        <v>42406.0</v>
      </c>
      <c r="D41" s="12" t="str">
        <f>hyperlink("http://www.rottentomatoes.com/m/the_big_short/?search=the%20big%20short","Big Short, The")</f>
        <v>Big Short, The</v>
      </c>
      <c r="E41" s="33" t="s">
        <v>49</v>
      </c>
      <c r="F41" s="33">
        <v>16.0</v>
      </c>
      <c r="G41" s="36">
        <v>2016.0</v>
      </c>
      <c r="H41" s="33" t="s">
        <v>26</v>
      </c>
      <c r="I41" s="33" t="s">
        <v>25</v>
      </c>
      <c r="J41" s="37">
        <v>2015.0</v>
      </c>
      <c r="K41" s="15">
        <v>0.88</v>
      </c>
      <c r="L41" s="37">
        <v>130.0</v>
      </c>
      <c r="M41" s="16">
        <f>K41/L41*100</f>
        <v>0.6769230769</v>
      </c>
      <c r="N41" s="17"/>
    </row>
    <row r="42">
      <c r="A42" s="9"/>
      <c r="B42" s="38">
        <f t="shared" si="5"/>
        <v>40</v>
      </c>
      <c r="C42" s="34">
        <v>40678.0</v>
      </c>
      <c r="D42" s="48" t="s">
        <v>55</v>
      </c>
      <c r="E42" s="13" t="s">
        <v>49</v>
      </c>
      <c r="F42" s="13">
        <v>16.0</v>
      </c>
      <c r="G42" s="35" t="str">
        <f t="shared" ref="G42:G43" si="7">IF(C42&gt;40908,"2012",IF(C42&gt;40543,"2011",IF(C42&gt;40178,"2010",IF(C42&gt;=39814,"2009",IF(C42&gt;=39448,"2008",IF(C42&gt;39082,"2007",IF(C42&lt;38717,"Pre-2006","2006")))))))</f>
        <v>2011</v>
      </c>
      <c r="H42" s="13" t="s">
        <v>25</v>
      </c>
      <c r="I42" s="13" t="s">
        <v>47</v>
      </c>
      <c r="J42" s="14">
        <v>2010.0</v>
      </c>
      <c r="K42" s="15">
        <v>0.87</v>
      </c>
      <c r="L42" s="14">
        <v>108.0</v>
      </c>
      <c r="M42" s="16">
        <f t="shared" ref="M42:M45" si="8">if(iserror(K42/L42*100),"NA",K42/L42*100)</f>
        <v>0.8055555556</v>
      </c>
      <c r="N42" s="17"/>
    </row>
    <row r="43">
      <c r="A43" s="9"/>
      <c r="B43" s="38">
        <f t="shared" si="5"/>
        <v>41</v>
      </c>
      <c r="C43" s="34">
        <v>39298.0</v>
      </c>
      <c r="D43" s="48" t="s">
        <v>56</v>
      </c>
      <c r="E43" s="13" t="s">
        <v>49</v>
      </c>
      <c r="F43" s="13">
        <v>16.0</v>
      </c>
      <c r="G43" s="35" t="str">
        <f t="shared" si="7"/>
        <v>2007</v>
      </c>
      <c r="H43" s="13" t="s">
        <v>17</v>
      </c>
      <c r="I43" s="13" t="s">
        <v>26</v>
      </c>
      <c r="J43" s="55">
        <v>2007.0</v>
      </c>
      <c r="K43" s="56">
        <v>0.94</v>
      </c>
      <c r="L43" s="14">
        <v>115.0</v>
      </c>
      <c r="M43" s="16">
        <f t="shared" si="8"/>
        <v>0.8173913043</v>
      </c>
      <c r="N43" s="17"/>
    </row>
    <row r="44">
      <c r="A44" s="9"/>
      <c r="B44" s="38">
        <f t="shared" si="5"/>
        <v>42</v>
      </c>
      <c r="C44" s="34">
        <v>41839.0</v>
      </c>
      <c r="D44" s="12" t="str">
        <f>hyperlink("http://www.rottentomatoes.com/m/boyhood/","Boyhood")</f>
        <v>Boyhood</v>
      </c>
      <c r="E44" s="13" t="s">
        <v>49</v>
      </c>
      <c r="F44" s="13">
        <v>16.0</v>
      </c>
      <c r="G44" s="13">
        <v>2014.0</v>
      </c>
      <c r="H44" s="13" t="s">
        <v>27</v>
      </c>
      <c r="I44" s="13" t="s">
        <v>26</v>
      </c>
      <c r="J44" s="55">
        <v>2014.0</v>
      </c>
      <c r="K44" s="56">
        <v>0.99</v>
      </c>
      <c r="L44" s="14">
        <v>165.0</v>
      </c>
      <c r="M44" s="16">
        <f t="shared" si="8"/>
        <v>0.6</v>
      </c>
      <c r="N44" s="17"/>
    </row>
    <row r="45">
      <c r="A45" s="9"/>
      <c r="B45" s="38">
        <f t="shared" si="5"/>
        <v>43</v>
      </c>
      <c r="C45" s="34">
        <v>39046.0</v>
      </c>
      <c r="D45" s="48" t="s">
        <v>57</v>
      </c>
      <c r="E45" s="13" t="s">
        <v>49</v>
      </c>
      <c r="F45" s="13">
        <v>16.0</v>
      </c>
      <c r="G45" s="35" t="str">
        <f>IF(C45&gt;40908,"2012",IF(C45&gt;40543,"2011",IF(C45&gt;40178,"2010",IF(C45&gt;=39814,"2009",IF(C45&gt;=39448,"2008",IF(C45&gt;39082,"2007",IF(C45&lt;38717,"Pre-2006","2006")))))))</f>
        <v>2006</v>
      </c>
      <c r="H45" s="13" t="s">
        <v>17</v>
      </c>
      <c r="I45" s="13" t="s">
        <v>26</v>
      </c>
      <c r="J45" s="57">
        <v>2006.0</v>
      </c>
      <c r="K45" s="58">
        <v>0.94</v>
      </c>
      <c r="L45" s="37">
        <v>144.0</v>
      </c>
      <c r="M45" s="59">
        <f t="shared" si="8"/>
        <v>0.6527777778</v>
      </c>
      <c r="N45" s="17"/>
    </row>
    <row r="46">
      <c r="A46" s="9"/>
      <c r="B46" s="38">
        <f t="shared" si="5"/>
        <v>44</v>
      </c>
      <c r="C46" s="60">
        <v>42495.0</v>
      </c>
      <c r="D46" s="12" t="str">
        <f>hyperlink("http://www.rottentomatoes.com/m/city_of_god/?search=city%20of%20god","City of God")</f>
        <v>City of God</v>
      </c>
      <c r="E46" s="33" t="s">
        <v>49</v>
      </c>
      <c r="F46" s="33">
        <v>16.0</v>
      </c>
      <c r="G46" s="33">
        <v>2016.0</v>
      </c>
      <c r="H46" s="33" t="s">
        <v>58</v>
      </c>
      <c r="I46" s="33" t="s">
        <v>47</v>
      </c>
      <c r="J46" s="57">
        <v>2003.0</v>
      </c>
      <c r="K46" s="58">
        <v>0.9</v>
      </c>
      <c r="L46" s="37">
        <v>130.0</v>
      </c>
      <c r="M46" s="59">
        <f>K46/L46*100</f>
        <v>0.6923076923</v>
      </c>
      <c r="N46" s="17"/>
    </row>
    <row r="47">
      <c r="A47" s="9"/>
      <c r="B47" s="38">
        <f t="shared" si="5"/>
        <v>45</v>
      </c>
      <c r="C47" s="11" t="s">
        <v>12</v>
      </c>
      <c r="D47" s="48" t="s">
        <v>59</v>
      </c>
      <c r="E47" s="13" t="s">
        <v>49</v>
      </c>
      <c r="F47" s="13">
        <v>16.0</v>
      </c>
      <c r="G47" s="13" t="s">
        <v>14</v>
      </c>
      <c r="H47" s="13" t="s">
        <v>17</v>
      </c>
      <c r="I47" s="13" t="s">
        <v>26</v>
      </c>
      <c r="J47" s="57">
        <v>1995.0</v>
      </c>
      <c r="K47" s="58">
        <v>0.81</v>
      </c>
      <c r="L47" s="37">
        <v>97.0</v>
      </c>
      <c r="M47" s="59">
        <f t="shared" ref="M47:M51" si="9">if(iserror(K47/L47*100),"NA",K47/L47*100)</f>
        <v>0.8350515464</v>
      </c>
      <c r="N47" s="17"/>
    </row>
    <row r="48">
      <c r="A48" s="9"/>
      <c r="B48" s="38">
        <f t="shared" si="5"/>
        <v>46</v>
      </c>
      <c r="C48" s="11" t="s">
        <v>22</v>
      </c>
      <c r="D48" s="48" t="s">
        <v>60</v>
      </c>
      <c r="E48" s="13" t="s">
        <v>49</v>
      </c>
      <c r="F48" s="13">
        <v>16.0</v>
      </c>
      <c r="G48" s="13" t="s">
        <v>14</v>
      </c>
      <c r="H48" s="13" t="s">
        <v>15</v>
      </c>
      <c r="I48" s="13" t="s">
        <v>26</v>
      </c>
      <c r="J48" s="57">
        <v>1986.0</v>
      </c>
      <c r="K48" s="58">
        <v>0.87</v>
      </c>
      <c r="L48" s="37">
        <v>97.0</v>
      </c>
      <c r="M48" s="59">
        <f t="shared" si="9"/>
        <v>0.8969072165</v>
      </c>
      <c r="N48" s="17"/>
    </row>
    <row r="49">
      <c r="A49" s="9"/>
      <c r="B49" s="38">
        <f t="shared" si="5"/>
        <v>47</v>
      </c>
      <c r="C49" s="34">
        <v>39648.0</v>
      </c>
      <c r="D49" s="48" t="s">
        <v>61</v>
      </c>
      <c r="E49" s="13" t="s">
        <v>49</v>
      </c>
      <c r="F49" s="13">
        <v>16.0</v>
      </c>
      <c r="G49" s="35" t="str">
        <f>IF(C49&gt;40908,"2012",IF(C49&gt;40543,"2011",IF(C49&gt;40178,"2010",IF(C49&gt;=39814,"2009",IF(C49&gt;=39448,"2008",IF(C49&gt;39082,"2007",IF(C49&lt;38717,"Pre-2006","2006")))))))</f>
        <v>2008</v>
      </c>
      <c r="H49" s="13" t="s">
        <v>62</v>
      </c>
      <c r="I49" s="13" t="s">
        <v>26</v>
      </c>
      <c r="J49" s="14">
        <v>2008.0</v>
      </c>
      <c r="K49" s="15">
        <v>0.94</v>
      </c>
      <c r="L49" s="14">
        <v>152.0</v>
      </c>
      <c r="M49" s="16">
        <f t="shared" si="9"/>
        <v>0.6184210526</v>
      </c>
      <c r="N49" s="17"/>
    </row>
    <row r="50">
      <c r="A50" s="9"/>
      <c r="B50" s="38">
        <f t="shared" si="5"/>
        <v>48</v>
      </c>
      <c r="C50" s="11" t="s">
        <v>12</v>
      </c>
      <c r="D50" s="48" t="s">
        <v>63</v>
      </c>
      <c r="E50" s="13" t="s">
        <v>49</v>
      </c>
      <c r="F50" s="13">
        <v>16.0</v>
      </c>
      <c r="G50" s="13" t="s">
        <v>14</v>
      </c>
      <c r="H50" s="13" t="s">
        <v>15</v>
      </c>
      <c r="I50" s="13" t="s">
        <v>26</v>
      </c>
      <c r="J50" s="57">
        <v>1993.0</v>
      </c>
      <c r="K50" s="58">
        <v>0.93</v>
      </c>
      <c r="L50" s="37">
        <v>103.0</v>
      </c>
      <c r="M50" s="59">
        <f t="shared" si="9"/>
        <v>0.9029126214</v>
      </c>
      <c r="N50" s="17"/>
    </row>
    <row r="51">
      <c r="A51" s="9"/>
      <c r="B51" s="38">
        <f t="shared" si="5"/>
        <v>49</v>
      </c>
      <c r="C51" s="11" t="s">
        <v>22</v>
      </c>
      <c r="D51" s="48" t="s">
        <v>64</v>
      </c>
      <c r="E51" s="13" t="s">
        <v>49</v>
      </c>
      <c r="F51" s="13">
        <v>16.0</v>
      </c>
      <c r="G51" s="13" t="s">
        <v>14</v>
      </c>
      <c r="H51" s="13" t="s">
        <v>15</v>
      </c>
      <c r="I51" s="13" t="s">
        <v>26</v>
      </c>
      <c r="J51" s="57">
        <v>1988.0</v>
      </c>
      <c r="K51" s="58">
        <v>0.88</v>
      </c>
      <c r="L51" s="37">
        <v>112.0</v>
      </c>
      <c r="M51" s="59">
        <f t="shared" si="9"/>
        <v>0.7857142857</v>
      </c>
      <c r="N51" s="17"/>
    </row>
    <row r="52">
      <c r="A52" s="9"/>
      <c r="B52" s="38">
        <f t="shared" si="5"/>
        <v>50</v>
      </c>
      <c r="C52" s="34">
        <v>42693.0</v>
      </c>
      <c r="D52" s="12" t="str">
        <f>hyperlink("https://www.rottentomatoes.com/m/the_edge_of_seventeen","Edge of Seventeen, The")</f>
        <v>Edge of Seventeen, The</v>
      </c>
      <c r="E52" s="33" t="s">
        <v>49</v>
      </c>
      <c r="F52" s="33">
        <v>16.0</v>
      </c>
      <c r="G52" s="33">
        <v>2016.0</v>
      </c>
      <c r="H52" s="33" t="s">
        <v>25</v>
      </c>
      <c r="I52" s="33" t="s">
        <v>26</v>
      </c>
      <c r="J52" s="57">
        <v>2016.0</v>
      </c>
      <c r="K52" s="58">
        <v>0.94</v>
      </c>
      <c r="L52" s="37">
        <v>98.0</v>
      </c>
      <c r="M52" s="59">
        <f>K52/L52*100</f>
        <v>0.9591836735</v>
      </c>
      <c r="N52" s="17"/>
    </row>
    <row r="53">
      <c r="A53" s="9"/>
      <c r="B53" s="38">
        <f t="shared" si="5"/>
        <v>51</v>
      </c>
      <c r="C53" s="11" t="s">
        <v>12</v>
      </c>
      <c r="D53" s="48" t="s">
        <v>65</v>
      </c>
      <c r="E53" s="13" t="s">
        <v>49</v>
      </c>
      <c r="F53" s="13">
        <v>16.0</v>
      </c>
      <c r="G53" s="13" t="s">
        <v>14</v>
      </c>
      <c r="H53" s="13" t="s">
        <v>66</v>
      </c>
      <c r="I53" s="13" t="s">
        <v>47</v>
      </c>
      <c r="J53" s="57">
        <v>1999.0</v>
      </c>
      <c r="K53" s="58">
        <v>0.93</v>
      </c>
      <c r="L53" s="37">
        <v>102.0</v>
      </c>
      <c r="M53" s="59">
        <f t="shared" ref="M53:M108" si="10">if(iserror(K53/L53*100),"NA",K53/L53*100)</f>
        <v>0.9117647059</v>
      </c>
      <c r="N53" s="17"/>
    </row>
    <row r="54">
      <c r="A54" s="9"/>
      <c r="B54" s="38">
        <f t="shared" si="5"/>
        <v>52</v>
      </c>
      <c r="C54" s="34">
        <v>42203.0</v>
      </c>
      <c r="D54" s="12" t="str">
        <f>hyperlink("http://www.rottentomatoes.com/m/ex_machina/?search=ex%20machina","Ex Machina")</f>
        <v>Ex Machina</v>
      </c>
      <c r="E54" s="33" t="s">
        <v>49</v>
      </c>
      <c r="F54" s="33">
        <v>16.0</v>
      </c>
      <c r="G54" s="33">
        <v>2015.0</v>
      </c>
      <c r="H54" s="33" t="s">
        <v>25</v>
      </c>
      <c r="I54" s="33" t="s">
        <v>47</v>
      </c>
      <c r="J54" s="57">
        <v>2015.0</v>
      </c>
      <c r="K54" s="58">
        <v>0.92</v>
      </c>
      <c r="L54" s="37">
        <v>108.0</v>
      </c>
      <c r="M54" s="59">
        <f t="shared" si="10"/>
        <v>0.8518518519</v>
      </c>
      <c r="N54" s="17"/>
    </row>
    <row r="55">
      <c r="A55" s="9"/>
      <c r="B55" s="38">
        <f t="shared" si="5"/>
        <v>53</v>
      </c>
      <c r="C55" s="11" t="s">
        <v>12</v>
      </c>
      <c r="D55" s="48" t="s">
        <v>67</v>
      </c>
      <c r="E55" s="13" t="s">
        <v>49</v>
      </c>
      <c r="F55" s="13">
        <v>16.0</v>
      </c>
      <c r="G55" s="13" t="s">
        <v>14</v>
      </c>
      <c r="H55" s="13" t="s">
        <v>15</v>
      </c>
      <c r="I55" s="13" t="s">
        <v>26</v>
      </c>
      <c r="J55" s="61"/>
      <c r="K55" s="62"/>
      <c r="L55" s="63"/>
      <c r="M55" s="59" t="str">
        <f t="shared" si="10"/>
        <v>NA</v>
      </c>
      <c r="N55" s="17"/>
    </row>
    <row r="56">
      <c r="A56" s="9"/>
      <c r="B56" s="38">
        <f t="shared" si="5"/>
        <v>54</v>
      </c>
      <c r="C56" s="11" t="s">
        <v>22</v>
      </c>
      <c r="D56" s="48" t="s">
        <v>68</v>
      </c>
      <c r="E56" s="13" t="s">
        <v>49</v>
      </c>
      <c r="F56" s="13">
        <v>16.0</v>
      </c>
      <c r="G56" s="13" t="s">
        <v>14</v>
      </c>
      <c r="H56" s="13" t="s">
        <v>15</v>
      </c>
      <c r="I56" s="13" t="s">
        <v>26</v>
      </c>
      <c r="J56" s="61"/>
      <c r="K56" s="62"/>
      <c r="L56" s="63"/>
      <c r="M56" s="59" t="str">
        <f t="shared" si="10"/>
        <v>NA</v>
      </c>
      <c r="N56" s="17"/>
    </row>
    <row r="57">
      <c r="A57" s="9"/>
      <c r="B57" s="38">
        <f t="shared" si="5"/>
        <v>55</v>
      </c>
      <c r="C57" s="34">
        <v>39813.0</v>
      </c>
      <c r="D57" s="48" t="s">
        <v>69</v>
      </c>
      <c r="E57" s="13" t="s">
        <v>49</v>
      </c>
      <c r="F57" s="13">
        <v>16.0</v>
      </c>
      <c r="G57" s="35" t="str">
        <f>IF(C57&gt;40908,"2012",IF(C57&gt;40543,"2011",IF(C57&gt;40178,"2010",IF(C57&gt;=39814,"2009",IF(C57&gt;=39448,"2008",IF(C57&gt;39082,"2007",IF(C57&lt;38717,"Pre-2006","2006")))))))</f>
        <v>2008</v>
      </c>
      <c r="H57" s="13" t="s">
        <v>29</v>
      </c>
      <c r="I57" s="13" t="s">
        <v>26</v>
      </c>
      <c r="J57" s="14">
        <v>2008.0</v>
      </c>
      <c r="K57" s="15">
        <v>0.9</v>
      </c>
      <c r="L57" s="14">
        <v>122.0</v>
      </c>
      <c r="M57" s="16">
        <f t="shared" si="10"/>
        <v>0.737704918</v>
      </c>
      <c r="N57" s="17"/>
    </row>
    <row r="58">
      <c r="A58" s="9"/>
      <c r="B58" s="38">
        <f t="shared" si="5"/>
        <v>56</v>
      </c>
      <c r="C58" s="34">
        <v>41982.0</v>
      </c>
      <c r="D58" s="12" t="str">
        <f>hyperlink("http://www.rottentomatoes.com/m/frozen_2013/","Frozen")</f>
        <v>Frozen</v>
      </c>
      <c r="E58" s="13" t="s">
        <v>49</v>
      </c>
      <c r="F58" s="13">
        <v>16.0</v>
      </c>
      <c r="G58" s="13">
        <v>2014.0</v>
      </c>
      <c r="H58" s="13" t="s">
        <v>25</v>
      </c>
      <c r="I58" s="13" t="s">
        <v>26</v>
      </c>
      <c r="J58" s="55">
        <v>2013.0</v>
      </c>
      <c r="K58" s="56">
        <v>0.89</v>
      </c>
      <c r="L58" s="14">
        <v>102.0</v>
      </c>
      <c r="M58" s="16">
        <f t="shared" si="10"/>
        <v>0.8725490196</v>
      </c>
      <c r="N58" s="17"/>
    </row>
    <row r="59">
      <c r="A59" s="9"/>
      <c r="B59" s="38">
        <f t="shared" si="5"/>
        <v>57</v>
      </c>
      <c r="C59" s="11" t="s">
        <v>12</v>
      </c>
      <c r="D59" s="48" t="s">
        <v>70</v>
      </c>
      <c r="E59" s="13" t="s">
        <v>49</v>
      </c>
      <c r="F59" s="13">
        <v>16.0</v>
      </c>
      <c r="G59" s="13" t="s">
        <v>14</v>
      </c>
      <c r="H59" s="13" t="s">
        <v>17</v>
      </c>
      <c r="I59" s="13" t="s">
        <v>26</v>
      </c>
      <c r="J59" s="61"/>
      <c r="K59" s="62"/>
      <c r="L59" s="63"/>
      <c r="M59" s="59" t="str">
        <f t="shared" si="10"/>
        <v>NA</v>
      </c>
      <c r="N59" s="17"/>
    </row>
    <row r="60">
      <c r="A60" s="9"/>
      <c r="B60" s="38">
        <f t="shared" si="5"/>
        <v>58</v>
      </c>
      <c r="C60" s="11" t="s">
        <v>12</v>
      </c>
      <c r="D60" s="48" t="s">
        <v>71</v>
      </c>
      <c r="E60" s="13" t="s">
        <v>49</v>
      </c>
      <c r="F60" s="13">
        <v>16.0</v>
      </c>
      <c r="G60" s="13" t="s">
        <v>14</v>
      </c>
      <c r="H60" s="13" t="s">
        <v>17</v>
      </c>
      <c r="I60" s="13" t="s">
        <v>47</v>
      </c>
      <c r="J60" s="61"/>
      <c r="K60" s="62"/>
      <c r="L60" s="63"/>
      <c r="M60" s="59" t="str">
        <f t="shared" si="10"/>
        <v>NA</v>
      </c>
      <c r="N60" s="17"/>
    </row>
    <row r="61">
      <c r="A61" s="9"/>
      <c r="B61" s="38">
        <f t="shared" si="5"/>
        <v>59</v>
      </c>
      <c r="C61" s="11" t="s">
        <v>12</v>
      </c>
      <c r="D61" s="48" t="s">
        <v>72</v>
      </c>
      <c r="E61" s="13" t="s">
        <v>49</v>
      </c>
      <c r="F61" s="13">
        <v>16.0</v>
      </c>
      <c r="G61" s="13" t="s">
        <v>14</v>
      </c>
      <c r="H61" s="13" t="s">
        <v>17</v>
      </c>
      <c r="I61" s="13" t="s">
        <v>26</v>
      </c>
      <c r="J61" s="61"/>
      <c r="K61" s="62"/>
      <c r="L61" s="63"/>
      <c r="M61" s="59" t="str">
        <f t="shared" si="10"/>
        <v>NA</v>
      </c>
      <c r="N61" s="17"/>
    </row>
    <row r="62">
      <c r="A62" s="9"/>
      <c r="B62" s="38">
        <f t="shared" si="5"/>
        <v>60</v>
      </c>
      <c r="C62" s="11" t="s">
        <v>12</v>
      </c>
      <c r="D62" s="48" t="s">
        <v>73</v>
      </c>
      <c r="E62" s="13" t="s">
        <v>49</v>
      </c>
      <c r="F62" s="13">
        <v>16.0</v>
      </c>
      <c r="G62" s="13" t="s">
        <v>14</v>
      </c>
      <c r="H62" s="13" t="s">
        <v>15</v>
      </c>
      <c r="I62" s="13" t="s">
        <v>26</v>
      </c>
      <c r="J62" s="61"/>
      <c r="K62" s="62"/>
      <c r="L62" s="63"/>
      <c r="M62" s="59" t="str">
        <f t="shared" si="10"/>
        <v>NA</v>
      </c>
      <c r="N62" s="17"/>
    </row>
    <row r="63">
      <c r="A63" s="9"/>
      <c r="B63" s="38">
        <f t="shared" si="5"/>
        <v>61</v>
      </c>
      <c r="C63" s="34">
        <v>39117.0</v>
      </c>
      <c r="D63" s="48" t="s">
        <v>74</v>
      </c>
      <c r="E63" s="13" t="s">
        <v>49</v>
      </c>
      <c r="F63" s="13">
        <v>16.0</v>
      </c>
      <c r="G63" s="35" t="str">
        <f t="shared" ref="G63:G64" si="11">IF(C63&gt;40908,"2012",IF(C63&gt;40543,"2011",IF(C63&gt;40178,"2010",IF(C63&gt;=39814,"2009",IF(C63&gt;=39448,"2008",IF(C63&gt;39082,"2007",IF(C63&lt;38717,"Pre-2006","2006")))))))</f>
        <v>2007</v>
      </c>
      <c r="H63" s="13" t="s">
        <v>17</v>
      </c>
      <c r="I63" s="13" t="s">
        <v>21</v>
      </c>
      <c r="J63" s="61"/>
      <c r="K63" s="62"/>
      <c r="L63" s="63"/>
      <c r="M63" s="59" t="str">
        <f t="shared" si="10"/>
        <v>NA</v>
      </c>
      <c r="N63" s="17"/>
    </row>
    <row r="64">
      <c r="A64" s="9"/>
      <c r="B64" s="38">
        <f t="shared" si="5"/>
        <v>62</v>
      </c>
      <c r="C64" s="34">
        <v>39634.0</v>
      </c>
      <c r="D64" s="48" t="s">
        <v>75</v>
      </c>
      <c r="E64" s="13" t="s">
        <v>49</v>
      </c>
      <c r="F64" s="13">
        <v>16.0</v>
      </c>
      <c r="G64" s="35" t="str">
        <f t="shared" si="11"/>
        <v>2008</v>
      </c>
      <c r="H64" s="13" t="s">
        <v>15</v>
      </c>
      <c r="I64" s="13" t="s">
        <v>21</v>
      </c>
      <c r="J64" s="14">
        <v>2007.0</v>
      </c>
      <c r="K64" s="15">
        <v>0.83</v>
      </c>
      <c r="L64" s="14">
        <v>148.0</v>
      </c>
      <c r="M64" s="16">
        <f t="shared" si="10"/>
        <v>0.5608108108</v>
      </c>
      <c r="N64" s="17"/>
    </row>
    <row r="65">
      <c r="A65" s="9"/>
      <c r="B65" s="38">
        <f t="shared" si="5"/>
        <v>63</v>
      </c>
      <c r="C65" s="34">
        <v>40986.0</v>
      </c>
      <c r="D65" s="48" t="s">
        <v>76</v>
      </c>
      <c r="E65" s="13" t="s">
        <v>49</v>
      </c>
      <c r="F65" s="13">
        <v>16.0</v>
      </c>
      <c r="G65" s="13">
        <v>2012.0</v>
      </c>
      <c r="H65" s="13" t="s">
        <v>15</v>
      </c>
      <c r="I65" s="13" t="s">
        <v>77</v>
      </c>
      <c r="J65" s="55">
        <v>2007.0</v>
      </c>
      <c r="K65" s="56">
        <v>0.96</v>
      </c>
      <c r="L65" s="14">
        <v>82.0</v>
      </c>
      <c r="M65" s="16">
        <f t="shared" si="10"/>
        <v>1.170731707</v>
      </c>
      <c r="N65" s="17"/>
    </row>
    <row r="66">
      <c r="A66" s="9"/>
      <c r="B66" s="38">
        <f t="shared" si="5"/>
        <v>64</v>
      </c>
      <c r="C66" s="34">
        <v>42781.0</v>
      </c>
      <c r="D66" s="12" t="str">
        <f>hyperlink("https://www.rottentomatoes.com/m/la_la_land","La La Land")</f>
        <v>La La Land</v>
      </c>
      <c r="E66" s="33" t="s">
        <v>49</v>
      </c>
      <c r="F66" s="33">
        <v>16.0</v>
      </c>
      <c r="G66" s="36">
        <v>2017.0</v>
      </c>
      <c r="H66" s="33" t="s">
        <v>25</v>
      </c>
      <c r="I66" s="33" t="s">
        <v>26</v>
      </c>
      <c r="J66" s="57">
        <v>2016.0</v>
      </c>
      <c r="K66" s="58">
        <v>0.93</v>
      </c>
      <c r="L66" s="37">
        <v>128.0</v>
      </c>
      <c r="M66" s="16">
        <f t="shared" si="10"/>
        <v>0.7265625</v>
      </c>
      <c r="N66" s="17"/>
    </row>
    <row r="67">
      <c r="A67" s="9"/>
      <c r="B67" s="38">
        <f t="shared" si="5"/>
        <v>65</v>
      </c>
      <c r="C67" s="34">
        <v>39130.0</v>
      </c>
      <c r="D67" s="48" t="s">
        <v>78</v>
      </c>
      <c r="E67" s="13" t="s">
        <v>49</v>
      </c>
      <c r="F67" s="13">
        <v>16.0</v>
      </c>
      <c r="G67" s="35" t="str">
        <f t="shared" ref="G67:G68" si="12">IF(C67&gt;40908,"2012",IF(C67&gt;40543,"2011",IF(C67&gt;40178,"2010",IF(C67&gt;=39814,"2009",IF(C67&gt;=39448,"2008",IF(C67&gt;39082,"2007",IF(C67&lt;38717,"Pre-2006","2006")))))))</f>
        <v>2007</v>
      </c>
      <c r="H67" s="13" t="s">
        <v>17</v>
      </c>
      <c r="I67" s="13" t="s">
        <v>26</v>
      </c>
      <c r="J67" s="61"/>
      <c r="K67" s="62"/>
      <c r="L67" s="63"/>
      <c r="M67" s="59" t="str">
        <f t="shared" si="10"/>
        <v>NA</v>
      </c>
      <c r="N67" s="17"/>
    </row>
    <row r="68">
      <c r="A68" s="9"/>
      <c r="B68" s="38">
        <f t="shared" si="5"/>
        <v>66</v>
      </c>
      <c r="C68" s="34">
        <v>39186.0</v>
      </c>
      <c r="D68" s="48" t="s">
        <v>79</v>
      </c>
      <c r="E68" s="13" t="s">
        <v>49</v>
      </c>
      <c r="F68" s="13">
        <v>16.0</v>
      </c>
      <c r="G68" s="35" t="str">
        <f t="shared" si="12"/>
        <v>2007</v>
      </c>
      <c r="H68" s="13" t="s">
        <v>17</v>
      </c>
      <c r="I68" s="13" t="s">
        <v>21</v>
      </c>
      <c r="J68" s="61"/>
      <c r="K68" s="62"/>
      <c r="L68" s="63"/>
      <c r="M68" s="59" t="str">
        <f t="shared" si="10"/>
        <v>NA</v>
      </c>
      <c r="N68" s="17"/>
    </row>
    <row r="69">
      <c r="A69" s="9"/>
      <c r="B69" s="38">
        <f t="shared" si="5"/>
        <v>67</v>
      </c>
      <c r="C69" s="11" t="s">
        <v>18</v>
      </c>
      <c r="D69" s="48" t="s">
        <v>80</v>
      </c>
      <c r="E69" s="13" t="s">
        <v>49</v>
      </c>
      <c r="F69" s="13">
        <v>16.0</v>
      </c>
      <c r="G69" s="13" t="s">
        <v>14</v>
      </c>
      <c r="H69" s="13" t="s">
        <v>81</v>
      </c>
      <c r="I69" s="13" t="s">
        <v>26</v>
      </c>
      <c r="J69" s="61"/>
      <c r="K69" s="62"/>
      <c r="L69" s="63"/>
      <c r="M69" s="59" t="str">
        <f t="shared" si="10"/>
        <v>NA</v>
      </c>
      <c r="N69" s="17"/>
    </row>
    <row r="70">
      <c r="A70" s="9"/>
      <c r="B70" s="38">
        <f t="shared" si="5"/>
        <v>68</v>
      </c>
      <c r="C70" s="34">
        <v>42736.0</v>
      </c>
      <c r="D70" s="12" t="str">
        <f>hyperlink("https://www.rottentomatoes.com/m/mustang_2015","Mustang")</f>
        <v>Mustang</v>
      </c>
      <c r="E70" s="33" t="s">
        <v>49</v>
      </c>
      <c r="F70" s="33">
        <v>16.0</v>
      </c>
      <c r="G70" s="33">
        <v>2017.0</v>
      </c>
      <c r="H70" s="33" t="s">
        <v>58</v>
      </c>
      <c r="I70" s="33" t="s">
        <v>82</v>
      </c>
      <c r="J70" s="57">
        <v>2015.0</v>
      </c>
      <c r="K70" s="58">
        <v>0.98</v>
      </c>
      <c r="L70" s="37">
        <v>97.0</v>
      </c>
      <c r="M70" s="59">
        <f t="shared" si="10"/>
        <v>1.010309278</v>
      </c>
      <c r="N70" s="17"/>
    </row>
    <row r="71">
      <c r="A71" s="9"/>
      <c r="B71" s="38">
        <f t="shared" si="5"/>
        <v>69</v>
      </c>
      <c r="C71" s="11" t="s">
        <v>22</v>
      </c>
      <c r="D71" s="48" t="s">
        <v>83</v>
      </c>
      <c r="E71" s="13" t="s">
        <v>49</v>
      </c>
      <c r="F71" s="13">
        <v>16.0</v>
      </c>
      <c r="G71" s="13" t="s">
        <v>14</v>
      </c>
      <c r="H71" s="13" t="s">
        <v>15</v>
      </c>
      <c r="I71" s="13" t="s">
        <v>16</v>
      </c>
      <c r="J71" s="61"/>
      <c r="K71" s="62"/>
      <c r="L71" s="63"/>
      <c r="M71" s="59" t="str">
        <f t="shared" si="10"/>
        <v>NA</v>
      </c>
      <c r="N71" s="17"/>
    </row>
    <row r="72">
      <c r="A72" s="9"/>
      <c r="B72" s="38">
        <f t="shared" si="5"/>
        <v>70</v>
      </c>
      <c r="C72" s="11" t="s">
        <v>12</v>
      </c>
      <c r="D72" s="48" t="s">
        <v>84</v>
      </c>
      <c r="E72" s="13" t="s">
        <v>49</v>
      </c>
      <c r="F72" s="13">
        <v>16.0</v>
      </c>
      <c r="G72" s="13" t="s">
        <v>14</v>
      </c>
      <c r="H72" s="13" t="s">
        <v>15</v>
      </c>
      <c r="I72" s="13" t="s">
        <v>26</v>
      </c>
      <c r="J72" s="61"/>
      <c r="K72" s="62"/>
      <c r="L72" s="63"/>
      <c r="M72" s="59" t="str">
        <f t="shared" si="10"/>
        <v>NA</v>
      </c>
      <c r="N72" s="17"/>
    </row>
    <row r="73">
      <c r="A73" s="9"/>
      <c r="B73" s="38">
        <f t="shared" si="5"/>
        <v>71</v>
      </c>
      <c r="C73" s="60">
        <v>44021.0</v>
      </c>
      <c r="D73" s="12" t="str">
        <f>hyperlink("https://www.rottentomatoes.com/m/once_upon_a_time_in_hollywood","Once Upon A Time In Hollywood")</f>
        <v>Once Upon A Time In Hollywood</v>
      </c>
      <c r="E73" s="33" t="s">
        <v>49</v>
      </c>
      <c r="F73" s="33">
        <v>16.0</v>
      </c>
      <c r="G73" s="33">
        <v>2020.0</v>
      </c>
      <c r="H73" s="33" t="s">
        <v>58</v>
      </c>
      <c r="I73" s="33" t="s">
        <v>47</v>
      </c>
      <c r="J73" s="57">
        <v>2019.0</v>
      </c>
      <c r="K73" s="58">
        <v>0.85</v>
      </c>
      <c r="L73" s="37">
        <v>159.0</v>
      </c>
      <c r="M73" s="59">
        <f t="shared" si="10"/>
        <v>0.534591195</v>
      </c>
      <c r="N73" s="17"/>
    </row>
    <row r="74">
      <c r="A74" s="9"/>
      <c r="B74" s="38">
        <f t="shared" si="5"/>
        <v>72</v>
      </c>
      <c r="C74" s="60">
        <v>42156.0</v>
      </c>
      <c r="D74" s="12" t="str">
        <f>hyperlink("http://www.rottentomatoes.com/m/paddington_2014/?search=paddington","Paddington")</f>
        <v>Paddington</v>
      </c>
      <c r="E74" s="33" t="s">
        <v>49</v>
      </c>
      <c r="F74" s="33">
        <v>16.0</v>
      </c>
      <c r="G74" s="33">
        <v>2015.0</v>
      </c>
      <c r="H74" s="33" t="s">
        <v>25</v>
      </c>
      <c r="I74" s="33" t="s">
        <v>47</v>
      </c>
      <c r="J74" s="57">
        <v>2015.0</v>
      </c>
      <c r="K74" s="58">
        <v>0.98</v>
      </c>
      <c r="L74" s="37">
        <v>96.0</v>
      </c>
      <c r="M74" s="59">
        <f t="shared" si="10"/>
        <v>1.020833333</v>
      </c>
      <c r="N74" s="17"/>
    </row>
    <row r="75">
      <c r="A75" s="9"/>
      <c r="B75" s="38">
        <f t="shared" si="5"/>
        <v>73</v>
      </c>
      <c r="C75" s="11" t="s">
        <v>12</v>
      </c>
      <c r="D75" s="48" t="s">
        <v>85</v>
      </c>
      <c r="E75" s="13" t="s">
        <v>49</v>
      </c>
      <c r="F75" s="13">
        <v>16.0</v>
      </c>
      <c r="G75" s="13" t="s">
        <v>14</v>
      </c>
      <c r="H75" s="13" t="s">
        <v>17</v>
      </c>
      <c r="I75" s="13" t="s">
        <v>26</v>
      </c>
      <c r="J75" s="61"/>
      <c r="K75" s="62"/>
      <c r="L75" s="63"/>
      <c r="M75" s="59" t="str">
        <f t="shared" si="10"/>
        <v>NA</v>
      </c>
      <c r="N75" s="17"/>
    </row>
    <row r="76">
      <c r="A76" s="9"/>
      <c r="B76" s="38">
        <f t="shared" si="5"/>
        <v>74</v>
      </c>
      <c r="C76" s="11" t="s">
        <v>22</v>
      </c>
      <c r="D76" s="48" t="s">
        <v>86</v>
      </c>
      <c r="E76" s="13" t="s">
        <v>49</v>
      </c>
      <c r="F76" s="13">
        <v>16.0</v>
      </c>
      <c r="G76" s="13" t="s">
        <v>14</v>
      </c>
      <c r="H76" s="13" t="s">
        <v>15</v>
      </c>
      <c r="I76" s="13" t="s">
        <v>16</v>
      </c>
      <c r="J76" s="61"/>
      <c r="K76" s="62"/>
      <c r="L76" s="63"/>
      <c r="M76" s="59" t="str">
        <f t="shared" si="10"/>
        <v>NA</v>
      </c>
      <c r="N76" s="17"/>
    </row>
    <row r="77">
      <c r="A77" s="9"/>
      <c r="B77" s="38">
        <f t="shared" si="5"/>
        <v>75</v>
      </c>
      <c r="C77" s="11" t="s">
        <v>12</v>
      </c>
      <c r="D77" s="48" t="s">
        <v>87</v>
      </c>
      <c r="E77" s="13" t="s">
        <v>49</v>
      </c>
      <c r="F77" s="13">
        <v>16.0</v>
      </c>
      <c r="G77" s="13" t="s">
        <v>14</v>
      </c>
      <c r="H77" s="13" t="s">
        <v>15</v>
      </c>
      <c r="I77" s="13" t="s">
        <v>16</v>
      </c>
      <c r="J77" s="61"/>
      <c r="K77" s="62"/>
      <c r="L77" s="63"/>
      <c r="M77" s="59" t="str">
        <f t="shared" si="10"/>
        <v>NA</v>
      </c>
      <c r="N77" s="17"/>
    </row>
    <row r="78">
      <c r="A78" s="9"/>
      <c r="B78" s="38">
        <f t="shared" si="5"/>
        <v>76</v>
      </c>
      <c r="C78" s="34">
        <v>39513.0</v>
      </c>
      <c r="D78" s="48" t="s">
        <v>88</v>
      </c>
      <c r="E78" s="13" t="s">
        <v>49</v>
      </c>
      <c r="F78" s="13">
        <v>16.0</v>
      </c>
      <c r="G78" s="35" t="str">
        <f t="shared" ref="G78:G79" si="13">IF(C78&gt;40908,"2012",IF(C78&gt;40543,"2011",IF(C78&gt;40178,"2010",IF(C78&gt;=39814,"2009",IF(C78&gt;=39448,"2008",IF(C78&gt;39082,"2007",IF(C78&lt;38717,"Pre-2006","2006")))))))</f>
        <v>2008</v>
      </c>
      <c r="H78" s="13" t="s">
        <v>17</v>
      </c>
      <c r="I78" s="13" t="s">
        <v>77</v>
      </c>
      <c r="J78" s="14">
        <v>1993.0</v>
      </c>
      <c r="K78" s="15">
        <v>0.97</v>
      </c>
      <c r="L78" s="14">
        <v>134.0</v>
      </c>
      <c r="M78" s="16">
        <f t="shared" si="10"/>
        <v>0.723880597</v>
      </c>
      <c r="N78" s="17"/>
    </row>
    <row r="79">
      <c r="A79" s="9"/>
      <c r="B79" s="38">
        <f t="shared" si="5"/>
        <v>77</v>
      </c>
      <c r="C79" s="34">
        <v>39837.0</v>
      </c>
      <c r="D79" s="48" t="s">
        <v>89</v>
      </c>
      <c r="E79" s="13" t="s">
        <v>49</v>
      </c>
      <c r="F79" s="13">
        <v>16.0</v>
      </c>
      <c r="G79" s="35" t="str">
        <f t="shared" si="13"/>
        <v>2009</v>
      </c>
      <c r="H79" s="13" t="s">
        <v>27</v>
      </c>
      <c r="I79" s="13" t="s">
        <v>26</v>
      </c>
      <c r="J79" s="14">
        <v>2008.0</v>
      </c>
      <c r="K79" s="15">
        <v>0.68</v>
      </c>
      <c r="L79" s="14">
        <v>119.0</v>
      </c>
      <c r="M79" s="16">
        <f t="shared" si="10"/>
        <v>0.5714285714</v>
      </c>
      <c r="N79" s="17"/>
    </row>
    <row r="80">
      <c r="A80" s="9"/>
      <c r="B80" s="38">
        <f t="shared" si="5"/>
        <v>78</v>
      </c>
      <c r="C80" s="11" t="s">
        <v>18</v>
      </c>
      <c r="D80" s="48" t="s">
        <v>90</v>
      </c>
      <c r="E80" s="13" t="s">
        <v>49</v>
      </c>
      <c r="F80" s="13">
        <v>16.0</v>
      </c>
      <c r="G80" s="13" t="s">
        <v>14</v>
      </c>
      <c r="H80" s="13" t="s">
        <v>91</v>
      </c>
      <c r="I80" s="13" t="s">
        <v>26</v>
      </c>
      <c r="J80" s="61"/>
      <c r="K80" s="62"/>
      <c r="L80" s="63"/>
      <c r="M80" s="59" t="str">
        <f t="shared" si="10"/>
        <v>NA</v>
      </c>
      <c r="N80" s="17"/>
    </row>
    <row r="81">
      <c r="A81" s="9"/>
      <c r="B81" s="38">
        <f t="shared" si="5"/>
        <v>79</v>
      </c>
      <c r="C81" s="11" t="s">
        <v>22</v>
      </c>
      <c r="D81" s="48" t="s">
        <v>92</v>
      </c>
      <c r="E81" s="13" t="s">
        <v>49</v>
      </c>
      <c r="F81" s="13">
        <v>16.0</v>
      </c>
      <c r="G81" s="13" t="s">
        <v>14</v>
      </c>
      <c r="H81" s="13" t="s">
        <v>15</v>
      </c>
      <c r="I81" s="13" t="s">
        <v>16</v>
      </c>
      <c r="J81" s="61"/>
      <c r="K81" s="62"/>
      <c r="L81" s="63"/>
      <c r="M81" s="59" t="str">
        <f t="shared" si="10"/>
        <v>NA</v>
      </c>
      <c r="N81" s="17"/>
    </row>
    <row r="82">
      <c r="A82" s="9"/>
      <c r="B82" s="38">
        <f t="shared" si="5"/>
        <v>80</v>
      </c>
      <c r="C82" s="11" t="s">
        <v>22</v>
      </c>
      <c r="D82" s="48" t="s">
        <v>93</v>
      </c>
      <c r="E82" s="13" t="s">
        <v>49</v>
      </c>
      <c r="F82" s="13">
        <v>16.0</v>
      </c>
      <c r="G82" s="13" t="s">
        <v>14</v>
      </c>
      <c r="H82" s="13" t="s">
        <v>15</v>
      </c>
      <c r="I82" s="13" t="s">
        <v>16</v>
      </c>
      <c r="J82" s="61"/>
      <c r="K82" s="62"/>
      <c r="L82" s="63"/>
      <c r="M82" s="59" t="str">
        <f t="shared" si="10"/>
        <v>NA</v>
      </c>
      <c r="N82" s="17"/>
    </row>
    <row r="83">
      <c r="A83" s="9"/>
      <c r="B83" s="32">
        <f t="shared" si="5"/>
        <v>81</v>
      </c>
      <c r="C83" s="11" t="s">
        <v>12</v>
      </c>
      <c r="D83" s="48" t="s">
        <v>94</v>
      </c>
      <c r="E83" s="13" t="s">
        <v>49</v>
      </c>
      <c r="F83" s="13">
        <v>16.0</v>
      </c>
      <c r="G83" s="13" t="s">
        <v>14</v>
      </c>
      <c r="H83" s="13" t="s">
        <v>66</v>
      </c>
      <c r="I83" s="13" t="s">
        <v>26</v>
      </c>
      <c r="J83" s="61"/>
      <c r="K83" s="62"/>
      <c r="L83" s="63"/>
      <c r="M83" s="59" t="str">
        <f t="shared" si="10"/>
        <v>NA</v>
      </c>
      <c r="N83" s="17"/>
    </row>
    <row r="84">
      <c r="A84" s="9"/>
      <c r="B84" s="38">
        <f t="shared" si="5"/>
        <v>82</v>
      </c>
      <c r="C84" s="34">
        <v>43143.0</v>
      </c>
      <c r="D84" s="12" t="str">
        <f>hyperlink("https://www.rottentomatoes.com/m/three_billboards_outside_ebbing_missouri","Three Billboards outside Ebbing, Missouri")</f>
        <v>Three Billboards outside Ebbing, Missouri</v>
      </c>
      <c r="E84" s="33" t="s">
        <v>49</v>
      </c>
      <c r="F84" s="33">
        <v>16.0</v>
      </c>
      <c r="G84" s="33">
        <v>2018.0</v>
      </c>
      <c r="H84" s="33" t="s">
        <v>58</v>
      </c>
      <c r="I84" s="33" t="s">
        <v>47</v>
      </c>
      <c r="J84" s="57">
        <v>2017.0</v>
      </c>
      <c r="K84" s="58">
        <v>0.92</v>
      </c>
      <c r="L84" s="37">
        <v>115.0</v>
      </c>
      <c r="M84" s="59">
        <f t="shared" si="10"/>
        <v>0.8</v>
      </c>
      <c r="N84" s="17"/>
    </row>
    <row r="85">
      <c r="A85" s="9"/>
      <c r="B85" s="38">
        <f t="shared" si="5"/>
        <v>83</v>
      </c>
      <c r="C85" s="11" t="s">
        <v>12</v>
      </c>
      <c r="D85" s="48" t="s">
        <v>95</v>
      </c>
      <c r="E85" s="13" t="s">
        <v>49</v>
      </c>
      <c r="F85" s="13">
        <v>16.0</v>
      </c>
      <c r="G85" s="13" t="s">
        <v>14</v>
      </c>
      <c r="H85" s="13" t="s">
        <v>15</v>
      </c>
      <c r="I85" s="13" t="s">
        <v>16</v>
      </c>
      <c r="J85" s="61"/>
      <c r="K85" s="62"/>
      <c r="L85" s="63"/>
      <c r="M85" s="59" t="str">
        <f t="shared" si="10"/>
        <v>NA</v>
      </c>
      <c r="N85" s="17"/>
    </row>
    <row r="86">
      <c r="A86" s="9"/>
      <c r="B86" s="38">
        <f t="shared" si="5"/>
        <v>84</v>
      </c>
      <c r="C86" s="34">
        <v>44710.0</v>
      </c>
      <c r="D86" s="12" t="str">
        <f>hyperlink("https://www.rottentomatoes.com/m/top_gun_maverick","Top Gun: Maverick")</f>
        <v>Top Gun: Maverick</v>
      </c>
      <c r="E86" s="33" t="s">
        <v>49</v>
      </c>
      <c r="F86" s="33">
        <v>16.0</v>
      </c>
      <c r="G86" s="36">
        <v>2022.0</v>
      </c>
      <c r="H86" s="33" t="s">
        <v>96</v>
      </c>
      <c r="I86" s="33" t="s">
        <v>26</v>
      </c>
      <c r="J86" s="37">
        <v>2022.0</v>
      </c>
      <c r="K86" s="15">
        <v>0.97</v>
      </c>
      <c r="L86" s="37">
        <v>131.0</v>
      </c>
      <c r="M86" s="16">
        <f t="shared" si="10"/>
        <v>0.7404580153</v>
      </c>
      <c r="N86" s="17"/>
    </row>
    <row r="87">
      <c r="A87" s="9"/>
      <c r="B87" s="38">
        <f t="shared" si="5"/>
        <v>85</v>
      </c>
      <c r="C87" s="34">
        <v>40360.0</v>
      </c>
      <c r="D87" s="64" t="s">
        <v>97</v>
      </c>
      <c r="E87" s="13" t="s">
        <v>49</v>
      </c>
      <c r="F87" s="13">
        <v>16.0</v>
      </c>
      <c r="G87" s="35" t="str">
        <f>IF(C87&gt;40908,"2012",IF(C87&gt;40543,"2011",IF(C87&gt;40178,"2010",IF(C87&gt;=39814,"2009",IF(C87&gt;=39448,"2008",IF(C87&gt;39082,"2007",IF(C87&lt;38717,"Pre-2006","2006")))))))</f>
        <v>2010</v>
      </c>
      <c r="H87" s="13" t="s">
        <v>25</v>
      </c>
      <c r="I87" s="13" t="s">
        <v>26</v>
      </c>
      <c r="J87" s="14">
        <v>2010.0</v>
      </c>
      <c r="K87" s="15">
        <v>0.99</v>
      </c>
      <c r="L87" s="14">
        <v>103.0</v>
      </c>
      <c r="M87" s="16">
        <f t="shared" si="10"/>
        <v>0.9611650485</v>
      </c>
      <c r="N87" s="17"/>
    </row>
    <row r="88">
      <c r="A88" s="9"/>
      <c r="B88" s="38">
        <f t="shared" si="5"/>
        <v>86</v>
      </c>
      <c r="C88" s="11" t="s">
        <v>12</v>
      </c>
      <c r="D88" s="48" t="s">
        <v>98</v>
      </c>
      <c r="E88" s="13" t="s">
        <v>49</v>
      </c>
      <c r="F88" s="13">
        <v>16.0</v>
      </c>
      <c r="G88" s="13" t="s">
        <v>14</v>
      </c>
      <c r="H88" s="13" t="s">
        <v>25</v>
      </c>
      <c r="I88" s="13" t="s">
        <v>21</v>
      </c>
      <c r="J88" s="61"/>
      <c r="K88" s="62"/>
      <c r="L88" s="63"/>
      <c r="M88" s="59" t="str">
        <f t="shared" si="10"/>
        <v>NA</v>
      </c>
      <c r="N88" s="17"/>
    </row>
    <row r="89">
      <c r="A89" s="9"/>
      <c r="B89" s="38">
        <f t="shared" si="5"/>
        <v>87</v>
      </c>
      <c r="C89" s="11" t="s">
        <v>18</v>
      </c>
      <c r="D89" s="48" t="s">
        <v>99</v>
      </c>
      <c r="E89" s="13" t="s">
        <v>49</v>
      </c>
      <c r="F89" s="13">
        <v>16.0</v>
      </c>
      <c r="G89" s="13" t="s">
        <v>14</v>
      </c>
      <c r="H89" s="13" t="s">
        <v>25</v>
      </c>
      <c r="I89" s="13" t="s">
        <v>21</v>
      </c>
      <c r="J89" s="61"/>
      <c r="K89" s="62"/>
      <c r="L89" s="63"/>
      <c r="M89" s="59" t="str">
        <f t="shared" si="10"/>
        <v>NA</v>
      </c>
      <c r="N89" s="17"/>
    </row>
    <row r="90">
      <c r="A90" s="9"/>
      <c r="B90" s="38">
        <f t="shared" si="5"/>
        <v>88</v>
      </c>
      <c r="C90" s="11" t="s">
        <v>12</v>
      </c>
      <c r="D90" s="48" t="s">
        <v>100</v>
      </c>
      <c r="E90" s="13" t="s">
        <v>49</v>
      </c>
      <c r="F90" s="13">
        <v>16.0</v>
      </c>
      <c r="G90" s="13" t="s">
        <v>14</v>
      </c>
      <c r="H90" s="13" t="s">
        <v>17</v>
      </c>
      <c r="I90" s="13" t="s">
        <v>26</v>
      </c>
      <c r="J90" s="55">
        <v>1994.0</v>
      </c>
      <c r="K90" s="56">
        <v>0.72</v>
      </c>
      <c r="L90" s="14">
        <v>141.0</v>
      </c>
      <c r="M90" s="16">
        <f t="shared" si="10"/>
        <v>0.5106382979</v>
      </c>
      <c r="N90" s="17"/>
    </row>
    <row r="91">
      <c r="A91" s="9"/>
      <c r="B91" s="38">
        <f t="shared" si="5"/>
        <v>89</v>
      </c>
      <c r="C91" s="34">
        <v>40176.0</v>
      </c>
      <c r="D91" s="48" t="s">
        <v>101</v>
      </c>
      <c r="E91" s="13" t="s">
        <v>49</v>
      </c>
      <c r="F91" s="13">
        <v>16.0</v>
      </c>
      <c r="G91" s="35" t="str">
        <f t="shared" ref="G91:G104" si="14">IF(C91&gt;40908,"2012",IF(C91&gt;40543,"2011",IF(C91&gt;40178,"2010",IF(C91&gt;=39814,"2009",IF(C91&gt;=39448,"2008",IF(C91&gt;39082,"2007",IF(C91&lt;38717,"Pre-2006","2006")))))))</f>
        <v>2009</v>
      </c>
      <c r="H91" s="13" t="s">
        <v>29</v>
      </c>
      <c r="I91" s="13" t="s">
        <v>26</v>
      </c>
      <c r="J91" s="14">
        <v>2009.0</v>
      </c>
      <c r="K91" s="15">
        <v>0.88</v>
      </c>
      <c r="L91" s="14">
        <v>109.0</v>
      </c>
      <c r="M91" s="16">
        <f t="shared" si="10"/>
        <v>0.8073394495</v>
      </c>
      <c r="N91" s="17"/>
    </row>
    <row r="92">
      <c r="A92" s="9"/>
      <c r="B92" s="38">
        <f t="shared" si="5"/>
        <v>90</v>
      </c>
      <c r="C92" s="34">
        <v>39323.0</v>
      </c>
      <c r="D92" s="48" t="s">
        <v>102</v>
      </c>
      <c r="E92" s="13" t="s">
        <v>49</v>
      </c>
      <c r="F92" s="13">
        <v>16.0</v>
      </c>
      <c r="G92" s="35" t="str">
        <f t="shared" si="14"/>
        <v>2007</v>
      </c>
      <c r="H92" s="13" t="s">
        <v>103</v>
      </c>
      <c r="I92" s="13" t="s">
        <v>47</v>
      </c>
      <c r="J92" s="55">
        <v>2004.0</v>
      </c>
      <c r="K92" s="56">
        <v>0.88</v>
      </c>
      <c r="L92" s="14">
        <v>85.0</v>
      </c>
      <c r="M92" s="16">
        <f t="shared" si="10"/>
        <v>1.035294118</v>
      </c>
      <c r="N92" s="17"/>
    </row>
    <row r="93">
      <c r="A93" s="9"/>
      <c r="B93" s="18">
        <f t="shared" si="5"/>
        <v>91</v>
      </c>
      <c r="C93" s="49">
        <v>39822.0</v>
      </c>
      <c r="D93" s="50" t="s">
        <v>104</v>
      </c>
      <c r="E93" s="21" t="s">
        <v>49</v>
      </c>
      <c r="F93" s="21">
        <v>16.0</v>
      </c>
      <c r="G93" s="51" t="str">
        <f t="shared" si="14"/>
        <v>2009</v>
      </c>
      <c r="H93" s="21" t="s">
        <v>27</v>
      </c>
      <c r="I93" s="21" t="s">
        <v>26</v>
      </c>
      <c r="J93" s="22">
        <v>2008.0</v>
      </c>
      <c r="K93" s="23">
        <v>0.98</v>
      </c>
      <c r="L93" s="22">
        <v>105.0</v>
      </c>
      <c r="M93" s="24">
        <f t="shared" si="10"/>
        <v>0.9333333333</v>
      </c>
      <c r="N93" s="17"/>
    </row>
    <row r="94">
      <c r="A94" s="9"/>
      <c r="B94" s="40">
        <f t="shared" si="5"/>
        <v>92</v>
      </c>
      <c r="C94" s="65"/>
      <c r="D94" s="42" t="s">
        <v>105</v>
      </c>
      <c r="E94" s="43" t="s">
        <v>106</v>
      </c>
      <c r="F94" s="43">
        <v>15.0</v>
      </c>
      <c r="G94" s="44" t="str">
        <f t="shared" si="14"/>
        <v>Pre-2006</v>
      </c>
      <c r="H94" s="66"/>
      <c r="I94" s="43" t="s">
        <v>26</v>
      </c>
      <c r="J94" s="67"/>
      <c r="K94" s="68"/>
      <c r="L94" s="67"/>
      <c r="M94" s="69" t="str">
        <f t="shared" si="10"/>
        <v>NA</v>
      </c>
      <c r="N94" s="17"/>
    </row>
    <row r="95">
      <c r="A95" s="9"/>
      <c r="B95" s="38">
        <f t="shared" si="5"/>
        <v>93</v>
      </c>
      <c r="C95" s="34">
        <v>39395.0</v>
      </c>
      <c r="D95" s="48" t="s">
        <v>107</v>
      </c>
      <c r="E95" s="13" t="s">
        <v>106</v>
      </c>
      <c r="F95" s="13">
        <v>15.0</v>
      </c>
      <c r="G95" s="35" t="str">
        <f t="shared" si="14"/>
        <v>2007</v>
      </c>
      <c r="H95" s="13" t="s">
        <v>17</v>
      </c>
      <c r="I95" s="13" t="s">
        <v>26</v>
      </c>
      <c r="J95" s="61"/>
      <c r="K95" s="62"/>
      <c r="L95" s="63"/>
      <c r="M95" s="59" t="str">
        <f t="shared" si="10"/>
        <v>NA</v>
      </c>
      <c r="N95" s="17"/>
    </row>
    <row r="96">
      <c r="A96" s="9"/>
      <c r="B96" s="38">
        <f t="shared" si="5"/>
        <v>94</v>
      </c>
      <c r="C96" s="70"/>
      <c r="D96" s="48" t="s">
        <v>108</v>
      </c>
      <c r="E96" s="13" t="s">
        <v>106</v>
      </c>
      <c r="F96" s="13">
        <v>15.0</v>
      </c>
      <c r="G96" s="35" t="str">
        <f t="shared" si="14"/>
        <v>Pre-2006</v>
      </c>
      <c r="H96" s="13" t="s">
        <v>15</v>
      </c>
      <c r="I96" s="13" t="s">
        <v>16</v>
      </c>
      <c r="J96" s="61"/>
      <c r="K96" s="62"/>
      <c r="L96" s="63"/>
      <c r="M96" s="59" t="str">
        <f t="shared" si="10"/>
        <v>NA</v>
      </c>
      <c r="N96" s="17"/>
    </row>
    <row r="97">
      <c r="A97" s="9"/>
      <c r="B97" s="38">
        <f t="shared" si="5"/>
        <v>95</v>
      </c>
      <c r="C97" s="70"/>
      <c r="D97" s="48" t="s">
        <v>109</v>
      </c>
      <c r="E97" s="13" t="s">
        <v>106</v>
      </c>
      <c r="F97" s="13">
        <v>15.0</v>
      </c>
      <c r="G97" s="35" t="str">
        <f t="shared" si="14"/>
        <v>Pre-2006</v>
      </c>
      <c r="H97" s="71"/>
      <c r="I97" s="71"/>
      <c r="J97" s="61"/>
      <c r="K97" s="62"/>
      <c r="L97" s="63"/>
      <c r="M97" s="59" t="str">
        <f t="shared" si="10"/>
        <v>NA</v>
      </c>
      <c r="N97" s="17"/>
    </row>
    <row r="98">
      <c r="A98" s="9"/>
      <c r="B98" s="38">
        <f t="shared" si="5"/>
        <v>96</v>
      </c>
      <c r="C98" s="70"/>
      <c r="D98" s="48" t="s">
        <v>110</v>
      </c>
      <c r="E98" s="13" t="s">
        <v>106</v>
      </c>
      <c r="F98" s="13">
        <v>15.0</v>
      </c>
      <c r="G98" s="35" t="str">
        <f t="shared" si="14"/>
        <v>Pre-2006</v>
      </c>
      <c r="H98" s="71"/>
      <c r="I98" s="71"/>
      <c r="J98" s="61"/>
      <c r="K98" s="62"/>
      <c r="L98" s="63"/>
      <c r="M98" s="59" t="str">
        <f t="shared" si="10"/>
        <v>NA</v>
      </c>
      <c r="N98" s="17"/>
    </row>
    <row r="99">
      <c r="A99" s="9"/>
      <c r="B99" s="38">
        <f t="shared" si="5"/>
        <v>97</v>
      </c>
      <c r="C99" s="34">
        <v>39314.0</v>
      </c>
      <c r="D99" s="48" t="s">
        <v>111</v>
      </c>
      <c r="E99" s="13" t="s">
        <v>106</v>
      </c>
      <c r="F99" s="13">
        <v>15.0</v>
      </c>
      <c r="G99" s="35" t="str">
        <f t="shared" si="14"/>
        <v>2007</v>
      </c>
      <c r="H99" s="13" t="s">
        <v>15</v>
      </c>
      <c r="I99" s="13" t="s">
        <v>21</v>
      </c>
      <c r="J99" s="61"/>
      <c r="K99" s="62"/>
      <c r="L99" s="63"/>
      <c r="M99" s="59" t="str">
        <f t="shared" si="10"/>
        <v>NA</v>
      </c>
      <c r="N99" s="17"/>
    </row>
    <row r="100">
      <c r="A100" s="9"/>
      <c r="B100" s="38">
        <f t="shared" si="5"/>
        <v>98</v>
      </c>
      <c r="C100" s="34">
        <v>39129.0</v>
      </c>
      <c r="D100" s="48" t="s">
        <v>112</v>
      </c>
      <c r="E100" s="13" t="s">
        <v>106</v>
      </c>
      <c r="F100" s="13">
        <v>15.0</v>
      </c>
      <c r="G100" s="35" t="str">
        <f t="shared" si="14"/>
        <v>2007</v>
      </c>
      <c r="H100" s="71"/>
      <c r="I100" s="71"/>
      <c r="J100" s="61"/>
      <c r="K100" s="62"/>
      <c r="L100" s="63"/>
      <c r="M100" s="59" t="str">
        <f t="shared" si="10"/>
        <v>NA</v>
      </c>
      <c r="N100" s="17"/>
    </row>
    <row r="101">
      <c r="A101" s="9"/>
      <c r="B101" s="38">
        <f t="shared" si="5"/>
        <v>99</v>
      </c>
      <c r="C101" s="70"/>
      <c r="D101" s="48" t="s">
        <v>113</v>
      </c>
      <c r="E101" s="13" t="s">
        <v>106</v>
      </c>
      <c r="F101" s="13">
        <v>15.0</v>
      </c>
      <c r="G101" s="35" t="str">
        <f t="shared" si="14"/>
        <v>Pre-2006</v>
      </c>
      <c r="H101" s="13" t="s">
        <v>25</v>
      </c>
      <c r="I101" s="13" t="s">
        <v>26</v>
      </c>
      <c r="J101" s="61"/>
      <c r="K101" s="62"/>
      <c r="L101" s="63"/>
      <c r="M101" s="59" t="str">
        <f t="shared" si="10"/>
        <v>NA</v>
      </c>
      <c r="N101" s="17"/>
    </row>
    <row r="102">
      <c r="A102" s="9"/>
      <c r="B102" s="38">
        <f t="shared" si="5"/>
        <v>100</v>
      </c>
      <c r="C102" s="70"/>
      <c r="D102" s="48" t="s">
        <v>114</v>
      </c>
      <c r="E102" s="13" t="s">
        <v>106</v>
      </c>
      <c r="F102" s="13">
        <v>15.0</v>
      </c>
      <c r="G102" s="35" t="str">
        <f t="shared" si="14"/>
        <v>Pre-2006</v>
      </c>
      <c r="H102" s="71"/>
      <c r="I102" s="71"/>
      <c r="J102" s="61"/>
      <c r="K102" s="62"/>
      <c r="L102" s="63"/>
      <c r="M102" s="59" t="str">
        <f t="shared" si="10"/>
        <v>NA</v>
      </c>
      <c r="N102" s="17"/>
    </row>
    <row r="103">
      <c r="A103" s="9"/>
      <c r="B103" s="38">
        <f t="shared" si="5"/>
        <v>101</v>
      </c>
      <c r="C103" s="34">
        <v>39605.0</v>
      </c>
      <c r="D103" s="48" t="s">
        <v>115</v>
      </c>
      <c r="E103" s="13" t="s">
        <v>106</v>
      </c>
      <c r="F103" s="13">
        <v>15.0</v>
      </c>
      <c r="G103" s="35" t="str">
        <f t="shared" si="14"/>
        <v>2008</v>
      </c>
      <c r="H103" s="13" t="s">
        <v>17</v>
      </c>
      <c r="I103" s="13" t="s">
        <v>26</v>
      </c>
      <c r="J103" s="14">
        <v>2008.0</v>
      </c>
      <c r="K103" s="15">
        <v>1.0</v>
      </c>
      <c r="L103" s="14">
        <v>106.0</v>
      </c>
      <c r="M103" s="16">
        <f t="shared" si="10"/>
        <v>0.9433962264</v>
      </c>
      <c r="N103" s="17"/>
    </row>
    <row r="104">
      <c r="A104" s="9"/>
      <c r="B104" s="38">
        <f t="shared" si="5"/>
        <v>102</v>
      </c>
      <c r="C104" s="34">
        <v>39074.0</v>
      </c>
      <c r="D104" s="48" t="s">
        <v>116</v>
      </c>
      <c r="E104" s="13" t="s">
        <v>106</v>
      </c>
      <c r="F104" s="13">
        <v>15.0</v>
      </c>
      <c r="G104" s="35" t="str">
        <f t="shared" si="14"/>
        <v>2006</v>
      </c>
      <c r="H104" s="13" t="s">
        <v>26</v>
      </c>
      <c r="I104" s="13" t="s">
        <v>25</v>
      </c>
      <c r="J104" s="61"/>
      <c r="K104" s="62"/>
      <c r="L104" s="63"/>
      <c r="M104" s="59" t="str">
        <f t="shared" si="10"/>
        <v>NA</v>
      </c>
      <c r="N104" s="17"/>
    </row>
    <row r="105">
      <c r="A105" s="9"/>
      <c r="B105" s="38">
        <f t="shared" si="5"/>
        <v>103</v>
      </c>
      <c r="C105" s="34">
        <v>44865.0</v>
      </c>
      <c r="D105" s="12" t="str">
        <f>hyperlink("https://www.rottentomatoes.com/m/blue_jasmine","Blue Jasmine")</f>
        <v>Blue Jasmine</v>
      </c>
      <c r="E105" s="33" t="s">
        <v>106</v>
      </c>
      <c r="F105" s="33">
        <v>15.0</v>
      </c>
      <c r="G105" s="36">
        <v>2022.0</v>
      </c>
      <c r="H105" s="33" t="s">
        <v>58</v>
      </c>
      <c r="I105" s="33" t="s">
        <v>77</v>
      </c>
      <c r="J105" s="57">
        <v>2013.0</v>
      </c>
      <c r="K105" s="58">
        <v>0.91</v>
      </c>
      <c r="L105" s="37">
        <v>98.0</v>
      </c>
      <c r="M105" s="16">
        <f t="shared" si="10"/>
        <v>0.9285714286</v>
      </c>
      <c r="N105" s="17"/>
    </row>
    <row r="106">
      <c r="A106" s="9"/>
      <c r="B106" s="38">
        <f t="shared" si="5"/>
        <v>104</v>
      </c>
      <c r="C106" s="70"/>
      <c r="D106" s="48" t="s">
        <v>117</v>
      </c>
      <c r="E106" s="13" t="s">
        <v>106</v>
      </c>
      <c r="F106" s="13">
        <v>15.0</v>
      </c>
      <c r="G106" s="35" t="str">
        <f t="shared" ref="G106:G107" si="15">IF(C106&gt;40908,"2012",IF(C106&gt;40543,"2011",IF(C106&gt;40178,"2010",IF(C106&gt;=39814,"2009",IF(C106&gt;=39448,"2008",IF(C106&gt;39082,"2007",IF(C106&lt;38717,"Pre-2006","2006")))))))</f>
        <v>Pre-2006</v>
      </c>
      <c r="H106" s="13" t="s">
        <v>15</v>
      </c>
      <c r="I106" s="13" t="s">
        <v>16</v>
      </c>
      <c r="J106" s="61"/>
      <c r="K106" s="62"/>
      <c r="L106" s="63"/>
      <c r="M106" s="59" t="str">
        <f t="shared" si="10"/>
        <v>NA</v>
      </c>
      <c r="N106" s="17"/>
    </row>
    <row r="107">
      <c r="A107" s="9"/>
      <c r="B107" s="38">
        <f t="shared" si="5"/>
        <v>105</v>
      </c>
      <c r="C107" s="70"/>
      <c r="D107" s="48" t="s">
        <v>118</v>
      </c>
      <c r="E107" s="13" t="s">
        <v>106</v>
      </c>
      <c r="F107" s="13">
        <v>15.0</v>
      </c>
      <c r="G107" s="35" t="str">
        <f t="shared" si="15"/>
        <v>Pre-2006</v>
      </c>
      <c r="H107" s="13" t="s">
        <v>15</v>
      </c>
      <c r="I107" s="13" t="s">
        <v>16</v>
      </c>
      <c r="J107" s="61"/>
      <c r="K107" s="62"/>
      <c r="L107" s="63"/>
      <c r="M107" s="59" t="str">
        <f t="shared" si="10"/>
        <v>NA</v>
      </c>
      <c r="N107" s="17"/>
    </row>
    <row r="108">
      <c r="A108" s="9"/>
      <c r="B108" s="38">
        <f t="shared" si="5"/>
        <v>106</v>
      </c>
      <c r="C108" s="34">
        <v>42338.0</v>
      </c>
      <c r="D108" s="12" t="str">
        <f>hyperlink("http://www.rottentomatoes.com/m/bridge_of_spies/?search=bridge%20of%20spies","Bridge of Spies")</f>
        <v>Bridge of Spies</v>
      </c>
      <c r="E108" s="33" t="s">
        <v>106</v>
      </c>
      <c r="F108" s="33">
        <v>15.0</v>
      </c>
      <c r="G108" s="36">
        <v>2015.0</v>
      </c>
      <c r="H108" s="33" t="s">
        <v>25</v>
      </c>
      <c r="I108" s="33" t="s">
        <v>26</v>
      </c>
      <c r="J108" s="57">
        <v>2015.0</v>
      </c>
      <c r="K108" s="58">
        <v>0.91</v>
      </c>
      <c r="L108" s="37">
        <v>135.0</v>
      </c>
      <c r="M108" s="59">
        <f t="shared" si="10"/>
        <v>0.6740740741</v>
      </c>
      <c r="N108" s="17"/>
    </row>
    <row r="109">
      <c r="A109" s="9"/>
      <c r="B109" s="38">
        <f t="shared" si="5"/>
        <v>107</v>
      </c>
      <c r="C109" s="34">
        <v>42496.0</v>
      </c>
      <c r="D109" s="12" t="str">
        <f>hyperlink("http://www.rottentomatoes.com/m/bridge_on_the_river_kwai/?search=bridge%20on","Bridge on the River Kwai, The")</f>
        <v>Bridge on the River Kwai, The</v>
      </c>
      <c r="E109" s="33" t="s">
        <v>106</v>
      </c>
      <c r="F109" s="33">
        <v>15.0</v>
      </c>
      <c r="G109" s="36">
        <v>2016.0</v>
      </c>
      <c r="H109" s="33" t="s">
        <v>58</v>
      </c>
      <c r="I109" s="33" t="s">
        <v>47</v>
      </c>
      <c r="J109" s="57">
        <v>1957.0</v>
      </c>
      <c r="K109" s="58">
        <v>0.94</v>
      </c>
      <c r="L109" s="37">
        <v>161.0</v>
      </c>
      <c r="M109" s="59">
        <f>K109/L109*100</f>
        <v>0.5838509317</v>
      </c>
      <c r="N109" s="17"/>
    </row>
    <row r="110">
      <c r="A110" s="9"/>
      <c r="B110" s="38">
        <f t="shared" si="5"/>
        <v>108</v>
      </c>
      <c r="C110" s="33">
        <v>1999.0</v>
      </c>
      <c r="D110" s="48" t="s">
        <v>119</v>
      </c>
      <c r="E110" s="13" t="s">
        <v>106</v>
      </c>
      <c r="F110" s="13">
        <v>15.0</v>
      </c>
      <c r="G110" s="35" t="str">
        <f t="shared" ref="G110:G114" si="16">IF(C110&gt;40908,"2012",IF(C110&gt;40543,"2011",IF(C110&gt;40178,"2010",IF(C110&gt;=39814,"2009",IF(C110&gt;=39448,"2008",IF(C110&gt;39082,"2007",IF(C110&lt;38717,"Pre-2006","2006")))))))</f>
        <v>Pre-2006</v>
      </c>
      <c r="H110" s="13" t="s">
        <v>120</v>
      </c>
      <c r="I110" s="13" t="s">
        <v>16</v>
      </c>
      <c r="J110" s="61"/>
      <c r="K110" s="62"/>
      <c r="L110" s="63"/>
      <c r="M110" s="59" t="str">
        <f t="shared" ref="M110:M141" si="17">if(iserror(K110/L110*100),"NA",K110/L110*100)</f>
        <v>NA</v>
      </c>
      <c r="N110" s="17"/>
    </row>
    <row r="111">
      <c r="A111" s="9"/>
      <c r="B111" s="38">
        <f t="shared" si="5"/>
        <v>109</v>
      </c>
      <c r="C111" s="70"/>
      <c r="D111" s="48" t="s">
        <v>121</v>
      </c>
      <c r="E111" s="13" t="s">
        <v>106</v>
      </c>
      <c r="F111" s="13">
        <v>15.0</v>
      </c>
      <c r="G111" s="35" t="str">
        <f t="shared" si="16"/>
        <v>Pre-2006</v>
      </c>
      <c r="H111" s="71"/>
      <c r="I111" s="71"/>
      <c r="J111" s="61"/>
      <c r="K111" s="62"/>
      <c r="L111" s="63"/>
      <c r="M111" s="59" t="str">
        <f t="shared" si="17"/>
        <v>NA</v>
      </c>
      <c r="N111" s="17"/>
    </row>
    <row r="112">
      <c r="A112" s="9"/>
      <c r="B112" s="38">
        <f t="shared" si="5"/>
        <v>110</v>
      </c>
      <c r="C112" s="34">
        <v>38890.0</v>
      </c>
      <c r="D112" s="48" t="s">
        <v>122</v>
      </c>
      <c r="E112" s="13" t="s">
        <v>106</v>
      </c>
      <c r="F112" s="13">
        <v>15.0</v>
      </c>
      <c r="G112" s="35" t="str">
        <f t="shared" si="16"/>
        <v>2006</v>
      </c>
      <c r="H112" s="71"/>
      <c r="I112" s="71"/>
      <c r="J112" s="61"/>
      <c r="K112" s="62"/>
      <c r="L112" s="63"/>
      <c r="M112" s="59" t="str">
        <f t="shared" si="17"/>
        <v>NA</v>
      </c>
      <c r="N112" s="17"/>
    </row>
    <row r="113">
      <c r="A113" s="9"/>
      <c r="B113" s="38">
        <f t="shared" si="5"/>
        <v>111</v>
      </c>
      <c r="C113" s="34">
        <v>39438.0</v>
      </c>
      <c r="D113" s="48" t="s">
        <v>123</v>
      </c>
      <c r="E113" s="13" t="s">
        <v>106</v>
      </c>
      <c r="F113" s="13">
        <v>15.0</v>
      </c>
      <c r="G113" s="35" t="str">
        <f t="shared" si="16"/>
        <v>2007</v>
      </c>
      <c r="H113" s="13" t="s">
        <v>124</v>
      </c>
      <c r="I113" s="13" t="s">
        <v>26</v>
      </c>
      <c r="J113" s="14">
        <v>2007.0</v>
      </c>
      <c r="K113" s="15">
        <v>0.82</v>
      </c>
      <c r="L113" s="63"/>
      <c r="M113" s="59" t="str">
        <f t="shared" si="17"/>
        <v>NA</v>
      </c>
      <c r="N113" s="17"/>
    </row>
    <row r="114">
      <c r="A114" s="9"/>
      <c r="B114" s="38">
        <f t="shared" si="5"/>
        <v>112</v>
      </c>
      <c r="C114" s="70"/>
      <c r="D114" s="48" t="s">
        <v>125</v>
      </c>
      <c r="E114" s="13" t="s">
        <v>106</v>
      </c>
      <c r="F114" s="13">
        <v>15.0</v>
      </c>
      <c r="G114" s="35" t="str">
        <f t="shared" si="16"/>
        <v>Pre-2006</v>
      </c>
      <c r="H114" s="71"/>
      <c r="I114" s="71"/>
      <c r="J114" s="61"/>
      <c r="K114" s="62"/>
      <c r="L114" s="63"/>
      <c r="M114" s="59" t="str">
        <f t="shared" si="17"/>
        <v>NA</v>
      </c>
      <c r="N114" s="17"/>
    </row>
    <row r="115">
      <c r="A115" s="9"/>
      <c r="B115" s="38">
        <f t="shared" si="5"/>
        <v>113</v>
      </c>
      <c r="C115" s="34">
        <v>44860.0</v>
      </c>
      <c r="D115" s="12" t="str">
        <f>hyperlink("https://www.rottentomatoes.com/m/coda_2021","Coda")</f>
        <v>Coda</v>
      </c>
      <c r="E115" s="33" t="s">
        <v>106</v>
      </c>
      <c r="F115" s="33">
        <v>15.0</v>
      </c>
      <c r="G115" s="36">
        <v>2022.0</v>
      </c>
      <c r="H115" s="33" t="s">
        <v>126</v>
      </c>
      <c r="I115" s="33" t="s">
        <v>47</v>
      </c>
      <c r="J115" s="57">
        <v>2021.0</v>
      </c>
      <c r="K115" s="58">
        <v>0.94</v>
      </c>
      <c r="L115" s="37">
        <v>111.0</v>
      </c>
      <c r="M115" s="59">
        <f t="shared" si="17"/>
        <v>0.8468468468</v>
      </c>
      <c r="N115" s="17"/>
    </row>
    <row r="116">
      <c r="A116" s="9"/>
      <c r="B116" s="38">
        <f t="shared" si="5"/>
        <v>114</v>
      </c>
      <c r="C116" s="34">
        <v>38760.0</v>
      </c>
      <c r="D116" s="48" t="s">
        <v>127</v>
      </c>
      <c r="E116" s="13" t="s">
        <v>106</v>
      </c>
      <c r="F116" s="13">
        <v>15.0</v>
      </c>
      <c r="G116" s="35" t="str">
        <f t="shared" ref="G116:G119" si="18">IF(C116&gt;40908,"2012",IF(C116&gt;40543,"2011",IF(C116&gt;40178,"2010",IF(C116&gt;=39814,"2009",IF(C116&gt;=39448,"2008",IF(C116&gt;39082,"2007",IF(C116&lt;38717,"Pre-2006","2006")))))))</f>
        <v>2006</v>
      </c>
      <c r="H116" s="71"/>
      <c r="I116" s="71"/>
      <c r="J116" s="61"/>
      <c r="K116" s="62"/>
      <c r="L116" s="63"/>
      <c r="M116" s="59" t="str">
        <f t="shared" si="17"/>
        <v>NA</v>
      </c>
      <c r="N116" s="17"/>
    </row>
    <row r="117">
      <c r="A117" s="9"/>
      <c r="B117" s="38">
        <f t="shared" si="5"/>
        <v>115</v>
      </c>
      <c r="C117" s="70"/>
      <c r="D117" s="48" t="s">
        <v>128</v>
      </c>
      <c r="E117" s="13" t="s">
        <v>106</v>
      </c>
      <c r="F117" s="13">
        <v>15.0</v>
      </c>
      <c r="G117" s="35" t="str">
        <f t="shared" si="18"/>
        <v>Pre-2006</v>
      </c>
      <c r="H117" s="71"/>
      <c r="I117" s="71"/>
      <c r="J117" s="61"/>
      <c r="K117" s="62"/>
      <c r="L117" s="63"/>
      <c r="M117" s="59" t="str">
        <f t="shared" si="17"/>
        <v>NA</v>
      </c>
      <c r="N117" s="17"/>
    </row>
    <row r="118">
      <c r="A118" s="9"/>
      <c r="B118" s="38">
        <f t="shared" si="5"/>
        <v>116</v>
      </c>
      <c r="C118" s="70"/>
      <c r="D118" s="48" t="s">
        <v>129</v>
      </c>
      <c r="E118" s="13" t="s">
        <v>106</v>
      </c>
      <c r="F118" s="13">
        <v>15.0</v>
      </c>
      <c r="G118" s="35" t="str">
        <f t="shared" si="18"/>
        <v>Pre-2006</v>
      </c>
      <c r="H118" s="71"/>
      <c r="I118" s="71"/>
      <c r="J118" s="61"/>
      <c r="K118" s="62"/>
      <c r="L118" s="63"/>
      <c r="M118" s="59" t="str">
        <f t="shared" si="17"/>
        <v>NA</v>
      </c>
      <c r="N118" s="17"/>
    </row>
    <row r="119">
      <c r="A119" s="9"/>
      <c r="B119" s="38">
        <f t="shared" si="5"/>
        <v>117</v>
      </c>
      <c r="C119" s="34">
        <v>39179.0</v>
      </c>
      <c r="D119" s="48" t="s">
        <v>130</v>
      </c>
      <c r="E119" s="13" t="s">
        <v>106</v>
      </c>
      <c r="F119" s="13">
        <v>15.0</v>
      </c>
      <c r="G119" s="35" t="str">
        <f t="shared" si="18"/>
        <v>2007</v>
      </c>
      <c r="H119" s="71"/>
      <c r="I119" s="71"/>
      <c r="J119" s="61"/>
      <c r="K119" s="62"/>
      <c r="L119" s="63"/>
      <c r="M119" s="59" t="str">
        <f t="shared" si="17"/>
        <v>NA</v>
      </c>
      <c r="N119" s="17"/>
    </row>
    <row r="120">
      <c r="A120" s="9"/>
      <c r="B120" s="38">
        <f t="shared" si="5"/>
        <v>118</v>
      </c>
      <c r="C120" s="34">
        <v>42333.0</v>
      </c>
      <c r="D120" s="12" t="str">
        <f>hyperlink("http://www.rottentomatoes.com/m/creed_2015/","Creed")</f>
        <v>Creed</v>
      </c>
      <c r="E120" s="33" t="s">
        <v>106</v>
      </c>
      <c r="F120" s="33">
        <v>15.0</v>
      </c>
      <c r="G120" s="36">
        <v>2015.0</v>
      </c>
      <c r="H120" s="33" t="s">
        <v>25</v>
      </c>
      <c r="I120" s="33" t="s">
        <v>26</v>
      </c>
      <c r="J120" s="57">
        <v>2015.0</v>
      </c>
      <c r="K120" s="58">
        <v>0.93</v>
      </c>
      <c r="L120" s="37">
        <v>132.0</v>
      </c>
      <c r="M120" s="59">
        <f t="shared" si="17"/>
        <v>0.7045454545</v>
      </c>
      <c r="N120" s="17"/>
    </row>
    <row r="121">
      <c r="A121" s="9"/>
      <c r="B121" s="38">
        <f t="shared" si="5"/>
        <v>119</v>
      </c>
      <c r="C121" s="70"/>
      <c r="D121" s="48" t="s">
        <v>131</v>
      </c>
      <c r="E121" s="13" t="s">
        <v>106</v>
      </c>
      <c r="F121" s="13">
        <v>15.0</v>
      </c>
      <c r="G121" s="35" t="str">
        <f t="shared" ref="G121:G124" si="19">IF(C121&gt;40908,"2012",IF(C121&gt;40543,"2011",IF(C121&gt;40178,"2010",IF(C121&gt;=39814,"2009",IF(C121&gt;=39448,"2008",IF(C121&gt;39082,"2007",IF(C121&lt;38717,"Pre-2006","2006")))))))</f>
        <v>Pre-2006</v>
      </c>
      <c r="H121" s="71"/>
      <c r="I121" s="71"/>
      <c r="J121" s="61"/>
      <c r="K121" s="62"/>
      <c r="L121" s="63"/>
      <c r="M121" s="59" t="str">
        <f t="shared" si="17"/>
        <v>NA</v>
      </c>
      <c r="N121" s="17"/>
    </row>
    <row r="122">
      <c r="A122" s="9"/>
      <c r="B122" s="38">
        <f t="shared" si="5"/>
        <v>120</v>
      </c>
      <c r="C122" s="34">
        <v>33635.0</v>
      </c>
      <c r="D122" s="48" t="s">
        <v>132</v>
      </c>
      <c r="E122" s="13" t="s">
        <v>106</v>
      </c>
      <c r="F122" s="13">
        <v>15.0</v>
      </c>
      <c r="G122" s="35" t="str">
        <f t="shared" si="19"/>
        <v>Pre-2006</v>
      </c>
      <c r="H122" s="13" t="s">
        <v>15</v>
      </c>
      <c r="I122" s="13" t="s">
        <v>26</v>
      </c>
      <c r="J122" s="61"/>
      <c r="K122" s="62"/>
      <c r="L122" s="63"/>
      <c r="M122" s="59" t="str">
        <f t="shared" si="17"/>
        <v>NA</v>
      </c>
      <c r="N122" s="17"/>
    </row>
    <row r="123">
      <c r="A123" s="9"/>
      <c r="B123" s="38">
        <f t="shared" si="5"/>
        <v>121</v>
      </c>
      <c r="C123" s="34">
        <v>39036.0</v>
      </c>
      <c r="D123" s="48" t="s">
        <v>133</v>
      </c>
      <c r="E123" s="13" t="s">
        <v>106</v>
      </c>
      <c r="F123" s="13">
        <v>15.0</v>
      </c>
      <c r="G123" s="35" t="str">
        <f t="shared" si="19"/>
        <v>2006</v>
      </c>
      <c r="H123" s="71"/>
      <c r="I123" s="71"/>
      <c r="J123" s="61"/>
      <c r="K123" s="62"/>
      <c r="L123" s="63"/>
      <c r="M123" s="59" t="str">
        <f t="shared" si="17"/>
        <v>NA</v>
      </c>
      <c r="N123" s="17"/>
    </row>
    <row r="124">
      <c r="A124" s="9"/>
      <c r="B124" s="38">
        <f t="shared" si="5"/>
        <v>122</v>
      </c>
      <c r="C124" s="34">
        <v>39247.0</v>
      </c>
      <c r="D124" s="48" t="s">
        <v>134</v>
      </c>
      <c r="E124" s="13" t="s">
        <v>106</v>
      </c>
      <c r="F124" s="13">
        <v>15.0</v>
      </c>
      <c r="G124" s="35" t="str">
        <f t="shared" si="19"/>
        <v>2007</v>
      </c>
      <c r="H124" s="71"/>
      <c r="I124" s="71"/>
      <c r="J124" s="61"/>
      <c r="K124" s="62"/>
      <c r="L124" s="63"/>
      <c r="M124" s="59" t="str">
        <f t="shared" si="17"/>
        <v>NA</v>
      </c>
      <c r="N124" s="17"/>
    </row>
    <row r="125">
      <c r="A125" s="9"/>
      <c r="B125" s="38">
        <f t="shared" si="5"/>
        <v>123</v>
      </c>
      <c r="C125" s="34">
        <v>42322.0</v>
      </c>
      <c r="D125" s="12" t="str">
        <f>hyperlink("http://www.rottentomatoes.com/m/the_end_of_the_tour_2015/?search=the%20end%20of%20the%20tour","End of the Tour, The")</f>
        <v>End of the Tour, The</v>
      </c>
      <c r="E125" s="33" t="s">
        <v>106</v>
      </c>
      <c r="F125" s="33">
        <v>15.0</v>
      </c>
      <c r="G125" s="36">
        <v>2015.0</v>
      </c>
      <c r="H125" s="33" t="s">
        <v>58</v>
      </c>
      <c r="I125" s="33" t="s">
        <v>47</v>
      </c>
      <c r="J125" s="57">
        <v>2015.0</v>
      </c>
      <c r="K125" s="58">
        <v>0.91</v>
      </c>
      <c r="L125" s="37">
        <v>105.0</v>
      </c>
      <c r="M125" s="59">
        <f t="shared" si="17"/>
        <v>0.8666666667</v>
      </c>
      <c r="N125" s="17"/>
    </row>
    <row r="126">
      <c r="A126" s="9"/>
      <c r="B126" s="38">
        <f t="shared" si="5"/>
        <v>124</v>
      </c>
      <c r="C126" s="34">
        <v>41839.0</v>
      </c>
      <c r="D126" s="12" t="str">
        <f>hyperlink("http://www.rottentomatoes.com/m/exit_through_the_gift_shop/","Exit Through The Gift Shop")</f>
        <v>Exit Through The Gift Shop</v>
      </c>
      <c r="E126" s="13" t="s">
        <v>106</v>
      </c>
      <c r="F126" s="13">
        <v>15.0</v>
      </c>
      <c r="G126" s="13">
        <v>2010.0</v>
      </c>
      <c r="H126" s="13" t="s">
        <v>27</v>
      </c>
      <c r="I126" s="13" t="s">
        <v>26</v>
      </c>
      <c r="J126" s="55">
        <v>2010.0</v>
      </c>
      <c r="K126" s="56">
        <v>0.96</v>
      </c>
      <c r="L126" s="14">
        <v>86.0</v>
      </c>
      <c r="M126" s="16">
        <f t="shared" si="17"/>
        <v>1.11627907</v>
      </c>
      <c r="N126" s="17"/>
    </row>
    <row r="127">
      <c r="A127" s="9"/>
      <c r="B127" s="38">
        <f t="shared" si="5"/>
        <v>125</v>
      </c>
      <c r="C127" s="70"/>
      <c r="D127" s="48" t="s">
        <v>135</v>
      </c>
      <c r="E127" s="13" t="s">
        <v>106</v>
      </c>
      <c r="F127" s="13">
        <v>15.0</v>
      </c>
      <c r="G127" s="35" t="str">
        <f t="shared" ref="G127:G129" si="20">IF(C127&gt;40908,"2012",IF(C127&gt;40543,"2011",IF(C127&gt;40178,"2010",IF(C127&gt;=39814,"2009",IF(C127&gt;=39448,"2008",IF(C127&gt;39082,"2007",IF(C127&lt;38717,"Pre-2006","2006")))))))</f>
        <v>Pre-2006</v>
      </c>
      <c r="H127" s="71"/>
      <c r="I127" s="71"/>
      <c r="J127" s="61"/>
      <c r="K127" s="62"/>
      <c r="L127" s="63"/>
      <c r="M127" s="59" t="str">
        <f t="shared" si="17"/>
        <v>NA</v>
      </c>
      <c r="N127" s="17"/>
    </row>
    <row r="128">
      <c r="A128" s="9"/>
      <c r="B128" s="38">
        <f t="shared" si="5"/>
        <v>126</v>
      </c>
      <c r="C128" s="70"/>
      <c r="D128" s="48" t="s">
        <v>136</v>
      </c>
      <c r="E128" s="13" t="s">
        <v>106</v>
      </c>
      <c r="F128" s="13">
        <v>15.0</v>
      </c>
      <c r="G128" s="35" t="str">
        <f t="shared" si="20"/>
        <v>Pre-2006</v>
      </c>
      <c r="H128" s="71"/>
      <c r="I128" s="71"/>
      <c r="J128" s="61"/>
      <c r="K128" s="62"/>
      <c r="L128" s="63"/>
      <c r="M128" s="59" t="str">
        <f t="shared" si="17"/>
        <v>NA</v>
      </c>
      <c r="N128" s="17"/>
    </row>
    <row r="129">
      <c r="A129" s="9"/>
      <c r="B129" s="38">
        <f t="shared" si="5"/>
        <v>127</v>
      </c>
      <c r="C129" s="70"/>
      <c r="D129" s="48" t="s">
        <v>137</v>
      </c>
      <c r="E129" s="13" t="s">
        <v>106</v>
      </c>
      <c r="F129" s="13">
        <v>15.0</v>
      </c>
      <c r="G129" s="35" t="str">
        <f t="shared" si="20"/>
        <v>Pre-2006</v>
      </c>
      <c r="H129" s="71"/>
      <c r="I129" s="71"/>
      <c r="J129" s="61"/>
      <c r="K129" s="62"/>
      <c r="L129" s="63"/>
      <c r="M129" s="59" t="str">
        <f t="shared" si="17"/>
        <v>NA</v>
      </c>
      <c r="N129" s="17"/>
    </row>
    <row r="130">
      <c r="A130" s="9"/>
      <c r="B130" s="38">
        <f t="shared" si="5"/>
        <v>128</v>
      </c>
      <c r="C130" s="34">
        <v>43457.0</v>
      </c>
      <c r="D130" s="12" t="str">
        <f>hyperlink("https://www.rottentomatoes.com/m/free_solo","Free Solo")</f>
        <v>Free Solo</v>
      </c>
      <c r="E130" s="33" t="s">
        <v>106</v>
      </c>
      <c r="F130" s="33">
        <v>15.0</v>
      </c>
      <c r="G130" s="36">
        <v>2018.0</v>
      </c>
      <c r="H130" s="33" t="s">
        <v>20</v>
      </c>
      <c r="I130" s="33" t="s">
        <v>26</v>
      </c>
      <c r="J130" s="57">
        <v>2018.0</v>
      </c>
      <c r="K130" s="58">
        <v>0.98</v>
      </c>
      <c r="L130" s="37">
        <v>97.0</v>
      </c>
      <c r="M130" s="59">
        <f t="shared" si="17"/>
        <v>1.010309278</v>
      </c>
      <c r="N130" s="17"/>
    </row>
    <row r="131">
      <c r="A131" s="9"/>
      <c r="B131" s="38">
        <f t="shared" si="5"/>
        <v>129</v>
      </c>
      <c r="C131" s="70"/>
      <c r="D131" s="48" t="s">
        <v>138</v>
      </c>
      <c r="E131" s="13" t="s">
        <v>106</v>
      </c>
      <c r="F131" s="13">
        <v>15.0</v>
      </c>
      <c r="G131" s="35" t="str">
        <f t="shared" ref="G131:G135" si="21">IF(C131&gt;40908,"2012",IF(C131&gt;40543,"2011",IF(C131&gt;40178,"2010",IF(C131&gt;=39814,"2009",IF(C131&gt;=39448,"2008",IF(C131&gt;39082,"2007",IF(C131&lt;38717,"Pre-2006","2006")))))))</f>
        <v>Pre-2006</v>
      </c>
      <c r="H131" s="13" t="s">
        <v>25</v>
      </c>
      <c r="I131" s="13" t="s">
        <v>26</v>
      </c>
      <c r="J131" s="61"/>
      <c r="K131" s="62"/>
      <c r="L131" s="63"/>
      <c r="M131" s="59" t="str">
        <f t="shared" si="17"/>
        <v>NA</v>
      </c>
      <c r="N131" s="17"/>
    </row>
    <row r="132">
      <c r="A132" s="9"/>
      <c r="B132" s="38">
        <f t="shared" si="5"/>
        <v>130</v>
      </c>
      <c r="C132" s="34">
        <v>39734.0</v>
      </c>
      <c r="D132" s="48" t="s">
        <v>139</v>
      </c>
      <c r="E132" s="13" t="s">
        <v>106</v>
      </c>
      <c r="F132" s="13">
        <v>15.0</v>
      </c>
      <c r="G132" s="35" t="str">
        <f t="shared" si="21"/>
        <v>2008</v>
      </c>
      <c r="H132" s="13" t="s">
        <v>27</v>
      </c>
      <c r="I132" s="13" t="s">
        <v>26</v>
      </c>
      <c r="J132" s="14">
        <v>2008.0</v>
      </c>
      <c r="K132" s="15">
        <v>0.84</v>
      </c>
      <c r="L132" s="14">
        <v>102.0</v>
      </c>
      <c r="M132" s="16">
        <f t="shared" si="17"/>
        <v>0.8235294118</v>
      </c>
      <c r="N132" s="17"/>
    </row>
    <row r="133">
      <c r="A133" s="9"/>
      <c r="B133" s="38">
        <f t="shared" si="5"/>
        <v>131</v>
      </c>
      <c r="C133" s="34">
        <v>39491.0</v>
      </c>
      <c r="D133" s="48" t="s">
        <v>140</v>
      </c>
      <c r="E133" s="13" t="s">
        <v>106</v>
      </c>
      <c r="F133" s="13">
        <v>15.0</v>
      </c>
      <c r="G133" s="35" t="str">
        <f t="shared" si="21"/>
        <v>2008</v>
      </c>
      <c r="H133" s="13" t="s">
        <v>17</v>
      </c>
      <c r="I133" s="13" t="s">
        <v>21</v>
      </c>
      <c r="J133" s="14">
        <v>2007.0</v>
      </c>
      <c r="K133" s="15">
        <v>0.93</v>
      </c>
      <c r="L133" s="14">
        <v>115.0</v>
      </c>
      <c r="M133" s="16">
        <f t="shared" si="17"/>
        <v>0.8086956522</v>
      </c>
      <c r="N133" s="17"/>
    </row>
    <row r="134">
      <c r="A134" s="9"/>
      <c r="B134" s="38">
        <f t="shared" si="5"/>
        <v>132</v>
      </c>
      <c r="C134" s="70"/>
      <c r="D134" s="48" t="s">
        <v>141</v>
      </c>
      <c r="E134" s="13" t="s">
        <v>106</v>
      </c>
      <c r="F134" s="13">
        <v>15.0</v>
      </c>
      <c r="G134" s="35" t="str">
        <f t="shared" si="21"/>
        <v>Pre-2006</v>
      </c>
      <c r="H134" s="71"/>
      <c r="I134" s="71"/>
      <c r="J134" s="61"/>
      <c r="K134" s="62"/>
      <c r="L134" s="63"/>
      <c r="M134" s="59" t="str">
        <f t="shared" si="17"/>
        <v>NA</v>
      </c>
      <c r="N134" s="17"/>
    </row>
    <row r="135">
      <c r="A135" s="9"/>
      <c r="B135" s="38">
        <f t="shared" si="5"/>
        <v>133</v>
      </c>
      <c r="C135" s="70"/>
      <c r="D135" s="48" t="s">
        <v>142</v>
      </c>
      <c r="E135" s="13" t="s">
        <v>106</v>
      </c>
      <c r="F135" s="13">
        <v>15.0</v>
      </c>
      <c r="G135" s="35" t="str">
        <f t="shared" si="21"/>
        <v>Pre-2006</v>
      </c>
      <c r="H135" s="71"/>
      <c r="I135" s="71"/>
      <c r="J135" s="61"/>
      <c r="K135" s="62"/>
      <c r="L135" s="63"/>
      <c r="M135" s="59" t="str">
        <f t="shared" si="17"/>
        <v>NA</v>
      </c>
      <c r="N135" s="17"/>
    </row>
    <row r="136">
      <c r="A136" s="9"/>
      <c r="B136" s="38">
        <f t="shared" si="5"/>
        <v>134</v>
      </c>
      <c r="C136" s="34">
        <v>43467.0</v>
      </c>
      <c r="D136" s="12" t="str">
        <f>hyperlink("https://www.rottentomatoes.com/m/green_book","Green Book")</f>
        <v>Green Book</v>
      </c>
      <c r="E136" s="33" t="s">
        <v>106</v>
      </c>
      <c r="F136" s="33">
        <v>15.0</v>
      </c>
      <c r="G136" s="36">
        <v>2019.0</v>
      </c>
      <c r="H136" s="33" t="s">
        <v>143</v>
      </c>
      <c r="I136" s="33" t="s">
        <v>26</v>
      </c>
      <c r="J136" s="57">
        <v>2018.0</v>
      </c>
      <c r="K136" s="58">
        <v>0.81</v>
      </c>
      <c r="L136" s="37">
        <v>130.0</v>
      </c>
      <c r="M136" s="59">
        <f t="shared" si="17"/>
        <v>0.6230769231</v>
      </c>
      <c r="N136" s="17"/>
    </row>
    <row r="137">
      <c r="A137" s="9"/>
      <c r="B137" s="38">
        <f t="shared" si="5"/>
        <v>135</v>
      </c>
      <c r="C137" s="34">
        <v>39276.0</v>
      </c>
      <c r="D137" s="48" t="s">
        <v>144</v>
      </c>
      <c r="E137" s="13" t="s">
        <v>106</v>
      </c>
      <c r="F137" s="13">
        <v>15.0</v>
      </c>
      <c r="G137" s="35" t="str">
        <f>IF(C137&gt;40908,"2012",IF(C137&gt;40543,"2011",IF(C137&gt;40178,"2010",IF(C137&gt;=39814,"2009",IF(C137&gt;=39448,"2008",IF(C137&gt;39082,"2007",IF(C137&lt;38717,"Pre-2006","2006")))))))</f>
        <v>2007</v>
      </c>
      <c r="H137" s="71"/>
      <c r="I137" s="71"/>
      <c r="J137" s="61"/>
      <c r="K137" s="62"/>
      <c r="L137" s="63"/>
      <c r="M137" s="59" t="str">
        <f t="shared" si="17"/>
        <v>NA</v>
      </c>
      <c r="N137" s="17"/>
    </row>
    <row r="138">
      <c r="A138" s="9"/>
      <c r="B138" s="38">
        <f t="shared" si="5"/>
        <v>136</v>
      </c>
      <c r="C138" s="34">
        <v>41818.0</v>
      </c>
      <c r="D138" s="12" t="str">
        <f>hyperlink("http://www.rottentomatoes.com/m/her/","Her")</f>
        <v>Her</v>
      </c>
      <c r="E138" s="13" t="s">
        <v>106</v>
      </c>
      <c r="F138" s="13">
        <v>15.0</v>
      </c>
      <c r="G138" s="13">
        <v>2014.0</v>
      </c>
      <c r="H138" s="13" t="s">
        <v>126</v>
      </c>
      <c r="I138" s="13" t="s">
        <v>126</v>
      </c>
      <c r="J138" s="55">
        <v>2013.0</v>
      </c>
      <c r="K138" s="56">
        <v>0.94</v>
      </c>
      <c r="L138" s="14">
        <v>126.0</v>
      </c>
      <c r="M138" s="16">
        <f t="shared" si="17"/>
        <v>0.746031746</v>
      </c>
      <c r="N138" s="17"/>
    </row>
    <row r="139">
      <c r="A139" s="9"/>
      <c r="B139" s="38">
        <f t="shared" si="5"/>
        <v>137</v>
      </c>
      <c r="C139" s="34">
        <v>39080.0</v>
      </c>
      <c r="D139" s="48" t="s">
        <v>145</v>
      </c>
      <c r="E139" s="13" t="s">
        <v>106</v>
      </c>
      <c r="F139" s="13">
        <v>15.0</v>
      </c>
      <c r="G139" s="35" t="str">
        <f>IF(C139&gt;40908,"2012",IF(C139&gt;40543,"2011",IF(C139&gt;40178,"2010",IF(C139&gt;=39814,"2009",IF(C139&gt;=39448,"2008",IF(C139&gt;39082,"2007",IF(C139&lt;38717,"Pre-2006","2006")))))))</f>
        <v>2006</v>
      </c>
      <c r="H139" s="71"/>
      <c r="I139" s="71"/>
      <c r="J139" s="61"/>
      <c r="K139" s="62"/>
      <c r="L139" s="63"/>
      <c r="M139" s="59" t="str">
        <f t="shared" si="17"/>
        <v>NA</v>
      </c>
      <c r="N139" s="17"/>
    </row>
    <row r="140">
      <c r="A140" s="9"/>
      <c r="B140" s="38">
        <f t="shared" si="5"/>
        <v>138</v>
      </c>
      <c r="C140" s="34">
        <v>41607.0</v>
      </c>
      <c r="D140" s="48" t="s">
        <v>146</v>
      </c>
      <c r="E140" s="13" t="s">
        <v>106</v>
      </c>
      <c r="F140" s="13">
        <v>15.0</v>
      </c>
      <c r="G140" s="13">
        <v>2013.0</v>
      </c>
      <c r="H140" s="13" t="s">
        <v>147</v>
      </c>
      <c r="I140" s="13" t="s">
        <v>26</v>
      </c>
      <c r="J140" s="55">
        <v>2013.0</v>
      </c>
      <c r="K140" s="56">
        <v>0.89</v>
      </c>
      <c r="L140" s="14">
        <v>146.0</v>
      </c>
      <c r="M140" s="16">
        <f t="shared" si="17"/>
        <v>0.6095890411</v>
      </c>
      <c r="N140" s="17"/>
    </row>
    <row r="141">
      <c r="A141" s="9"/>
      <c r="B141" s="38">
        <f t="shared" si="5"/>
        <v>139</v>
      </c>
      <c r="C141" s="34">
        <v>42004.0</v>
      </c>
      <c r="D141" s="12" t="str">
        <f>hyperlink("http://www.rottentomatoes.com/m/hugo/?search=hugo","Hugo")</f>
        <v>Hugo</v>
      </c>
      <c r="E141" s="13" t="s">
        <v>106</v>
      </c>
      <c r="F141" s="13">
        <v>15.0</v>
      </c>
      <c r="G141" s="13">
        <v>2011.0</v>
      </c>
      <c r="H141" s="13" t="s">
        <v>147</v>
      </c>
      <c r="I141" s="13" t="s">
        <v>47</v>
      </c>
      <c r="J141" s="55">
        <v>2011.0</v>
      </c>
      <c r="K141" s="56">
        <v>0.94</v>
      </c>
      <c r="L141" s="14">
        <v>126.0</v>
      </c>
      <c r="M141" s="16">
        <f t="shared" si="17"/>
        <v>0.746031746</v>
      </c>
      <c r="N141" s="17"/>
    </row>
    <row r="142">
      <c r="A142" s="9"/>
      <c r="B142" s="38">
        <f t="shared" si="5"/>
        <v>140</v>
      </c>
      <c r="C142" s="34">
        <v>42652.0</v>
      </c>
      <c r="D142" s="12" t="str">
        <f>hyperlink("https://www.rottentomatoes.com/m/hunt_for_the_wilderpeople","Hunt for the Wilderpeople, The")</f>
        <v>Hunt for the Wilderpeople, The</v>
      </c>
      <c r="E142" s="33" t="s">
        <v>106</v>
      </c>
      <c r="F142" s="33">
        <v>15.0</v>
      </c>
      <c r="G142" s="36">
        <v>2016.0</v>
      </c>
      <c r="H142" s="33" t="s">
        <v>58</v>
      </c>
      <c r="I142" s="13" t="s">
        <v>47</v>
      </c>
      <c r="J142" s="57">
        <v>2016.0</v>
      </c>
      <c r="K142" s="58">
        <v>0.98</v>
      </c>
      <c r="L142" s="37">
        <v>101.0</v>
      </c>
      <c r="M142" s="16">
        <f>K142/L142*100</f>
        <v>0.9702970297</v>
      </c>
      <c r="N142" s="17"/>
    </row>
    <row r="143">
      <c r="A143" s="9"/>
      <c r="B143" s="38">
        <f t="shared" si="5"/>
        <v>141</v>
      </c>
      <c r="C143" s="34">
        <v>43163.0</v>
      </c>
      <c r="D143" s="12" t="str">
        <f>hyperlink("https://www.rottentomatoes.com/m/icarus_2017","Icarus")</f>
        <v>Icarus</v>
      </c>
      <c r="E143" s="33" t="s">
        <v>106</v>
      </c>
      <c r="F143" s="33">
        <v>15.0</v>
      </c>
      <c r="G143" s="36">
        <v>2018.0</v>
      </c>
      <c r="H143" s="33" t="s">
        <v>58</v>
      </c>
      <c r="I143" s="33" t="s">
        <v>77</v>
      </c>
      <c r="J143" s="57">
        <v>2017.0</v>
      </c>
      <c r="K143" s="58">
        <v>0.93</v>
      </c>
      <c r="L143" s="37">
        <v>110.0</v>
      </c>
      <c r="M143" s="16">
        <f t="shared" ref="M143:M167" si="22">if(iserror(K143/L143*100),"NA",K143/L143*100)</f>
        <v>0.8454545455</v>
      </c>
      <c r="N143" s="17"/>
    </row>
    <row r="144">
      <c r="A144" s="9"/>
      <c r="B144" s="38">
        <f t="shared" si="5"/>
        <v>142</v>
      </c>
      <c r="C144" s="70"/>
      <c r="D144" s="48" t="s">
        <v>148</v>
      </c>
      <c r="E144" s="13" t="s">
        <v>106</v>
      </c>
      <c r="F144" s="13">
        <v>15.0</v>
      </c>
      <c r="G144" s="35" t="str">
        <f>IF(C144&gt;40908,"2012",IF(C144&gt;40543,"2011",IF(C144&gt;40178,"2010",IF(C144&gt;=39814,"2009",IF(C144&gt;=39448,"2008",IF(C144&gt;39082,"2007",IF(C144&lt;38717,"Pre-2006","2006")))))))</f>
        <v>Pre-2006</v>
      </c>
      <c r="H144" s="71"/>
      <c r="I144" s="71"/>
      <c r="J144" s="61"/>
      <c r="K144" s="62"/>
      <c r="L144" s="63"/>
      <c r="M144" s="59" t="str">
        <f t="shared" si="22"/>
        <v>NA</v>
      </c>
      <c r="N144" s="17"/>
    </row>
    <row r="145">
      <c r="A145" s="9"/>
      <c r="B145" s="38">
        <f t="shared" si="5"/>
        <v>143</v>
      </c>
      <c r="C145" s="34">
        <v>44861.0</v>
      </c>
      <c r="D145" s="12" t="str">
        <f>hyperlink("https://www.rottentomatoes.com/m/inglourious_basterds","Inglorious Basterds")</f>
        <v>Inglorious Basterds</v>
      </c>
      <c r="E145" s="33" t="s">
        <v>106</v>
      </c>
      <c r="F145" s="33">
        <v>15.0</v>
      </c>
      <c r="G145" s="36">
        <v>2022.0</v>
      </c>
      <c r="H145" s="33" t="s">
        <v>58</v>
      </c>
      <c r="I145" s="33" t="s">
        <v>47</v>
      </c>
      <c r="J145" s="57">
        <v>2009.0</v>
      </c>
      <c r="K145" s="58">
        <v>0.89</v>
      </c>
      <c r="L145" s="37">
        <v>152.0</v>
      </c>
      <c r="M145" s="16">
        <f t="shared" si="22"/>
        <v>0.5855263158</v>
      </c>
      <c r="N145" s="17"/>
    </row>
    <row r="146">
      <c r="A146" s="9"/>
      <c r="B146" s="38">
        <f t="shared" si="5"/>
        <v>144</v>
      </c>
      <c r="C146" s="34">
        <v>39118.0</v>
      </c>
      <c r="D146" s="48" t="s">
        <v>149</v>
      </c>
      <c r="E146" s="13" t="s">
        <v>106</v>
      </c>
      <c r="F146" s="13">
        <v>15.0</v>
      </c>
      <c r="G146" s="35" t="str">
        <f t="shared" ref="G146:G148" si="23">IF(C146&gt;40908,"2012",IF(C146&gt;40543,"2011",IF(C146&gt;40178,"2010",IF(C146&gt;=39814,"2009",IF(C146&gt;=39448,"2008",IF(C146&gt;39082,"2007",IF(C146&lt;38717,"Pre-2006","2006")))))))</f>
        <v>2007</v>
      </c>
      <c r="H146" s="71"/>
      <c r="I146" s="71"/>
      <c r="J146" s="61"/>
      <c r="K146" s="62"/>
      <c r="L146" s="63"/>
      <c r="M146" s="59" t="str">
        <f t="shared" si="22"/>
        <v>NA</v>
      </c>
      <c r="N146" s="17"/>
    </row>
    <row r="147">
      <c r="A147" s="9"/>
      <c r="B147" s="38">
        <f t="shared" si="5"/>
        <v>145</v>
      </c>
      <c r="C147" s="34">
        <v>39570.0</v>
      </c>
      <c r="D147" s="48" t="s">
        <v>150</v>
      </c>
      <c r="E147" s="13" t="s">
        <v>106</v>
      </c>
      <c r="F147" s="13">
        <v>15.0</v>
      </c>
      <c r="G147" s="35" t="str">
        <f t="shared" si="23"/>
        <v>2008</v>
      </c>
      <c r="H147" s="13" t="s">
        <v>27</v>
      </c>
      <c r="I147" s="13" t="s">
        <v>26</v>
      </c>
      <c r="J147" s="14">
        <v>2008.0</v>
      </c>
      <c r="K147" s="15">
        <v>0.93</v>
      </c>
      <c r="L147" s="14">
        <v>126.0</v>
      </c>
      <c r="M147" s="16">
        <f t="shared" si="22"/>
        <v>0.7380952381</v>
      </c>
      <c r="N147" s="17"/>
    </row>
    <row r="148">
      <c r="A148" s="9"/>
      <c r="B148" s="38">
        <f t="shared" si="5"/>
        <v>146</v>
      </c>
      <c r="C148" s="34">
        <v>39487.0</v>
      </c>
      <c r="D148" s="48" t="s">
        <v>151</v>
      </c>
      <c r="E148" s="13" t="s">
        <v>106</v>
      </c>
      <c r="F148" s="13">
        <v>15.0</v>
      </c>
      <c r="G148" s="35" t="str">
        <f t="shared" si="23"/>
        <v>2008</v>
      </c>
      <c r="H148" s="13" t="s">
        <v>17</v>
      </c>
      <c r="I148" s="13" t="s">
        <v>47</v>
      </c>
      <c r="J148" s="14">
        <v>1934.0</v>
      </c>
      <c r="K148" s="15">
        <v>0.96</v>
      </c>
      <c r="L148" s="14">
        <v>105.0</v>
      </c>
      <c r="M148" s="16">
        <f t="shared" si="22"/>
        <v>0.9142857143</v>
      </c>
      <c r="N148" s="17"/>
    </row>
    <row r="149">
      <c r="A149" s="9"/>
      <c r="B149" s="38">
        <f t="shared" si="5"/>
        <v>147</v>
      </c>
      <c r="C149" s="34">
        <v>41482.0</v>
      </c>
      <c r="D149" s="48" t="s">
        <v>152</v>
      </c>
      <c r="E149" s="13" t="s">
        <v>106</v>
      </c>
      <c r="F149" s="13">
        <v>15.0</v>
      </c>
      <c r="G149" s="13">
        <v>2013.0</v>
      </c>
      <c r="H149" s="13" t="s">
        <v>25</v>
      </c>
      <c r="I149" s="13" t="s">
        <v>47</v>
      </c>
      <c r="J149" s="14">
        <v>2012.0</v>
      </c>
      <c r="K149" s="15">
        <v>0.99</v>
      </c>
      <c r="L149" s="14">
        <v>81.0</v>
      </c>
      <c r="M149" s="16">
        <f t="shared" si="22"/>
        <v>1.222222222</v>
      </c>
      <c r="N149" s="17"/>
    </row>
    <row r="150">
      <c r="A150" s="9"/>
      <c r="B150" s="38">
        <f t="shared" si="5"/>
        <v>148</v>
      </c>
      <c r="C150" s="34">
        <v>43756.0</v>
      </c>
      <c r="D150" s="12" t="str">
        <f>hyperlink("https://rottentomatoes.com/m/joker_2019","Joker")</f>
        <v>Joker</v>
      </c>
      <c r="E150" s="33" t="s">
        <v>106</v>
      </c>
      <c r="F150" s="33">
        <v>15.0</v>
      </c>
      <c r="G150" s="36">
        <v>2019.0</v>
      </c>
      <c r="H150" s="33" t="s">
        <v>153</v>
      </c>
      <c r="I150" s="33" t="s">
        <v>26</v>
      </c>
      <c r="J150" s="37">
        <v>2019.0</v>
      </c>
      <c r="K150" s="15">
        <v>0.69</v>
      </c>
      <c r="L150" s="37">
        <v>122.0</v>
      </c>
      <c r="M150" s="16">
        <f t="shared" si="22"/>
        <v>0.5655737705</v>
      </c>
      <c r="N150" s="17"/>
    </row>
    <row r="151">
      <c r="A151" s="9"/>
      <c r="B151" s="38">
        <f t="shared" si="5"/>
        <v>149</v>
      </c>
      <c r="C151" s="34">
        <v>39645.0</v>
      </c>
      <c r="D151" s="48" t="s">
        <v>154</v>
      </c>
      <c r="E151" s="13" t="s">
        <v>106</v>
      </c>
      <c r="F151" s="13">
        <v>15.0</v>
      </c>
      <c r="G151" s="35" t="str">
        <f t="shared" ref="G151:G154" si="24">IF(C151&gt;40908,"2012",IF(C151&gt;40543,"2011",IF(C151&gt;40178,"2010",IF(C151&gt;=39814,"2009",IF(C151&gt;=39448,"2008",IF(C151&gt;39082,"2007",IF(C151&lt;38717,"Pre-2006","2006")))))))</f>
        <v>2008</v>
      </c>
      <c r="H151" s="13" t="s">
        <v>155</v>
      </c>
      <c r="I151" s="13" t="s">
        <v>26</v>
      </c>
      <c r="J151" s="14">
        <v>2008.0</v>
      </c>
      <c r="K151" s="15">
        <v>0.88</v>
      </c>
      <c r="L151" s="14">
        <v>88.0</v>
      </c>
      <c r="M151" s="16">
        <f t="shared" si="22"/>
        <v>1</v>
      </c>
      <c r="N151" s="17"/>
    </row>
    <row r="152">
      <c r="A152" s="9"/>
      <c r="B152" s="38">
        <f t="shared" si="5"/>
        <v>150</v>
      </c>
      <c r="C152" s="70"/>
      <c r="D152" s="48" t="s">
        <v>156</v>
      </c>
      <c r="E152" s="13" t="s">
        <v>106</v>
      </c>
      <c r="F152" s="13">
        <v>15.0</v>
      </c>
      <c r="G152" s="35" t="str">
        <f t="shared" si="24"/>
        <v>Pre-2006</v>
      </c>
      <c r="H152" s="71"/>
      <c r="I152" s="71"/>
      <c r="J152" s="61"/>
      <c r="K152" s="62"/>
      <c r="L152" s="63"/>
      <c r="M152" s="59" t="str">
        <f t="shared" si="22"/>
        <v>NA</v>
      </c>
      <c r="N152" s="17"/>
    </row>
    <row r="153">
      <c r="A153" s="9"/>
      <c r="B153" s="38">
        <f t="shared" si="5"/>
        <v>151</v>
      </c>
      <c r="C153" s="70"/>
      <c r="D153" s="48" t="s">
        <v>157</v>
      </c>
      <c r="E153" s="13" t="s">
        <v>106</v>
      </c>
      <c r="F153" s="13">
        <v>15.0</v>
      </c>
      <c r="G153" s="35" t="str">
        <f t="shared" si="24"/>
        <v>Pre-2006</v>
      </c>
      <c r="H153" s="71"/>
      <c r="I153" s="71"/>
      <c r="J153" s="61"/>
      <c r="K153" s="62"/>
      <c r="L153" s="63"/>
      <c r="M153" s="59" t="str">
        <f t="shared" si="22"/>
        <v>NA</v>
      </c>
      <c r="N153" s="17"/>
    </row>
    <row r="154">
      <c r="A154" s="9"/>
      <c r="B154" s="38">
        <f t="shared" si="5"/>
        <v>152</v>
      </c>
      <c r="C154" s="70"/>
      <c r="D154" s="48" t="s">
        <v>158</v>
      </c>
      <c r="E154" s="13" t="s">
        <v>106</v>
      </c>
      <c r="F154" s="13">
        <v>15.0</v>
      </c>
      <c r="G154" s="35" t="str">
        <f t="shared" si="24"/>
        <v>Pre-2006</v>
      </c>
      <c r="H154" s="71"/>
      <c r="I154" s="71"/>
      <c r="J154" s="61"/>
      <c r="K154" s="62"/>
      <c r="L154" s="63"/>
      <c r="M154" s="59" t="str">
        <f t="shared" si="22"/>
        <v>NA</v>
      </c>
      <c r="N154" s="17"/>
    </row>
    <row r="155">
      <c r="A155" s="9"/>
      <c r="B155" s="38">
        <f t="shared" si="5"/>
        <v>153</v>
      </c>
      <c r="C155" s="60">
        <v>42367.0</v>
      </c>
      <c r="D155" s="12" t="str">
        <f>hyperlink("http://www.rottentomatoes.com/m/locke/?search=locke","Locke")</f>
        <v>Locke</v>
      </c>
      <c r="E155" s="33" t="s">
        <v>106</v>
      </c>
      <c r="F155" s="33">
        <v>15.0</v>
      </c>
      <c r="G155" s="36">
        <v>2015.0</v>
      </c>
      <c r="H155" s="33" t="s">
        <v>25</v>
      </c>
      <c r="I155" s="33" t="s">
        <v>82</v>
      </c>
      <c r="J155" s="57">
        <v>2014.0</v>
      </c>
      <c r="K155" s="58">
        <v>0.91</v>
      </c>
      <c r="L155" s="37">
        <v>85.0</v>
      </c>
      <c r="M155" s="59">
        <f t="shared" si="22"/>
        <v>1.070588235</v>
      </c>
      <c r="N155" s="17"/>
    </row>
    <row r="156">
      <c r="A156" s="9"/>
      <c r="B156" s="38">
        <f t="shared" si="5"/>
        <v>154</v>
      </c>
      <c r="C156" s="70"/>
      <c r="D156" s="48" t="s">
        <v>159</v>
      </c>
      <c r="E156" s="13" t="s">
        <v>106</v>
      </c>
      <c r="F156" s="13">
        <v>15.0</v>
      </c>
      <c r="G156" s="35" t="str">
        <f t="shared" ref="G156:G161" si="25">IF(C156&gt;40908,"2012",IF(C156&gt;40543,"2011",IF(C156&gt;40178,"2010",IF(C156&gt;=39814,"2009",IF(C156&gt;=39448,"2008",IF(C156&gt;39082,"2007",IF(C156&lt;38717,"Pre-2006","2006")))))))</f>
        <v>Pre-2006</v>
      </c>
      <c r="H156" s="71"/>
      <c r="I156" s="71"/>
      <c r="J156" s="61"/>
      <c r="K156" s="62"/>
      <c r="L156" s="63"/>
      <c r="M156" s="59" t="str">
        <f t="shared" si="22"/>
        <v>NA</v>
      </c>
      <c r="N156" s="17"/>
    </row>
    <row r="157">
      <c r="A157" s="9"/>
      <c r="B157" s="38">
        <f t="shared" si="5"/>
        <v>155</v>
      </c>
      <c r="C157" s="34">
        <v>39639.0</v>
      </c>
      <c r="D157" s="48" t="s">
        <v>160</v>
      </c>
      <c r="E157" s="13" t="s">
        <v>106</v>
      </c>
      <c r="F157" s="13">
        <v>15.0</v>
      </c>
      <c r="G157" s="35" t="str">
        <f t="shared" si="25"/>
        <v>2008</v>
      </c>
      <c r="H157" s="13" t="s">
        <v>15</v>
      </c>
      <c r="I157" s="13" t="s">
        <v>26</v>
      </c>
      <c r="J157" s="14">
        <v>2008.0</v>
      </c>
      <c r="K157" s="15">
        <v>0.52</v>
      </c>
      <c r="L157" s="14">
        <v>108.0</v>
      </c>
      <c r="M157" s="16">
        <f t="shared" si="22"/>
        <v>0.4814814815</v>
      </c>
      <c r="N157" s="17"/>
    </row>
    <row r="158">
      <c r="A158" s="9"/>
      <c r="B158" s="38">
        <f t="shared" si="5"/>
        <v>156</v>
      </c>
      <c r="C158" s="34">
        <v>39379.0</v>
      </c>
      <c r="D158" s="48" t="s">
        <v>161</v>
      </c>
      <c r="E158" s="13" t="s">
        <v>106</v>
      </c>
      <c r="F158" s="13">
        <v>15.0</v>
      </c>
      <c r="G158" s="35" t="str">
        <f t="shared" si="25"/>
        <v>2007</v>
      </c>
      <c r="H158" s="13" t="s">
        <v>17</v>
      </c>
      <c r="I158" s="13" t="s">
        <v>21</v>
      </c>
      <c r="J158" s="61"/>
      <c r="K158" s="62"/>
      <c r="L158" s="63"/>
      <c r="M158" s="59" t="str">
        <f t="shared" si="22"/>
        <v>NA</v>
      </c>
      <c r="N158" s="17"/>
    </row>
    <row r="159">
      <c r="A159" s="9"/>
      <c r="B159" s="38">
        <f t="shared" si="5"/>
        <v>157</v>
      </c>
      <c r="C159" s="34">
        <v>39753.0</v>
      </c>
      <c r="D159" s="48" t="s">
        <v>162</v>
      </c>
      <c r="E159" s="13" t="s">
        <v>106</v>
      </c>
      <c r="F159" s="13">
        <v>15.0</v>
      </c>
      <c r="G159" s="35" t="str">
        <f t="shared" si="25"/>
        <v>2008</v>
      </c>
      <c r="H159" s="13" t="s">
        <v>27</v>
      </c>
      <c r="I159" s="13" t="s">
        <v>47</v>
      </c>
      <c r="J159" s="14">
        <v>1962.0</v>
      </c>
      <c r="K159" s="15">
        <v>0.98</v>
      </c>
      <c r="L159" s="14">
        <v>126.0</v>
      </c>
      <c r="M159" s="16">
        <f t="shared" si="22"/>
        <v>0.7777777778</v>
      </c>
      <c r="N159" s="17"/>
    </row>
    <row r="160">
      <c r="A160" s="9"/>
      <c r="B160" s="38">
        <f t="shared" si="5"/>
        <v>158</v>
      </c>
      <c r="C160" s="34">
        <v>39116.0</v>
      </c>
      <c r="D160" s="48" t="s">
        <v>163</v>
      </c>
      <c r="E160" s="13" t="s">
        <v>106</v>
      </c>
      <c r="F160" s="13">
        <v>15.0</v>
      </c>
      <c r="G160" s="35" t="str">
        <f t="shared" si="25"/>
        <v>2007</v>
      </c>
      <c r="H160" s="71"/>
      <c r="I160" s="71"/>
      <c r="J160" s="61"/>
      <c r="K160" s="62"/>
      <c r="L160" s="63"/>
      <c r="M160" s="59" t="str">
        <f t="shared" si="22"/>
        <v>NA</v>
      </c>
      <c r="N160" s="17"/>
    </row>
    <row r="161">
      <c r="A161" s="9"/>
      <c r="B161" s="38">
        <f t="shared" si="5"/>
        <v>159</v>
      </c>
      <c r="C161" s="34">
        <v>39389.0</v>
      </c>
      <c r="D161" s="48" t="s">
        <v>164</v>
      </c>
      <c r="E161" s="13" t="s">
        <v>106</v>
      </c>
      <c r="F161" s="13">
        <v>15.0</v>
      </c>
      <c r="G161" s="35" t="str">
        <f t="shared" si="25"/>
        <v>2007</v>
      </c>
      <c r="H161" s="13" t="s">
        <v>17</v>
      </c>
      <c r="I161" s="13" t="s">
        <v>26</v>
      </c>
      <c r="J161" s="61"/>
      <c r="K161" s="62"/>
      <c r="L161" s="63"/>
      <c r="M161" s="59" t="str">
        <f t="shared" si="22"/>
        <v>NA</v>
      </c>
      <c r="N161" s="17"/>
    </row>
    <row r="162">
      <c r="A162" s="9"/>
      <c r="B162" s="38">
        <f t="shared" si="5"/>
        <v>160</v>
      </c>
      <c r="C162" s="34">
        <v>44021.0</v>
      </c>
      <c r="D162" s="12" t="str">
        <f>hyperlink("https://www.rottentomatoes.com/m/moonlight_2016","Moonlight")</f>
        <v>Moonlight</v>
      </c>
      <c r="E162" s="33" t="s">
        <v>106</v>
      </c>
      <c r="F162" s="33">
        <v>15.0</v>
      </c>
      <c r="G162" s="36">
        <v>2020.0</v>
      </c>
      <c r="H162" s="33" t="s">
        <v>58</v>
      </c>
      <c r="I162" s="33" t="s">
        <v>47</v>
      </c>
      <c r="J162" s="57">
        <v>2016.0</v>
      </c>
      <c r="K162" s="58">
        <v>0.98</v>
      </c>
      <c r="L162" s="37">
        <v>111.0</v>
      </c>
      <c r="M162" s="59">
        <f t="shared" si="22"/>
        <v>0.8828828829</v>
      </c>
      <c r="N162" s="17"/>
    </row>
    <row r="163">
      <c r="A163" s="9"/>
      <c r="B163" s="38">
        <f t="shared" si="5"/>
        <v>161</v>
      </c>
      <c r="C163" s="70"/>
      <c r="D163" s="48" t="s">
        <v>165</v>
      </c>
      <c r="E163" s="13" t="s">
        <v>106</v>
      </c>
      <c r="F163" s="13">
        <v>15.0</v>
      </c>
      <c r="G163" s="35" t="str">
        <f t="shared" ref="G163:G165" si="26">IF(C163&gt;40908,"2012",IF(C163&gt;40543,"2011",IF(C163&gt;40178,"2010",IF(C163&gt;=39814,"2009",IF(C163&gt;=39448,"2008",IF(C163&gt;39082,"2007",IF(C163&lt;38717,"Pre-2006","2006")))))))</f>
        <v>Pre-2006</v>
      </c>
      <c r="H163" s="71"/>
      <c r="I163" s="71"/>
      <c r="J163" s="61"/>
      <c r="K163" s="62"/>
      <c r="L163" s="63"/>
      <c r="M163" s="59" t="str">
        <f t="shared" si="22"/>
        <v>NA</v>
      </c>
      <c r="N163" s="17"/>
    </row>
    <row r="164">
      <c r="A164" s="9"/>
      <c r="B164" s="38">
        <f t="shared" si="5"/>
        <v>162</v>
      </c>
      <c r="C164" s="70"/>
      <c r="D164" s="48" t="s">
        <v>166</v>
      </c>
      <c r="E164" s="13" t="s">
        <v>106</v>
      </c>
      <c r="F164" s="13">
        <v>15.0</v>
      </c>
      <c r="G164" s="35" t="str">
        <f t="shared" si="26"/>
        <v>Pre-2006</v>
      </c>
      <c r="H164" s="71"/>
      <c r="I164" s="71"/>
      <c r="J164" s="61"/>
      <c r="K164" s="62"/>
      <c r="L164" s="63"/>
      <c r="M164" s="59" t="str">
        <f t="shared" si="22"/>
        <v>NA</v>
      </c>
      <c r="N164" s="17"/>
    </row>
    <row r="165">
      <c r="A165" s="9"/>
      <c r="B165" s="38">
        <f t="shared" si="5"/>
        <v>163</v>
      </c>
      <c r="C165" s="70"/>
      <c r="D165" s="48" t="s">
        <v>167</v>
      </c>
      <c r="E165" s="13" t="s">
        <v>106</v>
      </c>
      <c r="F165" s="13">
        <v>15.0</v>
      </c>
      <c r="G165" s="35" t="str">
        <f t="shared" si="26"/>
        <v>Pre-2006</v>
      </c>
      <c r="H165" s="71"/>
      <c r="I165" s="71"/>
      <c r="J165" s="61"/>
      <c r="K165" s="62"/>
      <c r="L165" s="63"/>
      <c r="M165" s="59" t="str">
        <f t="shared" si="22"/>
        <v>NA</v>
      </c>
      <c r="N165" s="17"/>
    </row>
    <row r="166">
      <c r="A166" s="9"/>
      <c r="B166" s="38">
        <f t="shared" si="5"/>
        <v>164</v>
      </c>
      <c r="C166" s="34">
        <v>42078.0</v>
      </c>
      <c r="D166" s="12" t="str">
        <f>hyperlink("http://www.rottentomatoes.com/m/nightcrawler","Nightcrawler")</f>
        <v>Nightcrawler</v>
      </c>
      <c r="E166" s="13" t="s">
        <v>106</v>
      </c>
      <c r="F166" s="13">
        <v>15.0</v>
      </c>
      <c r="G166" s="13">
        <v>2015.0</v>
      </c>
      <c r="H166" s="13" t="s">
        <v>91</v>
      </c>
      <c r="I166" s="13" t="s">
        <v>47</v>
      </c>
      <c r="J166" s="55">
        <v>2014.0</v>
      </c>
      <c r="K166" s="56">
        <v>0.95</v>
      </c>
      <c r="L166" s="14">
        <v>117.0</v>
      </c>
      <c r="M166" s="16">
        <f t="shared" si="22"/>
        <v>0.811965812</v>
      </c>
      <c r="N166" s="17"/>
    </row>
    <row r="167">
      <c r="A167" s="9"/>
      <c r="B167" s="38">
        <f t="shared" si="5"/>
        <v>165</v>
      </c>
      <c r="C167" s="70"/>
      <c r="D167" s="48" t="s">
        <v>168</v>
      </c>
      <c r="E167" s="13" t="s">
        <v>106</v>
      </c>
      <c r="F167" s="13">
        <v>15.0</v>
      </c>
      <c r="G167" s="35" t="str">
        <f>IF(C167&gt;40908,"2012",IF(C167&gt;40543,"2011",IF(C167&gt;40178,"2010",IF(C167&gt;=39814,"2009",IF(C167&gt;=39448,"2008",IF(C167&gt;39082,"2007",IF(C167&lt;38717,"Pre-2006","2006")))))))</f>
        <v>Pre-2006</v>
      </c>
      <c r="H167" s="71"/>
      <c r="I167" s="71"/>
      <c r="J167" s="61"/>
      <c r="K167" s="62"/>
      <c r="L167" s="63"/>
      <c r="M167" s="16" t="str">
        <f t="shared" si="22"/>
        <v>NA</v>
      </c>
      <c r="N167" s="17"/>
    </row>
    <row r="168">
      <c r="A168" s="9"/>
      <c r="B168" s="38">
        <f t="shared" si="5"/>
        <v>166</v>
      </c>
      <c r="C168" s="34">
        <v>42656.0</v>
      </c>
      <c r="D168" s="12" t="str">
        <f>hyperlink("https://www.rottentomatoes.com/m/oj_made_in_america","O.J. Simpson: Made in America")</f>
        <v>O.J. Simpson: Made in America</v>
      </c>
      <c r="E168" s="33" t="s">
        <v>106</v>
      </c>
      <c r="F168" s="33">
        <v>15.0</v>
      </c>
      <c r="G168" s="36">
        <v>2016.0</v>
      </c>
      <c r="H168" s="33" t="s">
        <v>25</v>
      </c>
      <c r="I168" s="33" t="s">
        <v>47</v>
      </c>
      <c r="J168" s="57">
        <v>2016.0</v>
      </c>
      <c r="K168" s="58">
        <v>1.0</v>
      </c>
      <c r="L168" s="37">
        <v>464.0</v>
      </c>
      <c r="M168" s="72" t="s">
        <v>169</v>
      </c>
      <c r="N168" s="17"/>
    </row>
    <row r="169">
      <c r="A169" s="9"/>
      <c r="B169" s="38">
        <f t="shared" si="5"/>
        <v>167</v>
      </c>
      <c r="C169" s="34">
        <v>42494.0</v>
      </c>
      <c r="D169" s="12" t="str">
        <f>hyperlink("http://www.rottentomatoes.com/m/on_the_waterfront/?search=on%20the%20waterfront","On the Waterfront")</f>
        <v>On the Waterfront</v>
      </c>
      <c r="E169" s="33" t="s">
        <v>106</v>
      </c>
      <c r="F169" s="33">
        <v>15.0</v>
      </c>
      <c r="G169" s="36">
        <v>2016.0</v>
      </c>
      <c r="H169" s="33" t="s">
        <v>25</v>
      </c>
      <c r="I169" s="33" t="s">
        <v>47</v>
      </c>
      <c r="J169" s="57">
        <v>19.0</v>
      </c>
      <c r="K169" s="58">
        <v>0.98</v>
      </c>
      <c r="L169" s="37">
        <v>108.0</v>
      </c>
      <c r="M169" s="16">
        <f t="shared" ref="M169:M170" si="27">K169/L169*100</f>
        <v>0.9074074074</v>
      </c>
      <c r="N169" s="17"/>
    </row>
    <row r="170">
      <c r="A170" s="9"/>
      <c r="B170" s="38">
        <f t="shared" si="5"/>
        <v>168</v>
      </c>
      <c r="C170" s="34">
        <v>45128.0</v>
      </c>
      <c r="D170" s="12" t="str">
        <f>hyperlink("https://www.rottentomatoes.com/m/oppenheimer_2023","Oppenheimer")</f>
        <v>Oppenheimer</v>
      </c>
      <c r="E170" s="33" t="s">
        <v>106</v>
      </c>
      <c r="F170" s="33">
        <v>15.0</v>
      </c>
      <c r="G170" s="36">
        <v>2023.0</v>
      </c>
      <c r="H170" s="33" t="s">
        <v>143</v>
      </c>
      <c r="I170" s="33" t="s">
        <v>26</v>
      </c>
      <c r="J170" s="57">
        <v>2023.0</v>
      </c>
      <c r="K170" s="58">
        <v>0.93</v>
      </c>
      <c r="L170" s="37">
        <v>180.0</v>
      </c>
      <c r="M170" s="16">
        <f t="shared" si="27"/>
        <v>0.5166666667</v>
      </c>
      <c r="N170" s="17"/>
    </row>
    <row r="171">
      <c r="A171" s="9"/>
      <c r="B171" s="38">
        <f t="shared" si="5"/>
        <v>169</v>
      </c>
      <c r="C171" s="34">
        <v>43216.0</v>
      </c>
      <c r="D171" s="12" t="str">
        <f>hyperlink("https://www.rottentomatoes.com/m/paddington_2","Paddington 2")</f>
        <v>Paddington 2</v>
      </c>
      <c r="E171" s="33" t="s">
        <v>106</v>
      </c>
      <c r="F171" s="33">
        <v>15.0</v>
      </c>
      <c r="G171" s="36">
        <v>2018.0</v>
      </c>
      <c r="H171" s="33" t="s">
        <v>58</v>
      </c>
      <c r="I171" s="33" t="s">
        <v>47</v>
      </c>
      <c r="J171" s="57">
        <v>2018.0</v>
      </c>
      <c r="K171" s="58">
        <v>1.0</v>
      </c>
      <c r="L171" s="37">
        <v>105.0</v>
      </c>
      <c r="M171" s="16">
        <f t="shared" ref="M171:M182" si="28">if(iserror(K171/L171*100),"NA",K171/L171*100)</f>
        <v>0.9523809524</v>
      </c>
      <c r="N171" s="17"/>
    </row>
    <row r="172">
      <c r="A172" s="9"/>
      <c r="B172" s="38">
        <f t="shared" si="5"/>
        <v>170</v>
      </c>
      <c r="C172" s="70"/>
      <c r="D172" s="48" t="s">
        <v>170</v>
      </c>
      <c r="E172" s="13" t="s">
        <v>106</v>
      </c>
      <c r="F172" s="13">
        <v>15.0</v>
      </c>
      <c r="G172" s="35" t="str">
        <f>IF(C172&gt;40908,"2012",IF(C172&gt;40543,"2011",IF(C172&gt;40178,"2010",IF(C172&gt;=39814,"2009",IF(C172&gt;=39448,"2008",IF(C172&gt;39082,"2007",IF(C172&lt;38717,"Pre-2006","2006")))))))</f>
        <v>Pre-2006</v>
      </c>
      <c r="H172" s="71"/>
      <c r="I172" s="71"/>
      <c r="J172" s="61"/>
      <c r="K172" s="62"/>
      <c r="L172" s="63"/>
      <c r="M172" s="59" t="str">
        <f t="shared" si="28"/>
        <v>NA</v>
      </c>
      <c r="N172" s="17"/>
    </row>
    <row r="173">
      <c r="A173" s="9"/>
      <c r="B173" s="38">
        <f t="shared" si="5"/>
        <v>171</v>
      </c>
      <c r="C173" s="34">
        <v>41377.0</v>
      </c>
      <c r="D173" s="48" t="s">
        <v>171</v>
      </c>
      <c r="E173" s="13" t="s">
        <v>106</v>
      </c>
      <c r="F173" s="13">
        <v>15.0</v>
      </c>
      <c r="G173" s="13">
        <v>2013.0</v>
      </c>
      <c r="H173" s="13" t="s">
        <v>25</v>
      </c>
      <c r="I173" s="13" t="s">
        <v>26</v>
      </c>
      <c r="J173" s="55">
        <v>2013.0</v>
      </c>
      <c r="K173" s="56">
        <v>0.81</v>
      </c>
      <c r="L173" s="14">
        <v>140.0</v>
      </c>
      <c r="M173" s="16">
        <f t="shared" si="28"/>
        <v>0.5785714286</v>
      </c>
      <c r="N173" s="17"/>
    </row>
    <row r="174">
      <c r="A174" s="9"/>
      <c r="B174" s="38">
        <f t="shared" si="5"/>
        <v>172</v>
      </c>
      <c r="C174" s="34">
        <v>39001.0</v>
      </c>
      <c r="D174" s="48" t="s">
        <v>172</v>
      </c>
      <c r="E174" s="13" t="s">
        <v>106</v>
      </c>
      <c r="F174" s="13">
        <v>15.0</v>
      </c>
      <c r="G174" s="35" t="str">
        <f t="shared" ref="G174:G176" si="29">IF(C174&gt;40908,"2012",IF(C174&gt;40543,"2011",IF(C174&gt;40178,"2010",IF(C174&gt;=39814,"2009",IF(C174&gt;=39448,"2008",IF(C174&gt;39082,"2007",IF(C174&lt;38717,"Pre-2006","2006")))))))</f>
        <v>2006</v>
      </c>
      <c r="H174" s="71"/>
      <c r="I174" s="71"/>
      <c r="J174" s="61"/>
      <c r="K174" s="62"/>
      <c r="L174" s="63"/>
      <c r="M174" s="59" t="str">
        <f t="shared" si="28"/>
        <v>NA</v>
      </c>
      <c r="N174" s="17"/>
    </row>
    <row r="175">
      <c r="A175" s="9"/>
      <c r="B175" s="38">
        <f t="shared" si="5"/>
        <v>173</v>
      </c>
      <c r="C175" s="70"/>
      <c r="D175" s="48" t="s">
        <v>173</v>
      </c>
      <c r="E175" s="13" t="s">
        <v>106</v>
      </c>
      <c r="F175" s="13">
        <v>15.0</v>
      </c>
      <c r="G175" s="35" t="str">
        <f t="shared" si="29"/>
        <v>Pre-2006</v>
      </c>
      <c r="H175" s="71"/>
      <c r="I175" s="71"/>
      <c r="J175" s="61"/>
      <c r="K175" s="62"/>
      <c r="L175" s="63"/>
      <c r="M175" s="59" t="str">
        <f t="shared" si="28"/>
        <v>NA</v>
      </c>
      <c r="N175" s="17"/>
    </row>
    <row r="176">
      <c r="A176" s="9"/>
      <c r="B176" s="38">
        <f t="shared" si="5"/>
        <v>174</v>
      </c>
      <c r="C176" s="70"/>
      <c r="D176" s="48" t="s">
        <v>174</v>
      </c>
      <c r="E176" s="13" t="s">
        <v>106</v>
      </c>
      <c r="F176" s="13">
        <v>15.0</v>
      </c>
      <c r="G176" s="35" t="str">
        <f t="shared" si="29"/>
        <v>Pre-2006</v>
      </c>
      <c r="H176" s="71"/>
      <c r="I176" s="71"/>
      <c r="J176" s="61"/>
      <c r="K176" s="62"/>
      <c r="L176" s="63"/>
      <c r="M176" s="59" t="str">
        <f t="shared" si="28"/>
        <v>NA</v>
      </c>
      <c r="N176" s="17"/>
    </row>
    <row r="177">
      <c r="A177" s="9"/>
      <c r="B177" s="38">
        <f t="shared" si="5"/>
        <v>175</v>
      </c>
      <c r="C177" s="34">
        <v>43208.0</v>
      </c>
      <c r="D177" s="12" t="str">
        <f>hyperlink("https://www.rottentomatoes.com/m/a_quiet_place_2018","Quiet Place, A")</f>
        <v>Quiet Place, A</v>
      </c>
      <c r="E177" s="33" t="s">
        <v>106</v>
      </c>
      <c r="F177" s="33">
        <v>15.0</v>
      </c>
      <c r="G177" s="36">
        <v>2018.0</v>
      </c>
      <c r="H177" s="33" t="s">
        <v>25</v>
      </c>
      <c r="I177" s="33" t="s">
        <v>26</v>
      </c>
      <c r="J177" s="57">
        <v>2018.0</v>
      </c>
      <c r="K177" s="58">
        <v>0.95</v>
      </c>
      <c r="L177" s="37">
        <v>90.0</v>
      </c>
      <c r="M177" s="59">
        <f t="shared" si="28"/>
        <v>1.055555556</v>
      </c>
      <c r="N177" s="17"/>
    </row>
    <row r="178">
      <c r="A178" s="9"/>
      <c r="B178" s="38">
        <f t="shared" si="5"/>
        <v>176</v>
      </c>
      <c r="C178" s="70"/>
      <c r="D178" s="48" t="s">
        <v>175</v>
      </c>
      <c r="E178" s="13" t="s">
        <v>106</v>
      </c>
      <c r="F178" s="13">
        <v>15.0</v>
      </c>
      <c r="G178" s="35" t="str">
        <f t="shared" ref="G178:G180" si="30">IF(C178&gt;40908,"2012",IF(C178&gt;40543,"2011",IF(C178&gt;40178,"2010",IF(C178&gt;=39814,"2009",IF(C178&gt;=39448,"2008",IF(C178&gt;39082,"2007",IF(C178&lt;38717,"Pre-2006","2006")))))))</f>
        <v>Pre-2006</v>
      </c>
      <c r="H178" s="71"/>
      <c r="I178" s="71"/>
      <c r="J178" s="61"/>
      <c r="K178" s="62"/>
      <c r="L178" s="63"/>
      <c r="M178" s="59" t="str">
        <f t="shared" si="28"/>
        <v>NA</v>
      </c>
      <c r="N178" s="17"/>
    </row>
    <row r="179">
      <c r="A179" s="9"/>
      <c r="B179" s="38">
        <f t="shared" si="5"/>
        <v>177</v>
      </c>
      <c r="C179" s="70"/>
      <c r="D179" s="48" t="s">
        <v>176</v>
      </c>
      <c r="E179" s="13" t="s">
        <v>106</v>
      </c>
      <c r="F179" s="13">
        <v>15.0</v>
      </c>
      <c r="G179" s="35" t="str">
        <f t="shared" si="30"/>
        <v>Pre-2006</v>
      </c>
      <c r="H179" s="71"/>
      <c r="I179" s="71"/>
      <c r="J179" s="61"/>
      <c r="K179" s="62"/>
      <c r="L179" s="63"/>
      <c r="M179" s="59" t="str">
        <f t="shared" si="28"/>
        <v>NA</v>
      </c>
      <c r="N179" s="17"/>
    </row>
    <row r="180">
      <c r="A180" s="9"/>
      <c r="B180" s="38">
        <f t="shared" si="5"/>
        <v>178</v>
      </c>
      <c r="C180" s="70"/>
      <c r="D180" s="48" t="s">
        <v>177</v>
      </c>
      <c r="E180" s="13" t="s">
        <v>106</v>
      </c>
      <c r="F180" s="13">
        <v>15.0</v>
      </c>
      <c r="G180" s="35" t="str">
        <f t="shared" si="30"/>
        <v>Pre-2006</v>
      </c>
      <c r="H180" s="71"/>
      <c r="I180" s="71"/>
      <c r="J180" s="61"/>
      <c r="K180" s="62"/>
      <c r="L180" s="63"/>
      <c r="M180" s="59" t="str">
        <f t="shared" si="28"/>
        <v>NA</v>
      </c>
      <c r="N180" s="17"/>
    </row>
    <row r="181">
      <c r="A181" s="9"/>
      <c r="B181" s="38">
        <f t="shared" si="5"/>
        <v>179</v>
      </c>
      <c r="C181" s="34">
        <v>41678.0</v>
      </c>
      <c r="D181" s="48" t="s">
        <v>178</v>
      </c>
      <c r="E181" s="13" t="s">
        <v>106</v>
      </c>
      <c r="F181" s="13">
        <v>15.0</v>
      </c>
      <c r="G181" s="13">
        <v>2013.0</v>
      </c>
      <c r="H181" s="13" t="s">
        <v>25</v>
      </c>
      <c r="I181" s="13" t="s">
        <v>26</v>
      </c>
      <c r="J181" s="55">
        <v>2013.0</v>
      </c>
      <c r="K181" s="56">
        <v>0.89</v>
      </c>
      <c r="L181" s="14">
        <v>123.0</v>
      </c>
      <c r="M181" s="16">
        <f t="shared" si="28"/>
        <v>0.7235772358</v>
      </c>
      <c r="N181" s="17"/>
    </row>
    <row r="182">
      <c r="A182" s="9"/>
      <c r="B182" s="38">
        <f t="shared" si="5"/>
        <v>180</v>
      </c>
      <c r="C182" s="70"/>
      <c r="D182" s="48" t="s">
        <v>179</v>
      </c>
      <c r="E182" s="13" t="s">
        <v>106</v>
      </c>
      <c r="F182" s="13">
        <v>15.0</v>
      </c>
      <c r="G182" s="35" t="str">
        <f>IF(C182&gt;40908,"2012",IF(C182&gt;40543,"2011",IF(C182&gt;40178,"2010",IF(C182&gt;=39814,"2009",IF(C182&gt;=39448,"2008",IF(C182&gt;39082,"2007",IF(C182&lt;38717,"Pre-2006","2006")))))))</f>
        <v>Pre-2006</v>
      </c>
      <c r="H182" s="71"/>
      <c r="I182" s="71"/>
      <c r="J182" s="61"/>
      <c r="K182" s="62"/>
      <c r="L182" s="63"/>
      <c r="M182" s="59" t="str">
        <f t="shared" si="28"/>
        <v>NA</v>
      </c>
      <c r="N182" s="17"/>
    </row>
    <row r="183">
      <c r="A183" s="9"/>
      <c r="B183" s="38">
        <f t="shared" si="5"/>
        <v>181</v>
      </c>
      <c r="C183" s="34">
        <v>42581.0</v>
      </c>
      <c r="D183" s="12" t="str">
        <f>hyperlink("https://www.rottentomatoes.com/m/sing_street/?search=sing%20street","Sing Street")</f>
        <v>Sing Street</v>
      </c>
      <c r="E183" s="73" t="s">
        <v>106</v>
      </c>
      <c r="F183" s="73">
        <v>15.0</v>
      </c>
      <c r="G183" s="36">
        <v>2016.0</v>
      </c>
      <c r="H183" s="33" t="s">
        <v>58</v>
      </c>
      <c r="I183" s="33" t="s">
        <v>47</v>
      </c>
      <c r="J183" s="37">
        <v>2016.0</v>
      </c>
      <c r="K183" s="15">
        <v>0.97</v>
      </c>
      <c r="L183" s="37">
        <v>106.0</v>
      </c>
      <c r="M183" s="59">
        <f>K183/L183*100</f>
        <v>0.9150943396</v>
      </c>
      <c r="N183" s="17"/>
    </row>
    <row r="184">
      <c r="A184" s="9"/>
      <c r="B184" s="38">
        <f t="shared" si="5"/>
        <v>182</v>
      </c>
      <c r="C184" s="34">
        <v>39780.0</v>
      </c>
      <c r="D184" s="48" t="s">
        <v>180</v>
      </c>
      <c r="E184" s="10" t="s">
        <v>106</v>
      </c>
      <c r="F184" s="10">
        <v>15.0</v>
      </c>
      <c r="G184" s="35" t="str">
        <f>IF(C184&gt;40908,"2012",IF(C184&gt;40543,"2011",IF(C184&gt;40178,"2010",IF(C184&gt;=39814,"2009",IF(C184&gt;=39448,"2008",IF(C184&gt;39082,"2007",IF(C184&lt;38717,"Pre-2006","2006")))))))</f>
        <v>2008</v>
      </c>
      <c r="H184" s="13" t="s">
        <v>27</v>
      </c>
      <c r="I184" s="13" t="s">
        <v>26</v>
      </c>
      <c r="J184" s="14">
        <v>2008.0</v>
      </c>
      <c r="K184" s="15">
        <v>0.92</v>
      </c>
      <c r="L184" s="14">
        <v>120.0</v>
      </c>
      <c r="M184" s="16">
        <f t="shared" ref="M184:M187" si="31">if(iserror(K184/L184*100),"NA",K184/L184*100)</f>
        <v>0.7666666667</v>
      </c>
      <c r="N184" s="17"/>
    </row>
    <row r="185">
      <c r="A185" s="9"/>
      <c r="B185" s="38">
        <f t="shared" si="5"/>
        <v>183</v>
      </c>
      <c r="C185" s="34">
        <v>41671.0</v>
      </c>
      <c r="D185" s="12" t="str">
        <f>hyperlink("http://www.rottentomatoes.com/m/the_spectacular_now/","Spectacular Now, The")</f>
        <v>Spectacular Now, The</v>
      </c>
      <c r="E185" s="13" t="s">
        <v>106</v>
      </c>
      <c r="F185" s="13">
        <v>15.0</v>
      </c>
      <c r="G185" s="13">
        <v>2014.0</v>
      </c>
      <c r="H185" s="13" t="s">
        <v>25</v>
      </c>
      <c r="I185" s="13" t="s">
        <v>47</v>
      </c>
      <c r="J185" s="55">
        <v>2013.0</v>
      </c>
      <c r="K185" s="56">
        <v>0.92</v>
      </c>
      <c r="L185" s="14">
        <v>95.0</v>
      </c>
      <c r="M185" s="16">
        <f t="shared" si="31"/>
        <v>0.9684210526</v>
      </c>
      <c r="N185" s="17"/>
    </row>
    <row r="186">
      <c r="A186" s="9"/>
      <c r="B186" s="38">
        <f t="shared" si="5"/>
        <v>184</v>
      </c>
      <c r="C186" s="70"/>
      <c r="D186" s="48" t="s">
        <v>181</v>
      </c>
      <c r="E186" s="13" t="s">
        <v>106</v>
      </c>
      <c r="F186" s="13">
        <v>15.0</v>
      </c>
      <c r="G186" s="35" t="str">
        <f t="shared" ref="G186:G187" si="32">IF(C186&gt;40908,"2012",IF(C186&gt;40543,"2011",IF(C186&gt;40178,"2010",IF(C186&gt;=39814,"2009",IF(C186&gt;=39448,"2008",IF(C186&gt;39082,"2007",IF(C186&lt;38717,"Pre-2006","2006")))))))</f>
        <v>Pre-2006</v>
      </c>
      <c r="H186" s="71"/>
      <c r="I186" s="71"/>
      <c r="J186" s="61"/>
      <c r="K186" s="62"/>
      <c r="L186" s="63"/>
      <c r="M186" s="59" t="str">
        <f t="shared" si="31"/>
        <v>NA</v>
      </c>
      <c r="N186" s="17"/>
    </row>
    <row r="187">
      <c r="A187" s="9"/>
      <c r="B187" s="38">
        <f t="shared" si="5"/>
        <v>185</v>
      </c>
      <c r="C187" s="70"/>
      <c r="D187" s="48" t="s">
        <v>182</v>
      </c>
      <c r="E187" s="13" t="s">
        <v>106</v>
      </c>
      <c r="F187" s="13">
        <v>15.0</v>
      </c>
      <c r="G187" s="35" t="str">
        <f t="shared" si="32"/>
        <v>Pre-2006</v>
      </c>
      <c r="H187" s="71"/>
      <c r="I187" s="71"/>
      <c r="J187" s="61"/>
      <c r="K187" s="62"/>
      <c r="L187" s="63"/>
      <c r="M187" s="59" t="str">
        <f t="shared" si="31"/>
        <v>NA</v>
      </c>
      <c r="N187" s="17"/>
    </row>
    <row r="188">
      <c r="A188" s="9"/>
      <c r="B188" s="38">
        <f t="shared" si="5"/>
        <v>186</v>
      </c>
      <c r="C188" s="34">
        <v>42493.0</v>
      </c>
      <c r="D188" s="12" t="str">
        <f>hyperlink("http://www.rottentomatoes.com/m/spotlight_2015/?search=spotlight","Spotlight")</f>
        <v>Spotlight</v>
      </c>
      <c r="E188" s="33" t="s">
        <v>106</v>
      </c>
      <c r="F188" s="33">
        <v>15.0</v>
      </c>
      <c r="G188" s="36">
        <v>2016.0</v>
      </c>
      <c r="H188" s="33" t="s">
        <v>25</v>
      </c>
      <c r="I188" s="33" t="s">
        <v>47</v>
      </c>
      <c r="J188" s="37">
        <v>2015.0</v>
      </c>
      <c r="K188" s="15">
        <v>0.96</v>
      </c>
      <c r="L188" s="37">
        <v>129.0</v>
      </c>
      <c r="M188" s="59">
        <f>K188/L188*100</f>
        <v>0.7441860465</v>
      </c>
      <c r="N188" s="17"/>
    </row>
    <row r="189">
      <c r="A189" s="9"/>
      <c r="B189" s="38">
        <f t="shared" si="5"/>
        <v>187</v>
      </c>
      <c r="C189" s="34">
        <v>43382.0</v>
      </c>
      <c r="D189" s="12" t="str">
        <f>hyperlink("https://www.rottentomatoes.com/m/a_star_is_born_2018","A Star is Born")</f>
        <v>A Star is Born</v>
      </c>
      <c r="E189" s="33" t="s">
        <v>106</v>
      </c>
      <c r="F189" s="33">
        <v>15.0</v>
      </c>
      <c r="G189" s="36">
        <v>2018.0</v>
      </c>
      <c r="H189" s="33" t="s">
        <v>183</v>
      </c>
      <c r="I189" s="33" t="s">
        <v>26</v>
      </c>
      <c r="J189" s="37">
        <v>2018.0</v>
      </c>
      <c r="K189" s="15">
        <v>0.9</v>
      </c>
      <c r="L189" s="37">
        <v>135.0</v>
      </c>
      <c r="M189" s="59">
        <f t="shared" ref="M189:M194" si="33">if(iserror(K189/L189*100),"NA",K189/L189*100)</f>
        <v>0.6666666667</v>
      </c>
      <c r="N189" s="17"/>
    </row>
    <row r="190">
      <c r="A190" s="9"/>
      <c r="B190" s="38">
        <f t="shared" si="5"/>
        <v>188</v>
      </c>
      <c r="C190" s="34">
        <v>39956.0</v>
      </c>
      <c r="D190" s="48" t="s">
        <v>184</v>
      </c>
      <c r="E190" s="13" t="s">
        <v>106</v>
      </c>
      <c r="F190" s="13">
        <v>15.0</v>
      </c>
      <c r="G190" s="35" t="str">
        <f t="shared" ref="G190:G191" si="34">IF(C190&gt;40908,"2012",IF(C190&gt;40543,"2011",IF(C190&gt;40178,"2010",IF(C190&gt;=39814,"2009",IF(C190&gt;=39448,"2008",IF(C190&gt;39082,"2007",IF(C190&lt;38717,"Pre-2006","2006")))))))</f>
        <v>2009</v>
      </c>
      <c r="H190" s="13" t="s">
        <v>27</v>
      </c>
      <c r="I190" s="13" t="s">
        <v>26</v>
      </c>
      <c r="J190" s="14">
        <v>2009.0</v>
      </c>
      <c r="K190" s="15">
        <v>0.95</v>
      </c>
      <c r="L190" s="14">
        <v>127.0</v>
      </c>
      <c r="M190" s="16">
        <f t="shared" si="33"/>
        <v>0.7480314961</v>
      </c>
      <c r="N190" s="17"/>
    </row>
    <row r="191">
      <c r="A191" s="9"/>
      <c r="B191" s="38">
        <f t="shared" si="5"/>
        <v>189</v>
      </c>
      <c r="C191" s="70"/>
      <c r="D191" s="64" t="s">
        <v>185</v>
      </c>
      <c r="E191" s="13" t="s">
        <v>106</v>
      </c>
      <c r="F191" s="13">
        <v>15.0</v>
      </c>
      <c r="G191" s="35" t="str">
        <f t="shared" si="34"/>
        <v>Pre-2006</v>
      </c>
      <c r="H191" s="71"/>
      <c r="I191" s="71"/>
      <c r="J191" s="61"/>
      <c r="K191" s="62"/>
      <c r="L191" s="63"/>
      <c r="M191" s="59" t="str">
        <f t="shared" si="33"/>
        <v>NA</v>
      </c>
      <c r="N191" s="17"/>
    </row>
    <row r="192">
      <c r="A192" s="9"/>
      <c r="B192" s="38">
        <f t="shared" si="5"/>
        <v>190</v>
      </c>
      <c r="C192" s="60">
        <v>42355.0</v>
      </c>
      <c r="D192" s="12" t="str">
        <f>hyperlink("http://www.rottentomatoes.com/m/star_wars_episode_vii_the_force_awakens/","Star Wars Episode VII: The Force Awakens")</f>
        <v>Star Wars Episode VII: The Force Awakens</v>
      </c>
      <c r="E192" s="13" t="s">
        <v>106</v>
      </c>
      <c r="F192" s="33">
        <v>15.0</v>
      </c>
      <c r="G192" s="36">
        <v>2015.0</v>
      </c>
      <c r="H192" s="33" t="s">
        <v>26</v>
      </c>
      <c r="I192" s="33" t="s">
        <v>25</v>
      </c>
      <c r="J192" s="57">
        <v>2015.0</v>
      </c>
      <c r="K192" s="58">
        <v>0.94</v>
      </c>
      <c r="L192" s="37">
        <v>136.0</v>
      </c>
      <c r="M192" s="59">
        <f t="shared" si="33"/>
        <v>0.6911764706</v>
      </c>
      <c r="N192" s="17"/>
    </row>
    <row r="193">
      <c r="A193" s="9"/>
      <c r="B193" s="38">
        <f t="shared" si="5"/>
        <v>191</v>
      </c>
      <c r="C193" s="60">
        <v>42294.0</v>
      </c>
      <c r="D193" s="12" t="str">
        <f>hyperlink("http://www.rottentomatoes.com/m/steve_jobs_2015/?search=steve%20jobs","Steve Jobs")</f>
        <v>Steve Jobs</v>
      </c>
      <c r="E193" s="33" t="s">
        <v>106</v>
      </c>
      <c r="F193" s="33">
        <v>15.0</v>
      </c>
      <c r="G193" s="36">
        <v>2015.0</v>
      </c>
      <c r="H193" s="33" t="s">
        <v>25</v>
      </c>
      <c r="I193" s="33" t="s">
        <v>26</v>
      </c>
      <c r="J193" s="57">
        <v>2015.0</v>
      </c>
      <c r="K193" s="58">
        <v>0.85</v>
      </c>
      <c r="L193" s="37">
        <v>122.0</v>
      </c>
      <c r="M193" s="59">
        <f t="shared" si="33"/>
        <v>0.6967213115</v>
      </c>
      <c r="N193" s="17"/>
    </row>
    <row r="194">
      <c r="A194" s="9"/>
      <c r="B194" s="38">
        <f t="shared" si="5"/>
        <v>192</v>
      </c>
      <c r="C194" s="70"/>
      <c r="D194" s="48" t="s">
        <v>186</v>
      </c>
      <c r="E194" s="13" t="s">
        <v>106</v>
      </c>
      <c r="F194" s="13">
        <v>15.0</v>
      </c>
      <c r="G194" s="35" t="str">
        <f>IF(C194&gt;40908,"2012",IF(C194&gt;40543,"2011",IF(C194&gt;40178,"2010",IF(C194&gt;=39814,"2009",IF(C194&gt;=39448,"2008",IF(C194&gt;39082,"2007",IF(C194&lt;38717,"Pre-2006","2006")))))))</f>
        <v>Pre-2006</v>
      </c>
      <c r="H194" s="71"/>
      <c r="I194" s="71"/>
      <c r="J194" s="61"/>
      <c r="K194" s="62"/>
      <c r="L194" s="63"/>
      <c r="M194" s="59" t="str">
        <f t="shared" si="33"/>
        <v>NA</v>
      </c>
      <c r="N194" s="17"/>
    </row>
    <row r="195">
      <c r="A195" s="9"/>
      <c r="B195" s="38">
        <f t="shared" si="5"/>
        <v>193</v>
      </c>
      <c r="C195" s="34">
        <v>42734.0</v>
      </c>
      <c r="D195" s="12" t="str">
        <f>hyperlink("https://www.rottentomatoes.com/m/oasis_supersonic","Oasis: Supersonic")</f>
        <v>Oasis: Supersonic</v>
      </c>
      <c r="E195" s="33" t="s">
        <v>106</v>
      </c>
      <c r="F195" s="33">
        <v>15.0</v>
      </c>
      <c r="G195" s="36">
        <v>2016.0</v>
      </c>
      <c r="H195" s="33" t="s">
        <v>58</v>
      </c>
      <c r="I195" s="33" t="s">
        <v>82</v>
      </c>
      <c r="J195" s="57">
        <v>2016.0</v>
      </c>
      <c r="K195" s="58">
        <v>0.83</v>
      </c>
      <c r="L195" s="37">
        <v>122.0</v>
      </c>
      <c r="M195" s="59">
        <f>K195/L195*100</f>
        <v>0.6803278689</v>
      </c>
      <c r="N195" s="17"/>
    </row>
    <row r="196">
      <c r="A196" s="9"/>
      <c r="B196" s="38">
        <f t="shared" si="5"/>
        <v>194</v>
      </c>
      <c r="C196" s="34">
        <v>39353.0</v>
      </c>
      <c r="D196" s="48" t="s">
        <v>187</v>
      </c>
      <c r="E196" s="13" t="s">
        <v>106</v>
      </c>
      <c r="F196" s="13">
        <v>15.0</v>
      </c>
      <c r="G196" s="35" t="str">
        <f t="shared" ref="G196:G200" si="35">IF(C196&gt;40908,"2012",IF(C196&gt;40543,"2011",IF(C196&gt;40178,"2010",IF(C196&gt;=39814,"2009",IF(C196&gt;=39448,"2008",IF(C196&gt;39082,"2007",IF(C196&lt;38717,"Pre-2006","2006")))))))</f>
        <v>2007</v>
      </c>
      <c r="H196" s="13" t="s">
        <v>17</v>
      </c>
      <c r="I196" s="13" t="s">
        <v>47</v>
      </c>
      <c r="J196" s="61"/>
      <c r="K196" s="62"/>
      <c r="L196" s="63"/>
      <c r="M196" s="59" t="str">
        <f t="shared" ref="M196:M200" si="36">if(iserror(K196/L196*100),"NA",K196/L196*100)</f>
        <v>NA</v>
      </c>
      <c r="N196" s="17"/>
    </row>
    <row r="197">
      <c r="A197" s="9"/>
      <c r="B197" s="38">
        <f t="shared" si="5"/>
        <v>195</v>
      </c>
      <c r="C197" s="70"/>
      <c r="D197" s="48" t="s">
        <v>188</v>
      </c>
      <c r="E197" s="13" t="s">
        <v>106</v>
      </c>
      <c r="F197" s="13">
        <v>15.0</v>
      </c>
      <c r="G197" s="35" t="str">
        <f t="shared" si="35"/>
        <v>Pre-2006</v>
      </c>
      <c r="H197" s="71"/>
      <c r="I197" s="71"/>
      <c r="J197" s="61"/>
      <c r="K197" s="62"/>
      <c r="L197" s="63"/>
      <c r="M197" s="59" t="str">
        <f t="shared" si="36"/>
        <v>NA</v>
      </c>
      <c r="N197" s="17"/>
    </row>
    <row r="198">
      <c r="A198" s="9"/>
      <c r="B198" s="38">
        <f t="shared" si="5"/>
        <v>196</v>
      </c>
      <c r="C198" s="70"/>
      <c r="D198" s="48" t="s">
        <v>189</v>
      </c>
      <c r="E198" s="13" t="s">
        <v>106</v>
      </c>
      <c r="F198" s="13">
        <v>15.0</v>
      </c>
      <c r="G198" s="35" t="str">
        <f t="shared" si="35"/>
        <v>Pre-2006</v>
      </c>
      <c r="H198" s="71"/>
      <c r="I198" s="71"/>
      <c r="J198" s="61"/>
      <c r="K198" s="62"/>
      <c r="L198" s="63"/>
      <c r="M198" s="59" t="str">
        <f t="shared" si="36"/>
        <v>NA</v>
      </c>
      <c r="N198" s="17"/>
    </row>
    <row r="199">
      <c r="A199" s="9"/>
      <c r="B199" s="38">
        <f t="shared" si="5"/>
        <v>197</v>
      </c>
      <c r="C199" s="34">
        <v>40522.0</v>
      </c>
      <c r="D199" s="48" t="s">
        <v>190</v>
      </c>
      <c r="E199" s="13" t="s">
        <v>106</v>
      </c>
      <c r="F199" s="13">
        <v>15.0</v>
      </c>
      <c r="G199" s="35" t="str">
        <f t="shared" si="35"/>
        <v>2010</v>
      </c>
      <c r="H199" s="13" t="s">
        <v>25</v>
      </c>
      <c r="I199" s="13" t="s">
        <v>47</v>
      </c>
      <c r="J199" s="14">
        <v>2010.0</v>
      </c>
      <c r="K199" s="15">
        <v>0.93</v>
      </c>
      <c r="L199" s="14">
        <v>104.0</v>
      </c>
      <c r="M199" s="16">
        <f t="shared" si="36"/>
        <v>0.8942307692</v>
      </c>
      <c r="N199" s="17"/>
    </row>
    <row r="200">
      <c r="A200" s="9"/>
      <c r="B200" s="38">
        <f t="shared" si="5"/>
        <v>198</v>
      </c>
      <c r="C200" s="70"/>
      <c r="D200" s="48" t="s">
        <v>191</v>
      </c>
      <c r="E200" s="13" t="s">
        <v>106</v>
      </c>
      <c r="F200" s="13">
        <v>15.0</v>
      </c>
      <c r="G200" s="35" t="str">
        <f t="shared" si="35"/>
        <v>Pre-2006</v>
      </c>
      <c r="H200" s="71"/>
      <c r="I200" s="71"/>
      <c r="J200" s="61"/>
      <c r="K200" s="62"/>
      <c r="L200" s="63"/>
      <c r="M200" s="59" t="str">
        <f t="shared" si="36"/>
        <v>NA</v>
      </c>
      <c r="N200" s="17"/>
    </row>
    <row r="201">
      <c r="A201" s="9"/>
      <c r="B201" s="38">
        <f t="shared" si="5"/>
        <v>199</v>
      </c>
      <c r="C201" s="60">
        <v>42498.0</v>
      </c>
      <c r="D201" s="74" t="str">
        <f>hyperlink("http://www.rottentomatoes.com/m/the-third-man/?search=the%20third%20man","Third Man, The")</f>
        <v>Third Man, The</v>
      </c>
      <c r="E201" s="33" t="s">
        <v>106</v>
      </c>
      <c r="F201" s="33">
        <v>15.0</v>
      </c>
      <c r="G201" s="36">
        <v>2016.0</v>
      </c>
      <c r="H201" s="33" t="s">
        <v>58</v>
      </c>
      <c r="I201" s="33" t="s">
        <v>47</v>
      </c>
      <c r="J201" s="57">
        <v>1949.0</v>
      </c>
      <c r="K201" s="58">
        <v>1.0</v>
      </c>
      <c r="L201" s="37">
        <v>104.0</v>
      </c>
      <c r="M201" s="59">
        <f t="shared" ref="M201:M202" si="37">K201/L201*100</f>
        <v>0.9615384615</v>
      </c>
      <c r="N201" s="17"/>
    </row>
    <row r="202">
      <c r="A202" s="9"/>
      <c r="B202" s="38">
        <f t="shared" si="5"/>
        <v>200</v>
      </c>
      <c r="C202" s="75">
        <v>43562.0</v>
      </c>
      <c r="D202" s="12" t="str">
        <f>hyperlink("https://www.rottentomatoes.com/m/three_identical_strangers","Three Identical Strangers")</f>
        <v>Three Identical Strangers</v>
      </c>
      <c r="E202" s="33" t="s">
        <v>106</v>
      </c>
      <c r="F202" s="33">
        <v>15.0</v>
      </c>
      <c r="G202" s="36">
        <v>2019.0</v>
      </c>
      <c r="H202" s="33" t="s">
        <v>58</v>
      </c>
      <c r="I202" s="33" t="s">
        <v>47</v>
      </c>
      <c r="J202" s="57">
        <v>2018.0</v>
      </c>
      <c r="K202" s="58">
        <v>0.96</v>
      </c>
      <c r="L202" s="37">
        <v>96.0</v>
      </c>
      <c r="M202" s="59">
        <f t="shared" si="37"/>
        <v>1</v>
      </c>
      <c r="N202" s="17"/>
    </row>
    <row r="203">
      <c r="A203" s="9"/>
      <c r="B203" s="38">
        <f t="shared" si="5"/>
        <v>201</v>
      </c>
      <c r="C203" s="70"/>
      <c r="D203" s="48" t="s">
        <v>192</v>
      </c>
      <c r="E203" s="13" t="s">
        <v>106</v>
      </c>
      <c r="F203" s="13">
        <v>15.0</v>
      </c>
      <c r="G203" s="35" t="str">
        <f t="shared" ref="G203:G207" si="38">IF(C203&gt;40908,"2012",IF(C203&gt;40543,"2011",IF(C203&gt;40178,"2010",IF(C203&gt;=39814,"2009",IF(C203&gt;=39448,"2008",IF(C203&gt;39082,"2007",IF(C203&lt;38717,"Pre-2006","2006")))))))</f>
        <v>Pre-2006</v>
      </c>
      <c r="H203" s="71"/>
      <c r="I203" s="71"/>
      <c r="J203" s="61"/>
      <c r="K203" s="62"/>
      <c r="L203" s="63"/>
      <c r="M203" s="59" t="str">
        <f t="shared" ref="M203:M249" si="39">if(iserror(K203/L203*100),"NA",K203/L203*100)</f>
        <v>NA</v>
      </c>
      <c r="N203" s="17"/>
    </row>
    <row r="204">
      <c r="A204" s="9"/>
      <c r="B204" s="38">
        <f t="shared" si="5"/>
        <v>202</v>
      </c>
      <c r="C204" s="34">
        <v>39709.0</v>
      </c>
      <c r="D204" s="48" t="s">
        <v>193</v>
      </c>
      <c r="E204" s="13" t="s">
        <v>106</v>
      </c>
      <c r="F204" s="13">
        <v>15.0</v>
      </c>
      <c r="G204" s="35" t="str">
        <f t="shared" si="38"/>
        <v>2008</v>
      </c>
      <c r="H204" s="13" t="s">
        <v>27</v>
      </c>
      <c r="I204" s="13" t="s">
        <v>26</v>
      </c>
      <c r="J204" s="14">
        <v>2008.0</v>
      </c>
      <c r="K204" s="15">
        <v>0.81</v>
      </c>
      <c r="L204" s="14">
        <v>96.0</v>
      </c>
      <c r="M204" s="16">
        <f t="shared" si="39"/>
        <v>0.84375</v>
      </c>
      <c r="N204" s="17"/>
    </row>
    <row r="205">
      <c r="A205" s="9"/>
      <c r="B205" s="38">
        <f t="shared" si="5"/>
        <v>203</v>
      </c>
      <c r="C205" s="34">
        <v>39636.0</v>
      </c>
      <c r="D205" s="48" t="s">
        <v>194</v>
      </c>
      <c r="E205" s="13" t="s">
        <v>106</v>
      </c>
      <c r="F205" s="13">
        <v>15.0</v>
      </c>
      <c r="G205" s="35" t="str">
        <f t="shared" si="38"/>
        <v>2008</v>
      </c>
      <c r="H205" s="13" t="s">
        <v>15</v>
      </c>
      <c r="I205" s="13" t="s">
        <v>26</v>
      </c>
      <c r="J205" s="14">
        <v>2008.0</v>
      </c>
      <c r="K205" s="15">
        <v>0.92</v>
      </c>
      <c r="L205" s="14">
        <v>103.0</v>
      </c>
      <c r="M205" s="16">
        <f t="shared" si="39"/>
        <v>0.8932038835</v>
      </c>
      <c r="N205" s="17"/>
    </row>
    <row r="206">
      <c r="A206" s="9"/>
      <c r="B206" s="38">
        <f t="shared" si="5"/>
        <v>204</v>
      </c>
      <c r="C206" s="34">
        <v>38822.0</v>
      </c>
      <c r="D206" s="48" t="s">
        <v>195</v>
      </c>
      <c r="E206" s="13" t="s">
        <v>106</v>
      </c>
      <c r="F206" s="13">
        <v>15.0</v>
      </c>
      <c r="G206" s="35" t="str">
        <f t="shared" si="38"/>
        <v>2006</v>
      </c>
      <c r="H206" s="71"/>
      <c r="I206" s="71"/>
      <c r="J206" s="61"/>
      <c r="K206" s="62"/>
      <c r="L206" s="63"/>
      <c r="M206" s="59" t="str">
        <f t="shared" si="39"/>
        <v>NA</v>
      </c>
      <c r="N206" s="17"/>
    </row>
    <row r="207">
      <c r="A207" s="9"/>
      <c r="B207" s="38">
        <f t="shared" si="5"/>
        <v>205</v>
      </c>
      <c r="C207" s="70"/>
      <c r="D207" s="48" t="s">
        <v>196</v>
      </c>
      <c r="E207" s="13" t="s">
        <v>106</v>
      </c>
      <c r="F207" s="13">
        <v>15.0</v>
      </c>
      <c r="G207" s="35" t="str">
        <f t="shared" si="38"/>
        <v>Pre-2006</v>
      </c>
      <c r="H207" s="71"/>
      <c r="I207" s="71"/>
      <c r="J207" s="61"/>
      <c r="K207" s="62"/>
      <c r="L207" s="63"/>
      <c r="M207" s="59" t="str">
        <f t="shared" si="39"/>
        <v>NA</v>
      </c>
      <c r="N207" s="17"/>
    </row>
    <row r="208">
      <c r="A208" s="9"/>
      <c r="B208" s="38">
        <f t="shared" si="5"/>
        <v>206</v>
      </c>
      <c r="C208" s="34">
        <v>41934.0</v>
      </c>
      <c r="D208" s="48" t="s">
        <v>197</v>
      </c>
      <c r="E208" s="13" t="s">
        <v>106</v>
      </c>
      <c r="F208" s="13">
        <v>15.0</v>
      </c>
      <c r="G208" s="13">
        <v>2014.0</v>
      </c>
      <c r="H208" s="13" t="s">
        <v>27</v>
      </c>
      <c r="I208" s="13" t="s">
        <v>26</v>
      </c>
      <c r="J208" s="55">
        <v>2014.0</v>
      </c>
      <c r="K208" s="56">
        <v>0.96</v>
      </c>
      <c r="L208" s="14">
        <v>106.0</v>
      </c>
      <c r="M208" s="16">
        <f t="shared" si="39"/>
        <v>0.9056603774</v>
      </c>
      <c r="N208" s="17"/>
    </row>
    <row r="209">
      <c r="A209" s="9"/>
      <c r="B209" s="38">
        <f t="shared" si="5"/>
        <v>207</v>
      </c>
      <c r="C209" s="70"/>
      <c r="D209" s="48" t="s">
        <v>198</v>
      </c>
      <c r="E209" s="13" t="s">
        <v>106</v>
      </c>
      <c r="F209" s="13">
        <v>15.0</v>
      </c>
      <c r="G209" s="35" t="str">
        <f>IF(C209&gt;40908,"2012",IF(C209&gt;40543,"2011",IF(C209&gt;40178,"2010",IF(C209&gt;=39814,"2009",IF(C209&gt;=39448,"2008",IF(C209&gt;39082,"2007",IF(C209&lt;38717,"Pre-2006","2006")))))))</f>
        <v>Pre-2006</v>
      </c>
      <c r="H209" s="71"/>
      <c r="I209" s="71"/>
      <c r="J209" s="61"/>
      <c r="K209" s="62"/>
      <c r="L209" s="63"/>
      <c r="M209" s="59" t="str">
        <f t="shared" si="39"/>
        <v>NA</v>
      </c>
      <c r="N209" s="17"/>
    </row>
    <row r="210">
      <c r="A210" s="9"/>
      <c r="B210" s="38">
        <f t="shared" si="5"/>
        <v>208</v>
      </c>
      <c r="C210" s="34">
        <v>42975.0</v>
      </c>
      <c r="D210" s="12" t="str">
        <f>hyperlink("https://www.rottentomatoes.com/m/wonder_woman_2017","Wonder Woman")</f>
        <v>Wonder Woman</v>
      </c>
      <c r="E210" s="13" t="s">
        <v>106</v>
      </c>
      <c r="F210" s="13">
        <v>15.0</v>
      </c>
      <c r="G210" s="36">
        <v>2017.0</v>
      </c>
      <c r="H210" s="33" t="s">
        <v>199</v>
      </c>
      <c r="I210" s="33" t="s">
        <v>26</v>
      </c>
      <c r="J210" s="57">
        <v>2017.0</v>
      </c>
      <c r="K210" s="58">
        <v>0.92</v>
      </c>
      <c r="L210" s="37">
        <v>141.0</v>
      </c>
      <c r="M210" s="59">
        <f t="shared" si="39"/>
        <v>0.6524822695</v>
      </c>
      <c r="N210" s="17"/>
    </row>
    <row r="211">
      <c r="A211" s="9"/>
      <c r="B211" s="38">
        <f t="shared" si="5"/>
        <v>209</v>
      </c>
      <c r="C211" s="34">
        <v>40801.0</v>
      </c>
      <c r="D211" s="50" t="s">
        <v>200</v>
      </c>
      <c r="E211" s="13" t="s">
        <v>106</v>
      </c>
      <c r="F211" s="13">
        <v>15.0</v>
      </c>
      <c r="G211" s="35" t="str">
        <f>IF(C211&gt;40908,"2012",IF(C211&gt;40543,"2011",IF(C211&gt;40178,"2010",IF(C211&gt;=39814,"2009",IF(C211&gt;=39448,"2008",IF(C211&gt;39082,"2007",IF(C211&lt;38717,"Pre-2006","2006")))))))</f>
        <v>2011</v>
      </c>
      <c r="H211" s="13" t="s">
        <v>25</v>
      </c>
      <c r="I211" s="13" t="s">
        <v>47</v>
      </c>
      <c r="J211" s="14">
        <v>2011.0</v>
      </c>
      <c r="K211" s="15">
        <v>0.87</v>
      </c>
      <c r="L211" s="14">
        <v>131.0</v>
      </c>
      <c r="M211" s="16">
        <f t="shared" si="39"/>
        <v>0.6641221374</v>
      </c>
      <c r="N211" s="17"/>
    </row>
    <row r="212">
      <c r="A212" s="1"/>
      <c r="B212" s="40">
        <f t="shared" si="5"/>
        <v>210</v>
      </c>
      <c r="C212" s="41">
        <v>43841.0</v>
      </c>
      <c r="D212" s="12" t="str">
        <f>hyperlink("https://rottentomatoes.com/m/1917_2019","1917")</f>
        <v>1917</v>
      </c>
      <c r="E212" s="76" t="s">
        <v>201</v>
      </c>
      <c r="F212" s="76">
        <v>14.0</v>
      </c>
      <c r="G212" s="77">
        <v>2020.0</v>
      </c>
      <c r="H212" s="76" t="s">
        <v>25</v>
      </c>
      <c r="I212" s="76" t="s">
        <v>26</v>
      </c>
      <c r="J212" s="78">
        <v>2020.0</v>
      </c>
      <c r="K212" s="46">
        <v>0.9</v>
      </c>
      <c r="L212" s="78">
        <v>119.0</v>
      </c>
      <c r="M212" s="47">
        <f t="shared" si="39"/>
        <v>0.756302521</v>
      </c>
      <c r="N212" s="1"/>
    </row>
    <row r="213">
      <c r="A213" s="9"/>
      <c r="B213" s="38">
        <f t="shared" si="5"/>
        <v>211</v>
      </c>
      <c r="C213" s="34">
        <v>40936.0</v>
      </c>
      <c r="D213" s="48" t="s">
        <v>202</v>
      </c>
      <c r="E213" s="79" t="s">
        <v>201</v>
      </c>
      <c r="F213" s="13">
        <v>14.0</v>
      </c>
      <c r="G213" s="13">
        <v>2011.0</v>
      </c>
      <c r="H213" s="79" t="s">
        <v>25</v>
      </c>
      <c r="I213" s="13" t="s">
        <v>47</v>
      </c>
      <c r="J213" s="55">
        <v>2011.0</v>
      </c>
      <c r="K213" s="56">
        <v>0.93</v>
      </c>
      <c r="L213" s="14">
        <v>100.0</v>
      </c>
      <c r="M213" s="16">
        <f t="shared" si="39"/>
        <v>0.93</v>
      </c>
      <c r="N213" s="17"/>
    </row>
    <row r="214">
      <c r="A214" s="9"/>
      <c r="B214" s="38">
        <f t="shared" si="5"/>
        <v>212</v>
      </c>
      <c r="C214" s="70"/>
      <c r="D214" s="48" t="s">
        <v>203</v>
      </c>
      <c r="E214" s="13" t="s">
        <v>201</v>
      </c>
      <c r="F214" s="13">
        <v>14.0</v>
      </c>
      <c r="G214" s="35" t="str">
        <f t="shared" ref="G214:G215" si="40">IF(C214&gt;40908,"2012",IF(C214&gt;40543,"2011",IF(C214&gt;40178,"2010",IF(C214&gt;=39814,"2009",IF(C214&gt;=39448,"2008",IF(C214&gt;39082,"2007",IF(C214&lt;38717,"Pre-2006","2006")))))))</f>
        <v>Pre-2006</v>
      </c>
      <c r="H214" s="71"/>
      <c r="I214" s="71"/>
      <c r="J214" s="61"/>
      <c r="K214" s="62"/>
      <c r="L214" s="63"/>
      <c r="M214" s="59" t="str">
        <f t="shared" si="39"/>
        <v>NA</v>
      </c>
      <c r="N214" s="17"/>
    </row>
    <row r="215">
      <c r="A215" s="9"/>
      <c r="B215" s="38">
        <f t="shared" si="5"/>
        <v>213</v>
      </c>
      <c r="C215" s="70"/>
      <c r="D215" s="48" t="s">
        <v>204</v>
      </c>
      <c r="E215" s="13" t="s">
        <v>201</v>
      </c>
      <c r="F215" s="13">
        <v>14.0</v>
      </c>
      <c r="G215" s="35" t="str">
        <f t="shared" si="40"/>
        <v>Pre-2006</v>
      </c>
      <c r="H215" s="71"/>
      <c r="I215" s="71"/>
      <c r="J215" s="61"/>
      <c r="K215" s="62"/>
      <c r="L215" s="63"/>
      <c r="M215" s="59" t="str">
        <f t="shared" si="39"/>
        <v>NA</v>
      </c>
      <c r="N215" s="17"/>
    </row>
    <row r="216">
      <c r="A216" s="9"/>
      <c r="B216" s="38">
        <f t="shared" si="5"/>
        <v>214</v>
      </c>
      <c r="C216" s="34">
        <v>41967.0</v>
      </c>
      <c r="D216" s="12" t="str">
        <f>hyperlink("http://www.rottentomatoes.com/m/22_jump_street/?search=22%20jump%20street","22 Jump Street")</f>
        <v>22 Jump Street</v>
      </c>
      <c r="E216" s="13" t="s">
        <v>201</v>
      </c>
      <c r="F216" s="13">
        <v>14.0</v>
      </c>
      <c r="G216" s="13">
        <v>2014.0</v>
      </c>
      <c r="H216" s="13" t="s">
        <v>25</v>
      </c>
      <c r="I216" s="13" t="s">
        <v>47</v>
      </c>
      <c r="J216" s="55">
        <v>2014.0</v>
      </c>
      <c r="K216" s="56">
        <v>0.84</v>
      </c>
      <c r="L216" s="14">
        <v>110.0</v>
      </c>
      <c r="M216" s="16">
        <f t="shared" si="39"/>
        <v>0.7636363636</v>
      </c>
      <c r="N216" s="17"/>
    </row>
    <row r="217">
      <c r="A217" s="9"/>
      <c r="B217" s="38">
        <f t="shared" si="5"/>
        <v>215</v>
      </c>
      <c r="C217" s="34">
        <v>40020.0</v>
      </c>
      <c r="D217" s="48" t="s">
        <v>205</v>
      </c>
      <c r="E217" s="13" t="s">
        <v>201</v>
      </c>
      <c r="F217" s="13">
        <v>14.0</v>
      </c>
      <c r="G217" s="35" t="str">
        <f t="shared" ref="G217:G219" si="41">IF(C217&gt;40908,"2012",IF(C217&gt;40543,"2011",IF(C217&gt;40178,"2010",IF(C217&gt;=39814,"2009",IF(C217&gt;=39448,"2008",IF(C217&gt;39082,"2007",IF(C217&lt;38717,"Pre-2006","2006")))))))</f>
        <v>2009</v>
      </c>
      <c r="H217" s="13" t="s">
        <v>27</v>
      </c>
      <c r="I217" s="13" t="s">
        <v>26</v>
      </c>
      <c r="J217" s="14">
        <v>2009.0</v>
      </c>
      <c r="K217" s="15">
        <v>0.87</v>
      </c>
      <c r="L217" s="14">
        <v>95.0</v>
      </c>
      <c r="M217" s="16">
        <f t="shared" si="39"/>
        <v>0.9157894737</v>
      </c>
      <c r="N217" s="17"/>
    </row>
    <row r="218">
      <c r="A218" s="9"/>
      <c r="B218" s="38">
        <f t="shared" si="5"/>
        <v>216</v>
      </c>
      <c r="C218" s="70"/>
      <c r="D218" s="48" t="s">
        <v>206</v>
      </c>
      <c r="E218" s="13" t="s">
        <v>201</v>
      </c>
      <c r="F218" s="13">
        <v>14.0</v>
      </c>
      <c r="G218" s="35" t="str">
        <f t="shared" si="41"/>
        <v>Pre-2006</v>
      </c>
      <c r="H218" s="71"/>
      <c r="I218" s="71"/>
      <c r="J218" s="61"/>
      <c r="K218" s="62"/>
      <c r="L218" s="63"/>
      <c r="M218" s="59" t="str">
        <f t="shared" si="39"/>
        <v>NA</v>
      </c>
      <c r="N218" s="17"/>
    </row>
    <row r="219">
      <c r="A219" s="9"/>
      <c r="B219" s="38">
        <f t="shared" si="5"/>
        <v>217</v>
      </c>
      <c r="C219" s="70"/>
      <c r="D219" s="48" t="s">
        <v>207</v>
      </c>
      <c r="E219" s="13" t="s">
        <v>201</v>
      </c>
      <c r="F219" s="13">
        <v>14.0</v>
      </c>
      <c r="G219" s="35" t="str">
        <f t="shared" si="41"/>
        <v>Pre-2006</v>
      </c>
      <c r="H219" s="71"/>
      <c r="I219" s="71"/>
      <c r="J219" s="61"/>
      <c r="K219" s="62"/>
      <c r="L219" s="63"/>
      <c r="M219" s="59" t="str">
        <f t="shared" si="39"/>
        <v>NA</v>
      </c>
      <c r="N219" s="17"/>
    </row>
    <row r="220">
      <c r="A220" s="9"/>
      <c r="B220" s="38">
        <f t="shared" si="5"/>
        <v>218</v>
      </c>
      <c r="C220" s="34">
        <v>45061.0</v>
      </c>
      <c r="D220" s="12" t="str">
        <f>hyperlink("https://www.rottentomatoes.com/m/air_2023","Air")</f>
        <v>Air</v>
      </c>
      <c r="E220" s="33" t="s">
        <v>201</v>
      </c>
      <c r="F220" s="33">
        <v>14.0</v>
      </c>
      <c r="G220" s="36">
        <v>2023.0</v>
      </c>
      <c r="H220" s="33" t="s">
        <v>58</v>
      </c>
      <c r="I220" s="33" t="s">
        <v>208</v>
      </c>
      <c r="J220" s="57">
        <v>2023.0</v>
      </c>
      <c r="K220" s="58">
        <v>0.92</v>
      </c>
      <c r="L220" s="37">
        <v>112.0</v>
      </c>
      <c r="M220" s="16">
        <f t="shared" si="39"/>
        <v>0.8214285714</v>
      </c>
      <c r="N220" s="17"/>
    </row>
    <row r="221">
      <c r="A221" s="9"/>
      <c r="B221" s="38">
        <f t="shared" si="5"/>
        <v>219</v>
      </c>
      <c r="C221" s="70"/>
      <c r="D221" s="48" t="s">
        <v>209</v>
      </c>
      <c r="E221" s="13" t="s">
        <v>201</v>
      </c>
      <c r="F221" s="13">
        <v>14.0</v>
      </c>
      <c r="G221" s="35" t="str">
        <f>IF(C221&gt;40908,"2012",IF(C221&gt;40543,"2011",IF(C221&gt;40178,"2010",IF(C221&gt;=39814,"2009",IF(C221&gt;=39448,"2008",IF(C221&gt;39082,"2007",IF(C221&lt;38717,"Pre-2006","2006")))))))</f>
        <v>Pre-2006</v>
      </c>
      <c r="H221" s="71"/>
      <c r="I221" s="71"/>
      <c r="J221" s="61"/>
      <c r="K221" s="62"/>
      <c r="L221" s="63"/>
      <c r="M221" s="59" t="str">
        <f t="shared" si="39"/>
        <v>NA</v>
      </c>
      <c r="N221" s="17"/>
    </row>
    <row r="222">
      <c r="A222" s="9"/>
      <c r="B222" s="38">
        <f t="shared" si="5"/>
        <v>220</v>
      </c>
      <c r="C222" s="34">
        <v>44703.0</v>
      </c>
      <c r="D222" s="12" t="str">
        <f>hyperlink("https://www.rottentomatoes.com/m/the_alpinist_2021","Alpinist, The")</f>
        <v>Alpinist, The</v>
      </c>
      <c r="E222" s="33" t="s">
        <v>201</v>
      </c>
      <c r="F222" s="33">
        <v>14.0</v>
      </c>
      <c r="G222" s="36">
        <v>2022.0</v>
      </c>
      <c r="H222" s="33" t="s">
        <v>58</v>
      </c>
      <c r="I222" s="33" t="s">
        <v>77</v>
      </c>
      <c r="J222" s="57">
        <v>2021.0</v>
      </c>
      <c r="K222" s="58">
        <v>0.93</v>
      </c>
      <c r="L222" s="37">
        <v>93.0</v>
      </c>
      <c r="M222" s="16">
        <f t="shared" si="39"/>
        <v>1</v>
      </c>
      <c r="N222" s="17"/>
    </row>
    <row r="223">
      <c r="A223" s="9"/>
      <c r="B223" s="38">
        <f t="shared" si="5"/>
        <v>221</v>
      </c>
      <c r="C223" s="70"/>
      <c r="D223" s="48" t="s">
        <v>210</v>
      </c>
      <c r="E223" s="13" t="s">
        <v>201</v>
      </c>
      <c r="F223" s="13">
        <v>14.0</v>
      </c>
      <c r="G223" s="35" t="str">
        <f t="shared" ref="G223:G225" si="42">IF(C223&gt;40908,"2012",IF(C223&gt;40543,"2011",IF(C223&gt;40178,"2010",IF(C223&gt;=39814,"2009",IF(C223&gt;=39448,"2008",IF(C223&gt;39082,"2007",IF(C223&lt;38717,"Pre-2006","2006")))))))</f>
        <v>Pre-2006</v>
      </c>
      <c r="H223" s="71"/>
      <c r="I223" s="71"/>
      <c r="J223" s="61"/>
      <c r="K223" s="62"/>
      <c r="L223" s="63"/>
      <c r="M223" s="59" t="str">
        <f t="shared" si="39"/>
        <v>NA</v>
      </c>
      <c r="N223" s="17"/>
    </row>
    <row r="224">
      <c r="A224" s="9"/>
      <c r="B224" s="38">
        <f t="shared" si="5"/>
        <v>222</v>
      </c>
      <c r="C224" s="34">
        <v>39320.0</v>
      </c>
      <c r="D224" s="48" t="s">
        <v>211</v>
      </c>
      <c r="E224" s="13" t="s">
        <v>201</v>
      </c>
      <c r="F224" s="13">
        <v>14.0</v>
      </c>
      <c r="G224" s="35" t="str">
        <f t="shared" si="42"/>
        <v>2007</v>
      </c>
      <c r="H224" s="13" t="s">
        <v>15</v>
      </c>
      <c r="I224" s="13" t="s">
        <v>21</v>
      </c>
      <c r="J224" s="61"/>
      <c r="K224" s="62"/>
      <c r="L224" s="63"/>
      <c r="M224" s="59" t="str">
        <f t="shared" si="39"/>
        <v>NA</v>
      </c>
      <c r="N224" s="17"/>
    </row>
    <row r="225">
      <c r="A225" s="9"/>
      <c r="B225" s="38">
        <f t="shared" si="5"/>
        <v>223</v>
      </c>
      <c r="C225" s="70"/>
      <c r="D225" s="48" t="s">
        <v>212</v>
      </c>
      <c r="E225" s="13" t="s">
        <v>201</v>
      </c>
      <c r="F225" s="13">
        <v>14.0</v>
      </c>
      <c r="G225" s="35" t="str">
        <f t="shared" si="42"/>
        <v>Pre-2006</v>
      </c>
      <c r="H225" s="71"/>
      <c r="I225" s="71"/>
      <c r="J225" s="61"/>
      <c r="K225" s="62"/>
      <c r="L225" s="63"/>
      <c r="M225" s="59" t="str">
        <f t="shared" si="39"/>
        <v>NA</v>
      </c>
      <c r="N225" s="17"/>
    </row>
    <row r="226">
      <c r="A226" s="9"/>
      <c r="B226" s="38">
        <f t="shared" si="5"/>
        <v>224</v>
      </c>
      <c r="C226" s="34">
        <v>42217.0</v>
      </c>
      <c r="D226" s="12" t="str">
        <f>hyperlink("http://www.rottentomatoes.com/m/american_sniper/?search=american%20sniper","American Sniper")</f>
        <v>American Sniper</v>
      </c>
      <c r="E226" s="33" t="s">
        <v>201</v>
      </c>
      <c r="F226" s="33">
        <v>14.0</v>
      </c>
      <c r="G226" s="36">
        <v>2015.0</v>
      </c>
      <c r="H226" s="33" t="s">
        <v>58</v>
      </c>
      <c r="I226" s="33" t="s">
        <v>47</v>
      </c>
      <c r="J226" s="57">
        <v>2015.0</v>
      </c>
      <c r="K226" s="58">
        <v>0.73</v>
      </c>
      <c r="L226" s="37">
        <v>134.0</v>
      </c>
      <c r="M226" s="59">
        <f t="shared" si="39"/>
        <v>0.5447761194</v>
      </c>
      <c r="N226" s="17"/>
    </row>
    <row r="227">
      <c r="A227" s="9"/>
      <c r="B227" s="38">
        <f t="shared" si="5"/>
        <v>225</v>
      </c>
      <c r="C227" s="70"/>
      <c r="D227" s="48" t="s">
        <v>213</v>
      </c>
      <c r="E227" s="13" t="s">
        <v>201</v>
      </c>
      <c r="F227" s="13">
        <v>14.0</v>
      </c>
      <c r="G227" s="35" t="str">
        <f t="shared" ref="G227:G228" si="43">IF(C227&gt;40908,"2012",IF(C227&gt;40543,"2011",IF(C227&gt;40178,"2010",IF(C227&gt;=39814,"2009",IF(C227&gt;=39448,"2008",IF(C227&gt;39082,"2007",IF(C227&lt;38717,"Pre-2006","2006")))))))</f>
        <v>Pre-2006</v>
      </c>
      <c r="H227" s="71"/>
      <c r="I227" s="71"/>
      <c r="J227" s="61"/>
      <c r="K227" s="62"/>
      <c r="L227" s="63"/>
      <c r="M227" s="59" t="str">
        <f t="shared" si="39"/>
        <v>NA</v>
      </c>
      <c r="N227" s="17"/>
    </row>
    <row r="228">
      <c r="A228" s="9"/>
      <c r="B228" s="38">
        <f t="shared" si="5"/>
        <v>226</v>
      </c>
      <c r="C228" s="70"/>
      <c r="D228" s="48" t="s">
        <v>214</v>
      </c>
      <c r="E228" s="13" t="s">
        <v>201</v>
      </c>
      <c r="F228" s="13">
        <v>14.0</v>
      </c>
      <c r="G228" s="35" t="str">
        <f t="shared" si="43"/>
        <v>Pre-2006</v>
      </c>
      <c r="H228" s="71"/>
      <c r="I228" s="71"/>
      <c r="J228" s="61"/>
      <c r="K228" s="62"/>
      <c r="L228" s="63"/>
      <c r="M228" s="59" t="str">
        <f t="shared" si="39"/>
        <v>NA</v>
      </c>
      <c r="N228" s="17"/>
    </row>
    <row r="229">
      <c r="A229" s="9"/>
      <c r="B229" s="38">
        <f t="shared" si="5"/>
        <v>227</v>
      </c>
      <c r="C229" s="34">
        <v>43054.0</v>
      </c>
      <c r="D229" s="12" t="str">
        <f>hyperlink("https://www.rottentomatoes.com/m/antman","Ant-Man")</f>
        <v>Ant-Man</v>
      </c>
      <c r="E229" s="33" t="s">
        <v>201</v>
      </c>
      <c r="F229" s="33">
        <v>14.0</v>
      </c>
      <c r="G229" s="36">
        <v>2017.0</v>
      </c>
      <c r="H229" s="33" t="s">
        <v>58</v>
      </c>
      <c r="I229" s="33" t="s">
        <v>47</v>
      </c>
      <c r="J229" s="57">
        <v>2015.0</v>
      </c>
      <c r="K229" s="58">
        <v>0.82</v>
      </c>
      <c r="L229" s="37">
        <v>115.0</v>
      </c>
      <c r="M229" s="59">
        <f t="shared" si="39"/>
        <v>0.7130434783</v>
      </c>
      <c r="N229" s="17"/>
    </row>
    <row r="230">
      <c r="A230" s="9"/>
      <c r="B230" s="38">
        <f t="shared" si="5"/>
        <v>228</v>
      </c>
      <c r="C230" s="34">
        <v>38758.0</v>
      </c>
      <c r="D230" s="48" t="s">
        <v>215</v>
      </c>
      <c r="E230" s="13" t="s">
        <v>201</v>
      </c>
      <c r="F230" s="13">
        <v>14.0</v>
      </c>
      <c r="G230" s="35" t="str">
        <f>IF(C230&gt;40908,"2012",IF(C230&gt;40543,"2011",IF(C230&gt;40178,"2010",IF(C230&gt;=39814,"2009",IF(C230&gt;=39448,"2008",IF(C230&gt;39082,"2007",IF(C230&lt;38717,"Pre-2006","2006")))))))</f>
        <v>2006</v>
      </c>
      <c r="H230" s="71"/>
      <c r="I230" s="71"/>
      <c r="J230" s="61"/>
      <c r="K230" s="62"/>
      <c r="L230" s="63"/>
      <c r="M230" s="59" t="str">
        <f t="shared" si="39"/>
        <v>NA</v>
      </c>
      <c r="N230" s="17"/>
    </row>
    <row r="231">
      <c r="A231" s="9"/>
      <c r="B231" s="38">
        <f t="shared" si="5"/>
        <v>229</v>
      </c>
      <c r="C231" s="34">
        <v>41733.0</v>
      </c>
      <c r="D231" s="12" t="str">
        <f>hyperlink("http://www.rottentomatoes.com/m/the_armstrong_lie_2013/","Armstrong Lie, The")</f>
        <v>Armstrong Lie, The</v>
      </c>
      <c r="E231" s="13" t="s">
        <v>201</v>
      </c>
      <c r="F231" s="13">
        <v>14.0</v>
      </c>
      <c r="G231" s="13">
        <v>2014.0</v>
      </c>
      <c r="H231" s="13" t="s">
        <v>216</v>
      </c>
      <c r="I231" s="13" t="s">
        <v>47</v>
      </c>
      <c r="J231" s="55">
        <v>2013.0</v>
      </c>
      <c r="K231" s="56">
        <v>0.83</v>
      </c>
      <c r="L231" s="14">
        <v>122.0</v>
      </c>
      <c r="M231" s="16">
        <f t="shared" si="39"/>
        <v>0.6803278689</v>
      </c>
      <c r="N231" s="17"/>
    </row>
    <row r="232">
      <c r="A232" s="9"/>
      <c r="B232" s="38">
        <f t="shared" si="5"/>
        <v>230</v>
      </c>
      <c r="C232" s="34">
        <v>45198.0</v>
      </c>
      <c r="D232" s="12" t="str">
        <f>hyperlink("https://www.rottentomatoes.com/tv/arnold","Arnold")</f>
        <v>Arnold</v>
      </c>
      <c r="E232" s="33" t="s">
        <v>201</v>
      </c>
      <c r="F232" s="33">
        <v>14.0</v>
      </c>
      <c r="G232" s="36">
        <v>2023.0</v>
      </c>
      <c r="H232" s="33" t="s">
        <v>58</v>
      </c>
      <c r="I232" s="33" t="s">
        <v>77</v>
      </c>
      <c r="J232" s="57">
        <v>2023.0</v>
      </c>
      <c r="K232" s="58">
        <v>0.73</v>
      </c>
      <c r="L232" s="37">
        <v>165.0</v>
      </c>
      <c r="M232" s="16">
        <f t="shared" si="39"/>
        <v>0.4424242424</v>
      </c>
      <c r="N232" s="17"/>
    </row>
    <row r="233">
      <c r="A233" s="9"/>
      <c r="B233" s="38">
        <f t="shared" si="5"/>
        <v>231</v>
      </c>
      <c r="C233" s="70"/>
      <c r="D233" s="48" t="s">
        <v>217</v>
      </c>
      <c r="E233" s="13" t="s">
        <v>201</v>
      </c>
      <c r="F233" s="13">
        <v>14.0</v>
      </c>
      <c r="G233" s="35" t="str">
        <f t="shared" ref="G233:G235" si="44">IF(C233&gt;40908,"2012",IF(C233&gt;40543,"2011",IF(C233&gt;40178,"2010",IF(C233&gt;=39814,"2009",IF(C233&gt;=39448,"2008",IF(C233&gt;39082,"2007",IF(C233&lt;38717,"Pre-2006","2006")))))))</f>
        <v>Pre-2006</v>
      </c>
      <c r="H233" s="71"/>
      <c r="I233" s="71"/>
      <c r="J233" s="61"/>
      <c r="K233" s="62"/>
      <c r="L233" s="63"/>
      <c r="M233" s="59" t="str">
        <f t="shared" si="39"/>
        <v>NA</v>
      </c>
      <c r="N233" s="17"/>
    </row>
    <row r="234">
      <c r="A234" s="9"/>
      <c r="B234" s="38">
        <f t="shared" si="5"/>
        <v>232</v>
      </c>
      <c r="C234" s="34">
        <v>39440.0</v>
      </c>
      <c r="D234" s="48" t="s">
        <v>218</v>
      </c>
      <c r="E234" s="13" t="s">
        <v>201</v>
      </c>
      <c r="F234" s="13">
        <v>14.0</v>
      </c>
      <c r="G234" s="35" t="str">
        <f t="shared" si="44"/>
        <v>2007</v>
      </c>
      <c r="H234" s="13" t="s">
        <v>124</v>
      </c>
      <c r="I234" s="13" t="s">
        <v>26</v>
      </c>
      <c r="J234" s="14">
        <v>2007.0</v>
      </c>
      <c r="K234" s="15">
        <v>0.85</v>
      </c>
      <c r="L234" s="63"/>
      <c r="M234" s="59" t="str">
        <f t="shared" si="39"/>
        <v>NA</v>
      </c>
      <c r="N234" s="17"/>
    </row>
    <row r="235">
      <c r="A235" s="9"/>
      <c r="B235" s="38">
        <f t="shared" si="5"/>
        <v>233</v>
      </c>
      <c r="C235" s="34">
        <v>39137.0</v>
      </c>
      <c r="D235" s="48" t="s">
        <v>219</v>
      </c>
      <c r="E235" s="13" t="s">
        <v>201</v>
      </c>
      <c r="F235" s="13">
        <v>14.0</v>
      </c>
      <c r="G235" s="35" t="str">
        <f t="shared" si="44"/>
        <v>2007</v>
      </c>
      <c r="H235" s="71"/>
      <c r="I235" s="71"/>
      <c r="J235" s="61"/>
      <c r="K235" s="62"/>
      <c r="L235" s="63"/>
      <c r="M235" s="59" t="str">
        <f t="shared" si="39"/>
        <v>NA</v>
      </c>
      <c r="N235" s="17"/>
    </row>
    <row r="236">
      <c r="A236" s="9"/>
      <c r="B236" s="38">
        <f t="shared" si="5"/>
        <v>234</v>
      </c>
      <c r="C236" s="34">
        <v>43848.0</v>
      </c>
      <c r="D236" s="12" t="str">
        <f>hyperlink("https://www.rottentomatoes.com/m/bad_boys_for_life","Bad Boys for Life")</f>
        <v>Bad Boys for Life</v>
      </c>
      <c r="E236" s="33" t="s">
        <v>201</v>
      </c>
      <c r="F236" s="33">
        <v>14.0</v>
      </c>
      <c r="G236" s="33">
        <v>2020.0</v>
      </c>
      <c r="H236" s="33" t="s">
        <v>143</v>
      </c>
      <c r="I236" s="33" t="s">
        <v>26</v>
      </c>
      <c r="J236" s="57">
        <v>2020.0</v>
      </c>
      <c r="K236" s="56">
        <v>0.77</v>
      </c>
      <c r="L236" s="37">
        <v>123.0</v>
      </c>
      <c r="M236" s="59">
        <f t="shared" si="39"/>
        <v>0.6260162602</v>
      </c>
      <c r="N236" s="17"/>
    </row>
    <row r="237">
      <c r="A237" s="9"/>
      <c r="B237" s="38">
        <f t="shared" si="5"/>
        <v>235</v>
      </c>
      <c r="C237" s="34">
        <v>41853.0</v>
      </c>
      <c r="D237" s="12" t="str">
        <f>hyperlink("http://www.rottentomatoes.com/m/bad_words/","Bad Words")</f>
        <v>Bad Words</v>
      </c>
      <c r="E237" s="13" t="s">
        <v>201</v>
      </c>
      <c r="F237" s="13">
        <v>14.0</v>
      </c>
      <c r="G237" s="13">
        <v>2014.0</v>
      </c>
      <c r="H237" s="13" t="s">
        <v>126</v>
      </c>
      <c r="I237" s="13" t="s">
        <v>47</v>
      </c>
      <c r="J237" s="55">
        <v>2014.0</v>
      </c>
      <c r="K237" s="56">
        <v>0.64</v>
      </c>
      <c r="L237" s="14">
        <v>89.0</v>
      </c>
      <c r="M237" s="16">
        <f t="shared" si="39"/>
        <v>0.7191011236</v>
      </c>
      <c r="N237" s="17"/>
    </row>
    <row r="238">
      <c r="A238" s="9"/>
      <c r="B238" s="38">
        <f t="shared" si="5"/>
        <v>236</v>
      </c>
      <c r="C238" s="70"/>
      <c r="D238" s="48" t="s">
        <v>220</v>
      </c>
      <c r="E238" s="13" t="s">
        <v>201</v>
      </c>
      <c r="F238" s="13">
        <v>14.0</v>
      </c>
      <c r="G238" s="35" t="str">
        <f t="shared" ref="G238:G239" si="45">IF(C238&gt;40908,"2012",IF(C238&gt;40543,"2011",IF(C238&gt;40178,"2010",IF(C238&gt;=39814,"2009",IF(C238&gt;=39448,"2008",IF(C238&gt;39082,"2007",IF(C238&lt;38717,"Pre-2006","2006")))))))</f>
        <v>Pre-2006</v>
      </c>
      <c r="H238" s="71"/>
      <c r="I238" s="71"/>
      <c r="J238" s="61"/>
      <c r="K238" s="62"/>
      <c r="L238" s="63"/>
      <c r="M238" s="59" t="str">
        <f t="shared" si="39"/>
        <v>NA</v>
      </c>
      <c r="N238" s="17"/>
    </row>
    <row r="239">
      <c r="A239" s="9"/>
      <c r="B239" s="38">
        <f t="shared" si="5"/>
        <v>237</v>
      </c>
      <c r="C239" s="34">
        <v>39664.0</v>
      </c>
      <c r="D239" s="48" t="s">
        <v>221</v>
      </c>
      <c r="E239" s="13" t="s">
        <v>201</v>
      </c>
      <c r="F239" s="13">
        <v>14.0</v>
      </c>
      <c r="G239" s="35" t="str">
        <f t="shared" si="45"/>
        <v>2008</v>
      </c>
      <c r="H239" s="13" t="s">
        <v>155</v>
      </c>
      <c r="I239" s="13" t="s">
        <v>26</v>
      </c>
      <c r="J239" s="14">
        <v>2008.0</v>
      </c>
      <c r="K239" s="15">
        <v>0.79</v>
      </c>
      <c r="L239" s="14">
        <v>110.0</v>
      </c>
      <c r="M239" s="16">
        <f t="shared" si="39"/>
        <v>0.7181818182</v>
      </c>
      <c r="N239" s="17"/>
    </row>
    <row r="240">
      <c r="A240" s="9"/>
      <c r="B240" s="38">
        <f t="shared" si="5"/>
        <v>238</v>
      </c>
      <c r="C240" s="34">
        <v>45128.0</v>
      </c>
      <c r="D240" s="12" t="str">
        <f>hyperlink("https://www.rottentomatoes.com/m/barbie","Barbie")</f>
        <v>Barbie</v>
      </c>
      <c r="E240" s="33" t="s">
        <v>201</v>
      </c>
      <c r="F240" s="33">
        <v>14.0</v>
      </c>
      <c r="G240" s="36">
        <v>2023.0</v>
      </c>
      <c r="H240" s="33" t="s">
        <v>143</v>
      </c>
      <c r="I240" s="33" t="s">
        <v>26</v>
      </c>
      <c r="J240" s="57">
        <v>2008.0</v>
      </c>
      <c r="K240" s="58">
        <v>0.88</v>
      </c>
      <c r="L240" s="37">
        <v>114.0</v>
      </c>
      <c r="M240" s="16">
        <f t="shared" si="39"/>
        <v>0.7719298246</v>
      </c>
      <c r="N240" s="17"/>
    </row>
    <row r="241">
      <c r="A241" s="9"/>
      <c r="B241" s="38">
        <f t="shared" si="5"/>
        <v>239</v>
      </c>
      <c r="C241" s="70"/>
      <c r="D241" s="48" t="s">
        <v>222</v>
      </c>
      <c r="E241" s="13" t="s">
        <v>201</v>
      </c>
      <c r="F241" s="13">
        <v>14.0</v>
      </c>
      <c r="G241" s="35" t="str">
        <f>IF(C241&gt;40908,"2012",IF(C241&gt;40543,"2011",IF(C241&gt;40178,"2010",IF(C241&gt;=39814,"2009",IF(C241&gt;=39448,"2008",IF(C241&gt;39082,"2007",IF(C241&lt;38717,"Pre-2006","2006")))))))</f>
        <v>Pre-2006</v>
      </c>
      <c r="H241" s="71"/>
      <c r="I241" s="71"/>
      <c r="J241" s="61"/>
      <c r="K241" s="62"/>
      <c r="L241" s="63"/>
      <c r="M241" s="59" t="str">
        <f t="shared" si="39"/>
        <v>NA</v>
      </c>
      <c r="N241" s="17"/>
    </row>
    <row r="242">
      <c r="A242" s="9"/>
      <c r="B242" s="38">
        <f t="shared" si="5"/>
        <v>240</v>
      </c>
      <c r="C242" s="34">
        <v>45220.0</v>
      </c>
      <c r="D242" s="12" t="str">
        <f>hyperlink("https://www.rottentomatoes.com/tv/beckham","Beckham")</f>
        <v>Beckham</v>
      </c>
      <c r="E242" s="13" t="s">
        <v>201</v>
      </c>
      <c r="F242" s="33">
        <v>14.0</v>
      </c>
      <c r="G242" s="33">
        <v>2023.0</v>
      </c>
      <c r="H242" s="33" t="s">
        <v>223</v>
      </c>
      <c r="I242" s="33" t="s">
        <v>77</v>
      </c>
      <c r="J242" s="57">
        <v>2023.0</v>
      </c>
      <c r="K242" s="56">
        <v>0.91</v>
      </c>
      <c r="L242" s="37">
        <v>220.0</v>
      </c>
      <c r="M242" s="16">
        <f t="shared" si="39"/>
        <v>0.4136363636</v>
      </c>
      <c r="N242" s="17"/>
    </row>
    <row r="243">
      <c r="A243" s="9"/>
      <c r="B243" s="38">
        <f t="shared" si="5"/>
        <v>241</v>
      </c>
      <c r="C243" s="34">
        <v>41461.0</v>
      </c>
      <c r="D243" s="48" t="s">
        <v>224</v>
      </c>
      <c r="E243" s="13" t="s">
        <v>201</v>
      </c>
      <c r="F243" s="13">
        <v>14.0</v>
      </c>
      <c r="G243" s="13">
        <v>2013.0</v>
      </c>
      <c r="H243" s="13" t="s">
        <v>25</v>
      </c>
      <c r="I243" s="13" t="s">
        <v>26</v>
      </c>
      <c r="J243" s="55">
        <v>2013.0</v>
      </c>
      <c r="K243" s="56">
        <v>0.98</v>
      </c>
      <c r="L243" s="14">
        <v>108.0</v>
      </c>
      <c r="M243" s="16">
        <f t="shared" si="39"/>
        <v>0.9074074074</v>
      </c>
      <c r="N243" s="17"/>
    </row>
    <row r="244">
      <c r="A244" s="9"/>
      <c r="B244" s="38">
        <f t="shared" si="5"/>
        <v>242</v>
      </c>
      <c r="C244" s="34">
        <v>40019.0</v>
      </c>
      <c r="D244" s="48" t="s">
        <v>225</v>
      </c>
      <c r="E244" s="13" t="s">
        <v>201</v>
      </c>
      <c r="F244" s="13">
        <v>14.0</v>
      </c>
      <c r="G244" s="35" t="str">
        <f t="shared" ref="G244:G245" si="46">IF(C244&gt;40908,"2012",IF(C244&gt;40543,"2011",IF(C244&gt;40178,"2010",IF(C244&gt;=39814,"2009",IF(C244&gt;=39448,"2008",IF(C244&gt;39082,"2007",IF(C244&lt;38717,"Pre-2006","2006")))))))</f>
        <v>2009</v>
      </c>
      <c r="H244" s="13" t="s">
        <v>27</v>
      </c>
      <c r="I244" s="13" t="s">
        <v>47</v>
      </c>
      <c r="J244" s="14">
        <v>1995.0</v>
      </c>
      <c r="K244" s="15">
        <v>1.0</v>
      </c>
      <c r="L244" s="14">
        <v>101.0</v>
      </c>
      <c r="M244" s="16">
        <f t="shared" si="39"/>
        <v>0.9900990099</v>
      </c>
      <c r="N244" s="17"/>
    </row>
    <row r="245">
      <c r="A245" s="9"/>
      <c r="B245" s="38">
        <f t="shared" si="5"/>
        <v>243</v>
      </c>
      <c r="C245" s="70"/>
      <c r="D245" s="48" t="s">
        <v>226</v>
      </c>
      <c r="E245" s="13" t="s">
        <v>201</v>
      </c>
      <c r="F245" s="13">
        <v>14.0</v>
      </c>
      <c r="G245" s="35" t="str">
        <f t="shared" si="46"/>
        <v>Pre-2006</v>
      </c>
      <c r="H245" s="71"/>
      <c r="I245" s="71"/>
      <c r="J245" s="61"/>
      <c r="K245" s="62"/>
      <c r="L245" s="63"/>
      <c r="M245" s="59" t="str">
        <f t="shared" si="39"/>
        <v>NA</v>
      </c>
      <c r="N245" s="17"/>
    </row>
    <row r="246">
      <c r="A246" s="9"/>
      <c r="B246" s="38">
        <f t="shared" si="5"/>
        <v>244</v>
      </c>
      <c r="C246" s="34">
        <v>44022.0</v>
      </c>
      <c r="D246" s="12" t="str">
        <f>hyperlink("https://www.rottentomatoes.com/m/birdman_2014","Birdman")</f>
        <v>Birdman</v>
      </c>
      <c r="E246" s="33" t="s">
        <v>201</v>
      </c>
      <c r="F246" s="33">
        <v>14.0</v>
      </c>
      <c r="G246" s="36">
        <v>2020.0</v>
      </c>
      <c r="H246" s="33" t="s">
        <v>58</v>
      </c>
      <c r="I246" s="33" t="s">
        <v>47</v>
      </c>
      <c r="J246" s="57">
        <v>2014.0</v>
      </c>
      <c r="K246" s="58">
        <v>0.91</v>
      </c>
      <c r="L246" s="37">
        <v>119.0</v>
      </c>
      <c r="M246" s="59">
        <f t="shared" si="39"/>
        <v>0.7647058824</v>
      </c>
      <c r="N246" s="17"/>
    </row>
    <row r="247">
      <c r="A247" s="9"/>
      <c r="B247" s="38">
        <f t="shared" si="5"/>
        <v>245</v>
      </c>
      <c r="C247" s="70"/>
      <c r="D247" s="48" t="s">
        <v>227</v>
      </c>
      <c r="E247" s="13" t="s">
        <v>201</v>
      </c>
      <c r="F247" s="13">
        <v>14.0</v>
      </c>
      <c r="G247" s="35" t="str">
        <f t="shared" ref="G247:G249" si="47">IF(C247&gt;40908,"2012",IF(C247&gt;40543,"2011",IF(C247&gt;40178,"2010",IF(C247&gt;=39814,"2009",IF(C247&gt;=39448,"2008",IF(C247&gt;39082,"2007",IF(C247&lt;38717,"Pre-2006","2006")))))))</f>
        <v>Pre-2006</v>
      </c>
      <c r="H247" s="71"/>
      <c r="I247" s="71"/>
      <c r="J247" s="61"/>
      <c r="K247" s="62"/>
      <c r="L247" s="63"/>
      <c r="M247" s="59" t="str">
        <f t="shared" si="39"/>
        <v>NA</v>
      </c>
      <c r="N247" s="17"/>
    </row>
    <row r="248">
      <c r="A248" s="9"/>
      <c r="B248" s="38">
        <f t="shared" si="5"/>
        <v>246</v>
      </c>
      <c r="C248" s="34">
        <v>39171.0</v>
      </c>
      <c r="D248" s="48" t="s">
        <v>228</v>
      </c>
      <c r="E248" s="13" t="s">
        <v>201</v>
      </c>
      <c r="F248" s="13">
        <v>14.0</v>
      </c>
      <c r="G248" s="35" t="str">
        <f t="shared" si="47"/>
        <v>2007</v>
      </c>
      <c r="H248" s="71"/>
      <c r="I248" s="71"/>
      <c r="J248" s="61"/>
      <c r="K248" s="62"/>
      <c r="L248" s="63"/>
      <c r="M248" s="59" t="str">
        <f t="shared" si="39"/>
        <v>NA</v>
      </c>
      <c r="N248" s="17"/>
    </row>
    <row r="249">
      <c r="A249" s="9"/>
      <c r="B249" s="38">
        <f t="shared" si="5"/>
        <v>247</v>
      </c>
      <c r="C249" s="70"/>
      <c r="D249" s="48" t="s">
        <v>229</v>
      </c>
      <c r="E249" s="13" t="s">
        <v>201</v>
      </c>
      <c r="F249" s="13">
        <v>14.0</v>
      </c>
      <c r="G249" s="35" t="str">
        <f t="shared" si="47"/>
        <v>Pre-2006</v>
      </c>
      <c r="H249" s="71"/>
      <c r="I249" s="71"/>
      <c r="J249" s="61"/>
      <c r="K249" s="62"/>
      <c r="L249" s="63"/>
      <c r="M249" s="59" t="str">
        <f t="shared" si="39"/>
        <v>NA</v>
      </c>
      <c r="N249" s="17"/>
    </row>
    <row r="250">
      <c r="A250" s="9"/>
      <c r="B250" s="38">
        <f t="shared" si="5"/>
        <v>248</v>
      </c>
      <c r="C250" s="75">
        <v>42654.0</v>
      </c>
      <c r="D250" s="12" t="str">
        <f>hyperlink("https://www.rottentomatoes.com/m/blue_jay","Blue Jay")</f>
        <v>Blue Jay</v>
      </c>
      <c r="E250" s="33" t="s">
        <v>201</v>
      </c>
      <c r="F250" s="33">
        <v>14.0</v>
      </c>
      <c r="G250" s="36">
        <v>2016.0</v>
      </c>
      <c r="H250" s="33" t="s">
        <v>58</v>
      </c>
      <c r="I250" s="13" t="s">
        <v>47</v>
      </c>
      <c r="J250" s="57">
        <v>2016.0</v>
      </c>
      <c r="K250" s="58">
        <v>0.93</v>
      </c>
      <c r="L250" s="37">
        <v>85.0</v>
      </c>
      <c r="M250" s="59">
        <f t="shared" ref="M250:M251" si="48">K250/L250*100</f>
        <v>1.094117647</v>
      </c>
      <c r="N250" s="17"/>
    </row>
    <row r="251">
      <c r="A251" s="9"/>
      <c r="B251" s="38">
        <f t="shared" si="5"/>
        <v>249</v>
      </c>
      <c r="C251" s="75">
        <v>44565.0</v>
      </c>
      <c r="D251" s="12" t="str">
        <f>hyperlink("https://www.rottentomatoes.com/m/bolt","Bolt")</f>
        <v>Bolt</v>
      </c>
      <c r="E251" s="33" t="s">
        <v>201</v>
      </c>
      <c r="F251" s="33">
        <v>14.0</v>
      </c>
      <c r="G251" s="36">
        <v>2022.0</v>
      </c>
      <c r="H251" s="33" t="s">
        <v>58</v>
      </c>
      <c r="I251" s="33" t="s">
        <v>230</v>
      </c>
      <c r="J251" s="57">
        <v>2008.0</v>
      </c>
      <c r="K251" s="58">
        <v>0.89</v>
      </c>
      <c r="L251" s="37">
        <v>96.0</v>
      </c>
      <c r="M251" s="59">
        <f t="shared" si="48"/>
        <v>0.9270833333</v>
      </c>
      <c r="N251" s="17"/>
    </row>
    <row r="252">
      <c r="A252" s="9"/>
      <c r="B252" s="38">
        <f t="shared" si="5"/>
        <v>250</v>
      </c>
      <c r="C252" s="70"/>
      <c r="D252" s="48" t="s">
        <v>231</v>
      </c>
      <c r="E252" s="13" t="s">
        <v>201</v>
      </c>
      <c r="F252" s="13">
        <v>14.0</v>
      </c>
      <c r="G252" s="35" t="str">
        <f>IF(C252&gt;40908,"2012",IF(C252&gt;40543,"2011",IF(C252&gt;40178,"2010",IF(C252&gt;=39814,"2009",IF(C252&gt;=39448,"2008",IF(C252&gt;39082,"2007",IF(C252&lt;38717,"Pre-2006","2006")))))))</f>
        <v>Pre-2006</v>
      </c>
      <c r="H252" s="71"/>
      <c r="I252" s="71"/>
      <c r="J252" s="61"/>
      <c r="K252" s="62"/>
      <c r="L252" s="63"/>
      <c r="M252" s="59" t="str">
        <f t="shared" ref="M252:M263" si="49">if(iserror(K252/L252*100),"NA",K252/L252*100)</f>
        <v>NA</v>
      </c>
      <c r="N252" s="17"/>
    </row>
    <row r="253">
      <c r="A253" s="9"/>
      <c r="B253" s="38">
        <f t="shared" si="5"/>
        <v>251</v>
      </c>
      <c r="C253" s="75">
        <v>43647.0</v>
      </c>
      <c r="D253" s="12" t="str">
        <f>hyperlink("https://rottentomatoes.com/m/booksmart","Booksmart")</f>
        <v>Booksmart</v>
      </c>
      <c r="E253" s="33" t="s">
        <v>201</v>
      </c>
      <c r="F253" s="33">
        <v>14.0</v>
      </c>
      <c r="G253" s="36">
        <v>2019.0</v>
      </c>
      <c r="H253" s="33" t="s">
        <v>25</v>
      </c>
      <c r="I253" s="33" t="s">
        <v>26</v>
      </c>
      <c r="J253" s="57">
        <v>2019.0</v>
      </c>
      <c r="K253" s="58">
        <v>0.97</v>
      </c>
      <c r="L253" s="37">
        <v>105.0</v>
      </c>
      <c r="M253" s="59">
        <f t="shared" si="49"/>
        <v>0.9238095238</v>
      </c>
      <c r="N253" s="17"/>
    </row>
    <row r="254">
      <c r="A254" s="9"/>
      <c r="B254" s="38">
        <f t="shared" si="5"/>
        <v>252</v>
      </c>
      <c r="C254" s="70"/>
      <c r="D254" s="48" t="s">
        <v>232</v>
      </c>
      <c r="E254" s="13" t="s">
        <v>201</v>
      </c>
      <c r="F254" s="13">
        <v>14.0</v>
      </c>
      <c r="G254" s="35" t="str">
        <f t="shared" ref="G254:G261" si="50">IF(C254&gt;40908,"2012",IF(C254&gt;40543,"2011",IF(C254&gt;40178,"2010",IF(C254&gt;=39814,"2009",IF(C254&gt;=39448,"2008",IF(C254&gt;39082,"2007",IF(C254&lt;38717,"Pre-2006","2006")))))))</f>
        <v>Pre-2006</v>
      </c>
      <c r="H254" s="71"/>
      <c r="I254" s="71"/>
      <c r="J254" s="61"/>
      <c r="K254" s="62"/>
      <c r="L254" s="63"/>
      <c r="M254" s="59" t="str">
        <f t="shared" si="49"/>
        <v>NA</v>
      </c>
      <c r="N254" s="17"/>
    </row>
    <row r="255">
      <c r="A255" s="9"/>
      <c r="B255" s="38">
        <f t="shared" si="5"/>
        <v>253</v>
      </c>
      <c r="C255" s="70"/>
      <c r="D255" s="48" t="s">
        <v>233</v>
      </c>
      <c r="E255" s="13" t="s">
        <v>201</v>
      </c>
      <c r="F255" s="13">
        <v>14.0</v>
      </c>
      <c r="G255" s="35" t="str">
        <f t="shared" si="50"/>
        <v>Pre-2006</v>
      </c>
      <c r="H255" s="71"/>
      <c r="I255" s="71"/>
      <c r="J255" s="61"/>
      <c r="K255" s="62"/>
      <c r="L255" s="63"/>
      <c r="M255" s="59" t="str">
        <f t="shared" si="49"/>
        <v>NA</v>
      </c>
      <c r="N255" s="17"/>
    </row>
    <row r="256">
      <c r="A256" s="9"/>
      <c r="B256" s="38">
        <f t="shared" si="5"/>
        <v>254</v>
      </c>
      <c r="C256" s="70"/>
      <c r="D256" s="48" t="s">
        <v>234</v>
      </c>
      <c r="E256" s="13" t="s">
        <v>201</v>
      </c>
      <c r="F256" s="13">
        <v>14.0</v>
      </c>
      <c r="G256" s="35" t="str">
        <f t="shared" si="50"/>
        <v>Pre-2006</v>
      </c>
      <c r="H256" s="71"/>
      <c r="I256" s="71"/>
      <c r="J256" s="61"/>
      <c r="K256" s="62"/>
      <c r="L256" s="63"/>
      <c r="M256" s="59" t="str">
        <f t="shared" si="49"/>
        <v>NA</v>
      </c>
      <c r="N256" s="17"/>
    </row>
    <row r="257">
      <c r="A257" s="9"/>
      <c r="B257" s="38">
        <f t="shared" si="5"/>
        <v>255</v>
      </c>
      <c r="C257" s="70"/>
      <c r="D257" s="48" t="s">
        <v>235</v>
      </c>
      <c r="E257" s="13" t="s">
        <v>201</v>
      </c>
      <c r="F257" s="13">
        <v>14.0</v>
      </c>
      <c r="G257" s="35" t="str">
        <f t="shared" si="50"/>
        <v>Pre-2006</v>
      </c>
      <c r="H257" s="71"/>
      <c r="I257" s="71"/>
      <c r="J257" s="61"/>
      <c r="K257" s="62"/>
      <c r="L257" s="63"/>
      <c r="M257" s="59" t="str">
        <f t="shared" si="49"/>
        <v>NA</v>
      </c>
      <c r="N257" s="17"/>
    </row>
    <row r="258">
      <c r="A258" s="9"/>
      <c r="B258" s="38">
        <f t="shared" si="5"/>
        <v>256</v>
      </c>
      <c r="C258" s="70"/>
      <c r="D258" s="48" t="s">
        <v>236</v>
      </c>
      <c r="E258" s="13" t="s">
        <v>201</v>
      </c>
      <c r="F258" s="13">
        <v>14.0</v>
      </c>
      <c r="G258" s="35" t="str">
        <f t="shared" si="50"/>
        <v>Pre-2006</v>
      </c>
      <c r="H258" s="71"/>
      <c r="I258" s="71"/>
      <c r="J258" s="61"/>
      <c r="K258" s="62"/>
      <c r="L258" s="63"/>
      <c r="M258" s="59" t="str">
        <f t="shared" si="49"/>
        <v>NA</v>
      </c>
      <c r="N258" s="17"/>
    </row>
    <row r="259">
      <c r="A259" s="9"/>
      <c r="B259" s="38">
        <f t="shared" si="5"/>
        <v>257</v>
      </c>
      <c r="C259" s="34">
        <v>39856.0</v>
      </c>
      <c r="D259" s="48" t="s">
        <v>237</v>
      </c>
      <c r="E259" s="13" t="s">
        <v>201</v>
      </c>
      <c r="F259" s="13">
        <v>14.0</v>
      </c>
      <c r="G259" s="35" t="str">
        <f t="shared" si="50"/>
        <v>2009</v>
      </c>
      <c r="H259" s="13" t="s">
        <v>27</v>
      </c>
      <c r="I259" s="13" t="s">
        <v>47</v>
      </c>
      <c r="J259" s="14">
        <v>2003.0</v>
      </c>
      <c r="K259" s="15">
        <v>1.0</v>
      </c>
      <c r="L259" s="14">
        <v>122.0</v>
      </c>
      <c r="M259" s="16">
        <f t="shared" si="49"/>
        <v>0.8196721311</v>
      </c>
      <c r="N259" s="17"/>
    </row>
    <row r="260">
      <c r="A260" s="9"/>
      <c r="B260" s="38">
        <f t="shared" si="5"/>
        <v>258</v>
      </c>
      <c r="C260" s="70"/>
      <c r="D260" s="48" t="s">
        <v>238</v>
      </c>
      <c r="E260" s="13" t="s">
        <v>201</v>
      </c>
      <c r="F260" s="13">
        <v>14.0</v>
      </c>
      <c r="G260" s="35" t="str">
        <f t="shared" si="50"/>
        <v>Pre-2006</v>
      </c>
      <c r="H260" s="71"/>
      <c r="I260" s="71"/>
      <c r="J260" s="61"/>
      <c r="K260" s="62"/>
      <c r="L260" s="63"/>
      <c r="M260" s="59" t="str">
        <f t="shared" si="49"/>
        <v>NA</v>
      </c>
      <c r="N260" s="17"/>
    </row>
    <row r="261">
      <c r="A261" s="9"/>
      <c r="B261" s="38">
        <f t="shared" si="5"/>
        <v>259</v>
      </c>
      <c r="C261" s="70"/>
      <c r="D261" s="48" t="s">
        <v>239</v>
      </c>
      <c r="E261" s="13" t="s">
        <v>201</v>
      </c>
      <c r="F261" s="13">
        <v>14.0</v>
      </c>
      <c r="G261" s="35" t="str">
        <f t="shared" si="50"/>
        <v>Pre-2006</v>
      </c>
      <c r="H261" s="71"/>
      <c r="I261" s="71"/>
      <c r="J261" s="61"/>
      <c r="K261" s="62"/>
      <c r="L261" s="63"/>
      <c r="M261" s="59" t="str">
        <f t="shared" si="49"/>
        <v>NA</v>
      </c>
      <c r="N261" s="17"/>
    </row>
    <row r="262">
      <c r="A262" s="9"/>
      <c r="B262" s="38">
        <f t="shared" si="5"/>
        <v>260</v>
      </c>
      <c r="C262" s="75">
        <v>43520.0</v>
      </c>
      <c r="D262" s="12" t="str">
        <f>hyperlink("https://www.rottentomatoes.com/m/can_you_ever_forgive_me","Can you ever forgive me?")</f>
        <v>Can you ever forgive me?</v>
      </c>
      <c r="E262" s="33" t="s">
        <v>201</v>
      </c>
      <c r="F262" s="33">
        <v>14.0</v>
      </c>
      <c r="G262" s="36">
        <v>2019.0</v>
      </c>
      <c r="H262" s="33" t="s">
        <v>58</v>
      </c>
      <c r="I262" s="33" t="s">
        <v>47</v>
      </c>
      <c r="J262" s="57">
        <v>2018.0</v>
      </c>
      <c r="K262" s="58">
        <v>0.98</v>
      </c>
      <c r="L262" s="37">
        <v>107.0</v>
      </c>
      <c r="M262" s="16">
        <f t="shared" si="49"/>
        <v>0.9158878505</v>
      </c>
      <c r="N262" s="17"/>
    </row>
    <row r="263">
      <c r="A263" s="9"/>
      <c r="B263" s="38">
        <f t="shared" si="5"/>
        <v>261</v>
      </c>
      <c r="C263" s="70"/>
      <c r="D263" s="48" t="s">
        <v>240</v>
      </c>
      <c r="E263" s="13" t="s">
        <v>201</v>
      </c>
      <c r="F263" s="13">
        <v>14.0</v>
      </c>
      <c r="G263" s="35" t="str">
        <f>IF(C263&gt;40908,"2012",IF(C263&gt;40543,"2011",IF(C263&gt;40178,"2010",IF(C263&gt;=39814,"2009",IF(C263&gt;=39448,"2008",IF(C263&gt;39082,"2007",IF(C263&lt;38717,"Pre-2006","2006")))))))</f>
        <v>Pre-2006</v>
      </c>
      <c r="H263" s="71"/>
      <c r="I263" s="71"/>
      <c r="J263" s="61"/>
      <c r="K263" s="62"/>
      <c r="L263" s="63"/>
      <c r="M263" s="59" t="str">
        <f t="shared" si="49"/>
        <v>NA</v>
      </c>
      <c r="N263" s="17"/>
    </row>
    <row r="264">
      <c r="A264" s="9"/>
      <c r="B264" s="38">
        <f t="shared" si="5"/>
        <v>262</v>
      </c>
      <c r="C264" s="34">
        <v>42678.0</v>
      </c>
      <c r="D264" s="12" t="str">
        <f>hyperlink("https://www.rottentomatoes.com/m/captain_fantastic","Captain Fantastic")</f>
        <v>Captain Fantastic</v>
      </c>
      <c r="E264" s="33" t="s">
        <v>201</v>
      </c>
      <c r="F264" s="33">
        <v>14.0</v>
      </c>
      <c r="G264" s="36">
        <v>2016.0</v>
      </c>
      <c r="H264" s="33" t="s">
        <v>58</v>
      </c>
      <c r="I264" s="33" t="s">
        <v>47</v>
      </c>
      <c r="J264" s="57">
        <v>2016.0</v>
      </c>
      <c r="K264" s="58">
        <v>0.82</v>
      </c>
      <c r="L264" s="37">
        <v>119.0</v>
      </c>
      <c r="M264" s="59">
        <f>K264/L264*100</f>
        <v>0.6890756303</v>
      </c>
      <c r="N264" s="17"/>
    </row>
    <row r="265">
      <c r="A265" s="9"/>
      <c r="B265" s="38">
        <f t="shared" si="5"/>
        <v>263</v>
      </c>
      <c r="C265" s="70"/>
      <c r="D265" s="48" t="s">
        <v>241</v>
      </c>
      <c r="E265" s="13" t="s">
        <v>201</v>
      </c>
      <c r="F265" s="13">
        <v>14.0</v>
      </c>
      <c r="G265" s="35" t="str">
        <f t="shared" ref="G265:G267" si="51">IF(C265&gt;40908,"2012",IF(C265&gt;40543,"2011",IF(C265&gt;40178,"2010",IF(C265&gt;=39814,"2009",IF(C265&gt;=39448,"2008",IF(C265&gt;39082,"2007",IF(C265&lt;38717,"Pre-2006","2006")))))))</f>
        <v>Pre-2006</v>
      </c>
      <c r="H265" s="71"/>
      <c r="I265" s="71"/>
      <c r="J265" s="61"/>
      <c r="K265" s="62"/>
      <c r="L265" s="63"/>
      <c r="M265" s="59" t="str">
        <f t="shared" ref="M265:M295" si="52">if(iserror(K265/L265*100),"NA",K265/L265*100)</f>
        <v>NA</v>
      </c>
      <c r="N265" s="17"/>
    </row>
    <row r="266">
      <c r="A266" s="9"/>
      <c r="B266" s="38">
        <f t="shared" si="5"/>
        <v>264</v>
      </c>
      <c r="C266" s="70"/>
      <c r="D266" s="48" t="s">
        <v>242</v>
      </c>
      <c r="E266" s="13" t="s">
        <v>201</v>
      </c>
      <c r="F266" s="13">
        <v>14.0</v>
      </c>
      <c r="G266" s="35" t="str">
        <f t="shared" si="51"/>
        <v>Pre-2006</v>
      </c>
      <c r="H266" s="71"/>
      <c r="I266" s="71"/>
      <c r="J266" s="61"/>
      <c r="K266" s="62"/>
      <c r="L266" s="63"/>
      <c r="M266" s="59" t="str">
        <f t="shared" si="52"/>
        <v>NA</v>
      </c>
      <c r="N266" s="17"/>
    </row>
    <row r="267">
      <c r="A267" s="9"/>
      <c r="B267" s="38">
        <f t="shared" si="5"/>
        <v>265</v>
      </c>
      <c r="C267" s="34">
        <v>39136.0</v>
      </c>
      <c r="D267" s="48" t="s">
        <v>243</v>
      </c>
      <c r="E267" s="13" t="s">
        <v>201</v>
      </c>
      <c r="F267" s="13">
        <v>14.0</v>
      </c>
      <c r="G267" s="35" t="str">
        <f t="shared" si="51"/>
        <v>2007</v>
      </c>
      <c r="H267" s="71"/>
      <c r="I267" s="71"/>
      <c r="J267" s="61"/>
      <c r="K267" s="62"/>
      <c r="L267" s="63"/>
      <c r="M267" s="59" t="str">
        <f t="shared" si="52"/>
        <v>NA</v>
      </c>
      <c r="N267" s="17"/>
    </row>
    <row r="268">
      <c r="A268" s="9"/>
      <c r="B268" s="38">
        <f t="shared" si="5"/>
        <v>266</v>
      </c>
      <c r="C268" s="34">
        <v>42186.0</v>
      </c>
      <c r="D268" s="12" t="str">
        <f>hyperlink("http://www.rottentomatoes.com/m/chef_2014/?search=chef","Chef")</f>
        <v>Chef</v>
      </c>
      <c r="E268" s="33" t="s">
        <v>201</v>
      </c>
      <c r="F268" s="33">
        <v>14.0</v>
      </c>
      <c r="G268" s="36">
        <v>2015.0</v>
      </c>
      <c r="H268" s="33" t="s">
        <v>244</v>
      </c>
      <c r="I268" s="33" t="s">
        <v>47</v>
      </c>
      <c r="J268" s="57">
        <v>2014.0</v>
      </c>
      <c r="K268" s="58">
        <v>0.86</v>
      </c>
      <c r="L268" s="37">
        <v>115.0</v>
      </c>
      <c r="M268" s="59">
        <f t="shared" si="52"/>
        <v>0.747826087</v>
      </c>
      <c r="N268" s="17"/>
    </row>
    <row r="269">
      <c r="A269" s="9"/>
      <c r="B269" s="38">
        <f t="shared" si="5"/>
        <v>267</v>
      </c>
      <c r="C269" s="70"/>
      <c r="D269" s="48" t="s">
        <v>245</v>
      </c>
      <c r="E269" s="13" t="s">
        <v>201</v>
      </c>
      <c r="F269" s="13">
        <v>14.0</v>
      </c>
      <c r="G269" s="35" t="str">
        <f t="shared" ref="G269:G281" si="53">IF(C269&gt;40908,"2012",IF(C269&gt;40543,"2011",IF(C269&gt;40178,"2010",IF(C269&gt;=39814,"2009",IF(C269&gt;=39448,"2008",IF(C269&gt;39082,"2007",IF(C269&lt;38717,"Pre-2006","2006")))))))</f>
        <v>Pre-2006</v>
      </c>
      <c r="H269" s="71"/>
      <c r="I269" s="71"/>
      <c r="J269" s="61"/>
      <c r="K269" s="62"/>
      <c r="L269" s="63"/>
      <c r="M269" s="59" t="str">
        <f t="shared" si="52"/>
        <v>NA</v>
      </c>
      <c r="N269" s="17"/>
    </row>
    <row r="270">
      <c r="A270" s="9"/>
      <c r="B270" s="38">
        <f t="shared" si="5"/>
        <v>268</v>
      </c>
      <c r="C270" s="70"/>
      <c r="D270" s="48" t="s">
        <v>246</v>
      </c>
      <c r="E270" s="13" t="s">
        <v>201</v>
      </c>
      <c r="F270" s="13">
        <v>14.0</v>
      </c>
      <c r="G270" s="35" t="str">
        <f t="shared" si="53"/>
        <v>Pre-2006</v>
      </c>
      <c r="H270" s="71"/>
      <c r="I270" s="71"/>
      <c r="J270" s="61"/>
      <c r="K270" s="62"/>
      <c r="L270" s="63"/>
      <c r="M270" s="59" t="str">
        <f t="shared" si="52"/>
        <v>NA</v>
      </c>
      <c r="N270" s="17"/>
    </row>
    <row r="271">
      <c r="A271" s="9"/>
      <c r="B271" s="38">
        <f t="shared" si="5"/>
        <v>269</v>
      </c>
      <c r="C271" s="70"/>
      <c r="D271" s="48" t="s">
        <v>247</v>
      </c>
      <c r="E271" s="13" t="s">
        <v>201</v>
      </c>
      <c r="F271" s="13">
        <v>14.0</v>
      </c>
      <c r="G271" s="35" t="str">
        <f t="shared" si="53"/>
        <v>Pre-2006</v>
      </c>
      <c r="H271" s="71"/>
      <c r="I271" s="71"/>
      <c r="J271" s="61"/>
      <c r="K271" s="62"/>
      <c r="L271" s="63"/>
      <c r="M271" s="59" t="str">
        <f t="shared" si="52"/>
        <v>NA</v>
      </c>
      <c r="N271" s="17"/>
    </row>
    <row r="272">
      <c r="A272" s="9"/>
      <c r="B272" s="38">
        <f t="shared" si="5"/>
        <v>270</v>
      </c>
      <c r="C272" s="70"/>
      <c r="D272" s="48" t="s">
        <v>248</v>
      </c>
      <c r="E272" s="13" t="s">
        <v>201</v>
      </c>
      <c r="F272" s="13">
        <v>14.0</v>
      </c>
      <c r="G272" s="35" t="str">
        <f t="shared" si="53"/>
        <v>Pre-2006</v>
      </c>
      <c r="H272" s="71"/>
      <c r="I272" s="71"/>
      <c r="J272" s="61"/>
      <c r="K272" s="62"/>
      <c r="L272" s="63"/>
      <c r="M272" s="59" t="str">
        <f t="shared" si="52"/>
        <v>NA</v>
      </c>
      <c r="N272" s="17"/>
    </row>
    <row r="273">
      <c r="A273" s="9"/>
      <c r="B273" s="38">
        <f t="shared" si="5"/>
        <v>271</v>
      </c>
      <c r="C273" s="70"/>
      <c r="D273" s="48" t="s">
        <v>249</v>
      </c>
      <c r="E273" s="13" t="s">
        <v>201</v>
      </c>
      <c r="F273" s="13">
        <v>14.0</v>
      </c>
      <c r="G273" s="35" t="str">
        <f t="shared" si="53"/>
        <v>Pre-2006</v>
      </c>
      <c r="H273" s="71"/>
      <c r="I273" s="71"/>
      <c r="J273" s="61"/>
      <c r="K273" s="62"/>
      <c r="L273" s="63"/>
      <c r="M273" s="59" t="str">
        <f t="shared" si="52"/>
        <v>NA</v>
      </c>
      <c r="N273" s="17"/>
    </row>
    <row r="274">
      <c r="A274" s="9"/>
      <c r="B274" s="38">
        <f t="shared" si="5"/>
        <v>272</v>
      </c>
      <c r="C274" s="34">
        <v>39242.0</v>
      </c>
      <c r="D274" s="48" t="s">
        <v>250</v>
      </c>
      <c r="E274" s="13" t="s">
        <v>201</v>
      </c>
      <c r="F274" s="13">
        <v>14.0</v>
      </c>
      <c r="G274" s="35" t="str">
        <f t="shared" si="53"/>
        <v>2007</v>
      </c>
      <c r="H274" s="71"/>
      <c r="I274" s="71"/>
      <c r="J274" s="61"/>
      <c r="K274" s="62"/>
      <c r="L274" s="63"/>
      <c r="M274" s="59" t="str">
        <f t="shared" si="52"/>
        <v>NA</v>
      </c>
      <c r="N274" s="17"/>
    </row>
    <row r="275">
      <c r="A275" s="9"/>
      <c r="B275" s="38">
        <f t="shared" si="5"/>
        <v>273</v>
      </c>
      <c r="C275" s="70"/>
      <c r="D275" s="48" t="s">
        <v>251</v>
      </c>
      <c r="E275" s="13" t="s">
        <v>201</v>
      </c>
      <c r="F275" s="13">
        <v>14.0</v>
      </c>
      <c r="G275" s="35" t="str">
        <f t="shared" si="53"/>
        <v>Pre-2006</v>
      </c>
      <c r="H275" s="71"/>
      <c r="I275" s="71"/>
      <c r="J275" s="61"/>
      <c r="K275" s="62"/>
      <c r="L275" s="63"/>
      <c r="M275" s="59" t="str">
        <f t="shared" si="52"/>
        <v>NA</v>
      </c>
      <c r="N275" s="17"/>
    </row>
    <row r="276">
      <c r="A276" s="9"/>
      <c r="B276" s="38">
        <f t="shared" si="5"/>
        <v>274</v>
      </c>
      <c r="C276" s="70"/>
      <c r="D276" s="48" t="s">
        <v>252</v>
      </c>
      <c r="E276" s="13" t="s">
        <v>201</v>
      </c>
      <c r="F276" s="13">
        <v>14.0</v>
      </c>
      <c r="G276" s="35" t="str">
        <f t="shared" si="53"/>
        <v>Pre-2006</v>
      </c>
      <c r="H276" s="71"/>
      <c r="I276" s="71"/>
      <c r="J276" s="61"/>
      <c r="K276" s="62"/>
      <c r="L276" s="63"/>
      <c r="M276" s="59" t="str">
        <f t="shared" si="52"/>
        <v>NA</v>
      </c>
      <c r="N276" s="17"/>
    </row>
    <row r="277">
      <c r="A277" s="9"/>
      <c r="B277" s="38">
        <f t="shared" si="5"/>
        <v>275</v>
      </c>
      <c r="C277" s="34">
        <v>40905.0</v>
      </c>
      <c r="D277" s="48" t="s">
        <v>253</v>
      </c>
      <c r="E277" s="13" t="s">
        <v>201</v>
      </c>
      <c r="F277" s="13">
        <v>14.0</v>
      </c>
      <c r="G277" s="35" t="str">
        <f t="shared" si="53"/>
        <v>2011</v>
      </c>
      <c r="H277" s="13" t="s">
        <v>29</v>
      </c>
      <c r="I277" s="13" t="s">
        <v>26</v>
      </c>
      <c r="J277" s="14">
        <v>2011.0</v>
      </c>
      <c r="K277" s="15">
        <v>0.89</v>
      </c>
      <c r="L277" s="14">
        <v>110.0</v>
      </c>
      <c r="M277" s="16">
        <f t="shared" si="52"/>
        <v>0.8090909091</v>
      </c>
      <c r="N277" s="17"/>
    </row>
    <row r="278">
      <c r="A278" s="9"/>
      <c r="B278" s="38">
        <f t="shared" si="5"/>
        <v>276</v>
      </c>
      <c r="C278" s="34">
        <v>38913.0</v>
      </c>
      <c r="D278" s="48" t="s">
        <v>254</v>
      </c>
      <c r="E278" s="13" t="s">
        <v>201</v>
      </c>
      <c r="F278" s="13">
        <v>14.0</v>
      </c>
      <c r="G278" s="35" t="str">
        <f t="shared" si="53"/>
        <v>2006</v>
      </c>
      <c r="H278" s="71"/>
      <c r="I278" s="71"/>
      <c r="J278" s="61"/>
      <c r="K278" s="62"/>
      <c r="L278" s="63"/>
      <c r="M278" s="59" t="str">
        <f t="shared" si="52"/>
        <v>NA</v>
      </c>
      <c r="N278" s="17"/>
    </row>
    <row r="279">
      <c r="A279" s="9"/>
      <c r="B279" s="38">
        <f t="shared" si="5"/>
        <v>277</v>
      </c>
      <c r="C279" s="70"/>
      <c r="D279" s="48" t="s">
        <v>255</v>
      </c>
      <c r="E279" s="13" t="s">
        <v>201</v>
      </c>
      <c r="F279" s="13">
        <v>14.0</v>
      </c>
      <c r="G279" s="35" t="str">
        <f t="shared" si="53"/>
        <v>Pre-2006</v>
      </c>
      <c r="H279" s="71"/>
      <c r="I279" s="71"/>
      <c r="J279" s="61"/>
      <c r="K279" s="62"/>
      <c r="L279" s="63"/>
      <c r="M279" s="59" t="str">
        <f t="shared" si="52"/>
        <v>NA</v>
      </c>
      <c r="N279" s="17"/>
    </row>
    <row r="280">
      <c r="A280" s="9"/>
      <c r="B280" s="38">
        <f t="shared" si="5"/>
        <v>278</v>
      </c>
      <c r="C280" s="70"/>
      <c r="D280" s="48" t="s">
        <v>256</v>
      </c>
      <c r="E280" s="13" t="s">
        <v>201</v>
      </c>
      <c r="F280" s="13">
        <v>14.0</v>
      </c>
      <c r="G280" s="35" t="str">
        <f t="shared" si="53"/>
        <v>Pre-2006</v>
      </c>
      <c r="H280" s="71"/>
      <c r="I280" s="71"/>
      <c r="J280" s="61"/>
      <c r="K280" s="62"/>
      <c r="L280" s="63"/>
      <c r="M280" s="59" t="str">
        <f t="shared" si="52"/>
        <v>NA</v>
      </c>
      <c r="N280" s="17"/>
    </row>
    <row r="281">
      <c r="A281" s="9"/>
      <c r="B281" s="38">
        <f t="shared" si="5"/>
        <v>279</v>
      </c>
      <c r="C281" s="70"/>
      <c r="D281" s="48" t="s">
        <v>257</v>
      </c>
      <c r="E281" s="13" t="s">
        <v>201</v>
      </c>
      <c r="F281" s="13">
        <v>14.0</v>
      </c>
      <c r="G281" s="35" t="str">
        <f t="shared" si="53"/>
        <v>Pre-2006</v>
      </c>
      <c r="H281" s="71"/>
      <c r="I281" s="71"/>
      <c r="J281" s="61"/>
      <c r="K281" s="62"/>
      <c r="L281" s="63"/>
      <c r="M281" s="59" t="str">
        <f t="shared" si="52"/>
        <v>NA</v>
      </c>
      <c r="N281" s="17"/>
    </row>
    <row r="282">
      <c r="A282" s="9"/>
      <c r="B282" s="38">
        <f t="shared" si="5"/>
        <v>280</v>
      </c>
      <c r="C282" s="70"/>
      <c r="D282" s="12" t="str">
        <f>hyperlink("https://www.rottentomatoes.com/m/diner","Diner")</f>
        <v>Diner</v>
      </c>
      <c r="E282" s="33" t="s">
        <v>201</v>
      </c>
      <c r="F282" s="33">
        <v>14.0</v>
      </c>
      <c r="G282" s="36">
        <v>2018.0</v>
      </c>
      <c r="H282" s="33" t="s">
        <v>58</v>
      </c>
      <c r="I282" s="33" t="s">
        <v>47</v>
      </c>
      <c r="J282" s="57">
        <v>1982.0</v>
      </c>
      <c r="K282" s="58">
        <v>0.92</v>
      </c>
      <c r="L282" s="37">
        <v>110.0</v>
      </c>
      <c r="M282" s="59">
        <f t="shared" si="52"/>
        <v>0.8363636364</v>
      </c>
      <c r="N282" s="17"/>
    </row>
    <row r="283">
      <c r="A283" s="9"/>
      <c r="B283" s="38">
        <f t="shared" si="5"/>
        <v>281</v>
      </c>
      <c r="C283" s="70"/>
      <c r="D283" s="48" t="s">
        <v>258</v>
      </c>
      <c r="E283" s="13" t="s">
        <v>201</v>
      </c>
      <c r="F283" s="13">
        <v>14.0</v>
      </c>
      <c r="G283" s="35" t="str">
        <f t="shared" ref="G283:G287" si="54">IF(C283&gt;40908,"2012",IF(C283&gt;40543,"2011",IF(C283&gt;40178,"2010",IF(C283&gt;=39814,"2009",IF(C283&gt;=39448,"2008",IF(C283&gt;39082,"2007",IF(C283&lt;38717,"Pre-2006","2006")))))))</f>
        <v>Pre-2006</v>
      </c>
      <c r="H283" s="71"/>
      <c r="I283" s="71"/>
      <c r="J283" s="61"/>
      <c r="K283" s="62"/>
      <c r="L283" s="63"/>
      <c r="M283" s="59" t="str">
        <f t="shared" si="52"/>
        <v>NA</v>
      </c>
      <c r="N283" s="17"/>
    </row>
    <row r="284">
      <c r="A284" s="9"/>
      <c r="B284" s="38">
        <f t="shared" si="5"/>
        <v>282</v>
      </c>
      <c r="C284" s="70"/>
      <c r="D284" s="48" t="s">
        <v>259</v>
      </c>
      <c r="E284" s="13" t="s">
        <v>201</v>
      </c>
      <c r="F284" s="13">
        <v>14.0</v>
      </c>
      <c r="G284" s="35" t="str">
        <f t="shared" si="54"/>
        <v>Pre-2006</v>
      </c>
      <c r="H284" s="71"/>
      <c r="I284" s="71"/>
      <c r="J284" s="61"/>
      <c r="K284" s="62"/>
      <c r="L284" s="63"/>
      <c r="M284" s="59" t="str">
        <f t="shared" si="52"/>
        <v>NA</v>
      </c>
      <c r="N284" s="17"/>
    </row>
    <row r="285">
      <c r="A285" s="9"/>
      <c r="B285" s="38">
        <f t="shared" si="5"/>
        <v>283</v>
      </c>
      <c r="C285" s="70"/>
      <c r="D285" s="48" t="s">
        <v>260</v>
      </c>
      <c r="E285" s="13" t="s">
        <v>201</v>
      </c>
      <c r="F285" s="13">
        <v>14.0</v>
      </c>
      <c r="G285" s="35" t="str">
        <f t="shared" si="54"/>
        <v>Pre-2006</v>
      </c>
      <c r="H285" s="71"/>
      <c r="I285" s="71"/>
      <c r="J285" s="61"/>
      <c r="K285" s="62"/>
      <c r="L285" s="63"/>
      <c r="M285" s="59" t="str">
        <f t="shared" si="52"/>
        <v>NA</v>
      </c>
      <c r="N285" s="17"/>
    </row>
    <row r="286">
      <c r="A286" s="9"/>
      <c r="B286" s="38">
        <f t="shared" si="5"/>
        <v>284</v>
      </c>
      <c r="C286" s="70"/>
      <c r="D286" s="48" t="s">
        <v>261</v>
      </c>
      <c r="E286" s="13" t="s">
        <v>201</v>
      </c>
      <c r="F286" s="13">
        <v>14.0</v>
      </c>
      <c r="G286" s="35" t="str">
        <f t="shared" si="54"/>
        <v>Pre-2006</v>
      </c>
      <c r="H286" s="71"/>
      <c r="I286" s="71"/>
      <c r="J286" s="61"/>
      <c r="K286" s="62"/>
      <c r="L286" s="63"/>
      <c r="M286" s="59" t="str">
        <f t="shared" si="52"/>
        <v>NA</v>
      </c>
      <c r="N286" s="17"/>
    </row>
    <row r="287">
      <c r="A287" s="9"/>
      <c r="B287" s="38">
        <f t="shared" si="5"/>
        <v>285</v>
      </c>
      <c r="C287" s="70"/>
      <c r="D287" s="48" t="s">
        <v>262</v>
      </c>
      <c r="E287" s="13" t="s">
        <v>201</v>
      </c>
      <c r="F287" s="13">
        <v>14.0</v>
      </c>
      <c r="G287" s="35" t="str">
        <f t="shared" si="54"/>
        <v>Pre-2006</v>
      </c>
      <c r="H287" s="71"/>
      <c r="I287" s="71"/>
      <c r="J287" s="61"/>
      <c r="K287" s="62"/>
      <c r="L287" s="63"/>
      <c r="M287" s="59" t="str">
        <f t="shared" si="52"/>
        <v>NA</v>
      </c>
      <c r="N287" s="17"/>
    </row>
    <row r="288">
      <c r="A288" s="9"/>
      <c r="B288" s="38">
        <f t="shared" si="5"/>
        <v>286</v>
      </c>
      <c r="C288" s="34">
        <v>43141.0</v>
      </c>
      <c r="D288" s="12" t="str">
        <f>hyperlink("https://www.rottentomatoes.com/m/dunkirk_2017","Dunkirk")</f>
        <v>Dunkirk</v>
      </c>
      <c r="E288" s="33" t="s">
        <v>201</v>
      </c>
      <c r="F288" s="33">
        <v>14.0</v>
      </c>
      <c r="G288" s="36">
        <v>2018.0</v>
      </c>
      <c r="H288" s="33" t="s">
        <v>58</v>
      </c>
      <c r="I288" s="33" t="s">
        <v>47</v>
      </c>
      <c r="J288" s="57">
        <v>2017.0</v>
      </c>
      <c r="K288" s="58">
        <v>0.92</v>
      </c>
      <c r="L288" s="37">
        <v>107.0</v>
      </c>
      <c r="M288" s="59">
        <f t="shared" si="52"/>
        <v>0.8598130841</v>
      </c>
      <c r="N288" s="17"/>
    </row>
    <row r="289">
      <c r="A289" s="9"/>
      <c r="B289" s="38">
        <f t="shared" si="5"/>
        <v>287</v>
      </c>
      <c r="C289" s="34">
        <v>39353.0</v>
      </c>
      <c r="D289" s="48" t="s">
        <v>263</v>
      </c>
      <c r="E289" s="13" t="s">
        <v>201</v>
      </c>
      <c r="F289" s="13">
        <v>14.0</v>
      </c>
      <c r="G289" s="35" t="str">
        <f>IF(C289&gt;40908,"2012",IF(C289&gt;40543,"2011",IF(C289&gt;40178,"2010",IF(C289&gt;=39814,"2009",IF(C289&gt;=39448,"2008",IF(C289&gt;39082,"2007",IF(C289&lt;38717,"Pre-2006","2006")))))))</f>
        <v>2007</v>
      </c>
      <c r="H289" s="13" t="s">
        <v>17</v>
      </c>
      <c r="I289" s="13" t="s">
        <v>26</v>
      </c>
      <c r="J289" s="61"/>
      <c r="K289" s="62"/>
      <c r="L289" s="63"/>
      <c r="M289" s="59" t="str">
        <f t="shared" si="52"/>
        <v>NA</v>
      </c>
      <c r="N289" s="17"/>
    </row>
    <row r="290">
      <c r="A290" s="9"/>
      <c r="B290" s="38">
        <f t="shared" si="5"/>
        <v>288</v>
      </c>
      <c r="C290" s="34">
        <v>41815.0</v>
      </c>
      <c r="D290" s="12" t="str">
        <f>hyperlink("http://www.rottentomatoes.com/m/edge_of_tomorrow/","Edge of Tomorrow")</f>
        <v>Edge of Tomorrow</v>
      </c>
      <c r="E290" s="13" t="s">
        <v>201</v>
      </c>
      <c r="F290" s="13">
        <v>14.0</v>
      </c>
      <c r="G290" s="13">
        <v>2014.0</v>
      </c>
      <c r="H290" s="13" t="s">
        <v>15</v>
      </c>
      <c r="I290" s="13" t="s">
        <v>26</v>
      </c>
      <c r="J290" s="55">
        <v>2014.0</v>
      </c>
      <c r="K290" s="56">
        <v>0.9</v>
      </c>
      <c r="L290" s="14">
        <v>113.0</v>
      </c>
      <c r="M290" s="16">
        <f t="shared" si="52"/>
        <v>0.796460177</v>
      </c>
      <c r="N290" s="17"/>
    </row>
    <row r="291">
      <c r="A291" s="9"/>
      <c r="B291" s="38">
        <f t="shared" si="5"/>
        <v>289</v>
      </c>
      <c r="C291" s="34">
        <v>44598.0</v>
      </c>
      <c r="D291" s="12" t="str">
        <f>hyperlink("https://www.rottentomatoes.com/m/encanto_2021","Encanto")</f>
        <v>Encanto</v>
      </c>
      <c r="E291" s="33" t="s">
        <v>201</v>
      </c>
      <c r="F291" s="33">
        <v>14.0</v>
      </c>
      <c r="G291" s="36">
        <v>2022.0</v>
      </c>
      <c r="H291" s="33" t="s">
        <v>58</v>
      </c>
      <c r="I291" s="33" t="s">
        <v>264</v>
      </c>
      <c r="J291" s="57">
        <v>2021.0</v>
      </c>
      <c r="K291" s="58">
        <v>0.9</v>
      </c>
      <c r="L291" s="37">
        <v>109.0</v>
      </c>
      <c r="M291" s="16">
        <f t="shared" si="52"/>
        <v>0.8256880734</v>
      </c>
      <c r="N291" s="17"/>
    </row>
    <row r="292">
      <c r="A292" s="9"/>
      <c r="B292" s="38">
        <f t="shared" si="5"/>
        <v>290</v>
      </c>
      <c r="C292" s="70"/>
      <c r="D292" s="48" t="s">
        <v>265</v>
      </c>
      <c r="E292" s="13" t="s">
        <v>201</v>
      </c>
      <c r="F292" s="13">
        <v>14.0</v>
      </c>
      <c r="G292" s="35" t="str">
        <f t="shared" ref="G292:G293" si="55">IF(C292&gt;40908,"2012",IF(C292&gt;40543,"2011",IF(C292&gt;40178,"2010",IF(C292&gt;=39814,"2009",IF(C292&gt;=39448,"2008",IF(C292&gt;39082,"2007",IF(C292&lt;38717,"Pre-2006","2006")))))))</f>
        <v>Pre-2006</v>
      </c>
      <c r="H292" s="71"/>
      <c r="I292" s="71"/>
      <c r="J292" s="61"/>
      <c r="K292" s="62"/>
      <c r="L292" s="63"/>
      <c r="M292" s="59" t="str">
        <f t="shared" si="52"/>
        <v>NA</v>
      </c>
      <c r="N292" s="17"/>
    </row>
    <row r="293">
      <c r="A293" s="9"/>
      <c r="B293" s="38">
        <f t="shared" si="5"/>
        <v>291</v>
      </c>
      <c r="C293" s="70"/>
      <c r="D293" s="48" t="s">
        <v>266</v>
      </c>
      <c r="E293" s="13" t="s">
        <v>201</v>
      </c>
      <c r="F293" s="13">
        <v>14.0</v>
      </c>
      <c r="G293" s="35" t="str">
        <f t="shared" si="55"/>
        <v>Pre-2006</v>
      </c>
      <c r="H293" s="71"/>
      <c r="I293" s="71"/>
      <c r="J293" s="61"/>
      <c r="K293" s="62"/>
      <c r="L293" s="63"/>
      <c r="M293" s="59" t="str">
        <f t="shared" si="52"/>
        <v>NA</v>
      </c>
      <c r="N293" s="17"/>
    </row>
    <row r="294">
      <c r="A294" s="9"/>
      <c r="B294" s="38">
        <f t="shared" si="5"/>
        <v>292</v>
      </c>
      <c r="C294" s="34">
        <v>42006.0</v>
      </c>
      <c r="D294" s="12" t="str">
        <f>hyperlink("http://www.rottentomatoes.com/m/the_equalizer_2013/","Equalizer, The")</f>
        <v>Equalizer, The</v>
      </c>
      <c r="E294" s="13" t="s">
        <v>201</v>
      </c>
      <c r="F294" s="13">
        <v>14.0</v>
      </c>
      <c r="G294" s="13">
        <v>2015.0</v>
      </c>
      <c r="H294" s="13" t="s">
        <v>25</v>
      </c>
      <c r="I294" s="13" t="s">
        <v>47</v>
      </c>
      <c r="J294" s="55">
        <v>2014.0</v>
      </c>
      <c r="K294" s="56">
        <v>0.61</v>
      </c>
      <c r="L294" s="14">
        <v>131.0</v>
      </c>
      <c r="M294" s="16">
        <f t="shared" si="52"/>
        <v>0.465648855</v>
      </c>
      <c r="N294" s="17"/>
    </row>
    <row r="295">
      <c r="A295" s="9"/>
      <c r="B295" s="38">
        <f t="shared" si="5"/>
        <v>293</v>
      </c>
      <c r="C295" s="70"/>
      <c r="D295" s="48" t="s">
        <v>267</v>
      </c>
      <c r="E295" s="13" t="s">
        <v>201</v>
      </c>
      <c r="F295" s="13">
        <v>14.0</v>
      </c>
      <c r="G295" s="35" t="str">
        <f>IF(C295&gt;40908,"2012",IF(C295&gt;40543,"2011",IF(C295&gt;40178,"2010",IF(C295&gt;=39814,"2009",IF(C295&gt;=39448,"2008",IF(C295&gt;39082,"2007",IF(C295&lt;38717,"Pre-2006","2006")))))))</f>
        <v>Pre-2006</v>
      </c>
      <c r="H295" s="71"/>
      <c r="I295" s="71"/>
      <c r="J295" s="61"/>
      <c r="K295" s="62"/>
      <c r="L295" s="63"/>
      <c r="M295" s="59" t="str">
        <f t="shared" si="52"/>
        <v>NA</v>
      </c>
      <c r="N295" s="17"/>
    </row>
    <row r="296">
      <c r="A296" s="9"/>
      <c r="B296" s="38">
        <f t="shared" si="5"/>
        <v>294</v>
      </c>
      <c r="C296" s="75">
        <v>42573.0</v>
      </c>
      <c r="D296" s="74" t="str">
        <f>hyperlink("https://www.rottentomatoes.com/m/everybody_wants_some/?search=eveybody%20wants","Everybody Wants Some!!")</f>
        <v>Everybody Wants Some!!</v>
      </c>
      <c r="E296" s="33" t="s">
        <v>201</v>
      </c>
      <c r="F296" s="33">
        <v>14.0</v>
      </c>
      <c r="G296" s="36">
        <v>2016.0</v>
      </c>
      <c r="H296" s="33" t="s">
        <v>58</v>
      </c>
      <c r="I296" s="33" t="s">
        <v>47</v>
      </c>
      <c r="J296" s="57">
        <v>2016.0</v>
      </c>
      <c r="K296" s="58">
        <v>0.87</v>
      </c>
      <c r="L296" s="37">
        <v>117.0</v>
      </c>
      <c r="M296" s="59">
        <f t="shared" ref="M296:M297" si="56">K296/L296*100</f>
        <v>0.7435897436</v>
      </c>
      <c r="N296" s="17"/>
    </row>
    <row r="297">
      <c r="A297" s="9"/>
      <c r="B297" s="38">
        <f t="shared" si="5"/>
        <v>295</v>
      </c>
      <c r="C297" s="75">
        <v>42561.0</v>
      </c>
      <c r="D297" s="74" t="str">
        <f>hyperlink("https://www.rottentomatoes.com/m/eye_in_the_sky/?search=eye%20in%20the%20sky","Eye in the Sky")</f>
        <v>Eye in the Sky</v>
      </c>
      <c r="E297" s="33" t="s">
        <v>201</v>
      </c>
      <c r="F297" s="33">
        <v>14.0</v>
      </c>
      <c r="G297" s="36">
        <v>2016.0</v>
      </c>
      <c r="H297" s="33" t="s">
        <v>58</v>
      </c>
      <c r="I297" s="33" t="s">
        <v>47</v>
      </c>
      <c r="J297" s="57">
        <v>2016.0</v>
      </c>
      <c r="K297" s="58">
        <v>0.95</v>
      </c>
      <c r="L297" s="37">
        <v>102.0</v>
      </c>
      <c r="M297" s="59">
        <f t="shared" si="56"/>
        <v>0.931372549</v>
      </c>
      <c r="N297" s="17"/>
    </row>
    <row r="298">
      <c r="A298" s="9"/>
      <c r="B298" s="38">
        <f t="shared" si="5"/>
        <v>296</v>
      </c>
      <c r="C298" s="70"/>
      <c r="D298" s="48" t="s">
        <v>268</v>
      </c>
      <c r="E298" s="13" t="s">
        <v>201</v>
      </c>
      <c r="F298" s="13">
        <v>14.0</v>
      </c>
      <c r="G298" s="35" t="str">
        <f t="shared" ref="G298:G306" si="57">IF(C298&gt;40908,"2012",IF(C298&gt;40543,"2011",IF(C298&gt;40178,"2010",IF(C298&gt;=39814,"2009",IF(C298&gt;=39448,"2008",IF(C298&gt;39082,"2007",IF(C298&lt;38717,"Pre-2006","2006")))))))</f>
        <v>Pre-2006</v>
      </c>
      <c r="H298" s="71"/>
      <c r="I298" s="71"/>
      <c r="J298" s="61"/>
      <c r="K298" s="62"/>
      <c r="L298" s="63"/>
      <c r="M298" s="59" t="str">
        <f t="shared" ref="M298:M311" si="58">if(iserror(K298/L298*100),"NA",K298/L298*100)</f>
        <v>NA</v>
      </c>
      <c r="N298" s="17"/>
    </row>
    <row r="299">
      <c r="A299" s="9"/>
      <c r="B299" s="38">
        <f t="shared" si="5"/>
        <v>297</v>
      </c>
      <c r="C299" s="70"/>
      <c r="D299" s="48" t="s">
        <v>269</v>
      </c>
      <c r="E299" s="13" t="s">
        <v>201</v>
      </c>
      <c r="F299" s="13">
        <v>14.0</v>
      </c>
      <c r="G299" s="35" t="str">
        <f t="shared" si="57"/>
        <v>Pre-2006</v>
      </c>
      <c r="H299" s="71"/>
      <c r="I299" s="71"/>
      <c r="J299" s="61"/>
      <c r="K299" s="62"/>
      <c r="L299" s="63"/>
      <c r="M299" s="59" t="str">
        <f t="shared" si="58"/>
        <v>NA</v>
      </c>
      <c r="N299" s="17"/>
    </row>
    <row r="300">
      <c r="A300" s="9"/>
      <c r="B300" s="38">
        <f t="shared" si="5"/>
        <v>298</v>
      </c>
      <c r="C300" s="70"/>
      <c r="D300" s="48" t="s">
        <v>270</v>
      </c>
      <c r="E300" s="13" t="s">
        <v>201</v>
      </c>
      <c r="F300" s="13">
        <v>14.0</v>
      </c>
      <c r="G300" s="35" t="str">
        <f t="shared" si="57"/>
        <v>Pre-2006</v>
      </c>
      <c r="H300" s="71"/>
      <c r="I300" s="71"/>
      <c r="J300" s="61"/>
      <c r="K300" s="62"/>
      <c r="L300" s="63"/>
      <c r="M300" s="59" t="str">
        <f t="shared" si="58"/>
        <v>NA</v>
      </c>
      <c r="N300" s="17"/>
    </row>
    <row r="301">
      <c r="A301" s="9"/>
      <c r="B301" s="38">
        <f t="shared" si="5"/>
        <v>299</v>
      </c>
      <c r="C301" s="34">
        <v>40617.0</v>
      </c>
      <c r="D301" s="48" t="s">
        <v>271</v>
      </c>
      <c r="E301" s="13" t="s">
        <v>201</v>
      </c>
      <c r="F301" s="13">
        <v>14.0</v>
      </c>
      <c r="G301" s="35" t="str">
        <f t="shared" si="57"/>
        <v>2011</v>
      </c>
      <c r="H301" s="13" t="s">
        <v>25</v>
      </c>
      <c r="I301" s="13" t="s">
        <v>47</v>
      </c>
      <c r="J301" s="14">
        <v>2010.0</v>
      </c>
      <c r="K301" s="15">
        <v>0.91</v>
      </c>
      <c r="L301" s="14">
        <v>115.0</v>
      </c>
      <c r="M301" s="16">
        <f t="shared" si="58"/>
        <v>0.7913043478</v>
      </c>
      <c r="N301" s="17"/>
    </row>
    <row r="302">
      <c r="A302" s="9"/>
      <c r="B302" s="38">
        <f t="shared" si="5"/>
        <v>300</v>
      </c>
      <c r="C302" s="70"/>
      <c r="D302" s="48" t="s">
        <v>272</v>
      </c>
      <c r="E302" s="13" t="s">
        <v>201</v>
      </c>
      <c r="F302" s="13">
        <v>14.0</v>
      </c>
      <c r="G302" s="35" t="str">
        <f t="shared" si="57"/>
        <v>Pre-2006</v>
      </c>
      <c r="H302" s="71"/>
      <c r="I302" s="71"/>
      <c r="J302" s="61"/>
      <c r="K302" s="62"/>
      <c r="L302" s="63"/>
      <c r="M302" s="59" t="str">
        <f t="shared" si="58"/>
        <v>NA</v>
      </c>
      <c r="N302" s="17"/>
    </row>
    <row r="303">
      <c r="A303" s="9"/>
      <c r="B303" s="38">
        <f t="shared" si="5"/>
        <v>301</v>
      </c>
      <c r="C303" s="70"/>
      <c r="D303" s="48" t="s">
        <v>273</v>
      </c>
      <c r="E303" s="13" t="s">
        <v>201</v>
      </c>
      <c r="F303" s="13">
        <v>14.0</v>
      </c>
      <c r="G303" s="35" t="str">
        <f t="shared" si="57"/>
        <v>Pre-2006</v>
      </c>
      <c r="H303" s="71"/>
      <c r="I303" s="71"/>
      <c r="J303" s="61"/>
      <c r="K303" s="62"/>
      <c r="L303" s="63"/>
      <c r="M303" s="59" t="str">
        <f t="shared" si="58"/>
        <v>NA</v>
      </c>
      <c r="N303" s="17"/>
    </row>
    <row r="304">
      <c r="A304" s="9"/>
      <c r="B304" s="38">
        <f t="shared" si="5"/>
        <v>302</v>
      </c>
      <c r="C304" s="70"/>
      <c r="D304" s="48" t="s">
        <v>274</v>
      </c>
      <c r="E304" s="13" t="s">
        <v>201</v>
      </c>
      <c r="F304" s="13">
        <v>14.0</v>
      </c>
      <c r="G304" s="35" t="str">
        <f t="shared" si="57"/>
        <v>Pre-2006</v>
      </c>
      <c r="H304" s="71"/>
      <c r="I304" s="71"/>
      <c r="J304" s="61"/>
      <c r="K304" s="62"/>
      <c r="L304" s="63"/>
      <c r="M304" s="59" t="str">
        <f t="shared" si="58"/>
        <v>NA</v>
      </c>
      <c r="N304" s="17"/>
    </row>
    <row r="305">
      <c r="A305" s="9"/>
      <c r="B305" s="38">
        <f t="shared" si="5"/>
        <v>303</v>
      </c>
      <c r="C305" s="34">
        <v>40910.0</v>
      </c>
      <c r="D305" s="48" t="s">
        <v>275</v>
      </c>
      <c r="E305" s="13" t="s">
        <v>201</v>
      </c>
      <c r="F305" s="13">
        <v>14.0</v>
      </c>
      <c r="G305" s="35" t="str">
        <f t="shared" si="57"/>
        <v>2012</v>
      </c>
      <c r="H305" s="13" t="s">
        <v>25</v>
      </c>
      <c r="I305" s="13" t="s">
        <v>47</v>
      </c>
      <c r="J305" s="14">
        <v>1984.0</v>
      </c>
      <c r="K305" s="15">
        <v>0.57</v>
      </c>
      <c r="L305" s="14">
        <v>107.0</v>
      </c>
      <c r="M305" s="16">
        <f t="shared" si="58"/>
        <v>0.5327102804</v>
      </c>
      <c r="N305" s="17"/>
    </row>
    <row r="306">
      <c r="A306" s="9"/>
      <c r="B306" s="38">
        <f t="shared" si="5"/>
        <v>304</v>
      </c>
      <c r="C306" s="34">
        <v>39767.0</v>
      </c>
      <c r="D306" s="48" t="s">
        <v>276</v>
      </c>
      <c r="E306" s="13" t="s">
        <v>201</v>
      </c>
      <c r="F306" s="13">
        <v>14.0</v>
      </c>
      <c r="G306" s="35" t="str">
        <f t="shared" si="57"/>
        <v>2008</v>
      </c>
      <c r="H306" s="13" t="s">
        <v>27</v>
      </c>
      <c r="I306" s="13" t="s">
        <v>277</v>
      </c>
      <c r="J306" s="14">
        <v>1981.0</v>
      </c>
      <c r="K306" s="15">
        <v>0.74</v>
      </c>
      <c r="L306" s="14">
        <v>127.0</v>
      </c>
      <c r="M306" s="16">
        <f t="shared" si="58"/>
        <v>0.5826771654</v>
      </c>
      <c r="N306" s="17"/>
    </row>
    <row r="307">
      <c r="A307" s="9"/>
      <c r="B307" s="38">
        <f t="shared" si="5"/>
        <v>305</v>
      </c>
      <c r="C307" s="34">
        <v>44528.0</v>
      </c>
      <c r="D307" s="64" t="s">
        <v>278</v>
      </c>
      <c r="E307" s="33" t="s">
        <v>201</v>
      </c>
      <c r="F307" s="33">
        <v>14.0</v>
      </c>
      <c r="G307" s="36">
        <v>2021.0</v>
      </c>
      <c r="H307" s="33" t="s">
        <v>58</v>
      </c>
      <c r="I307" s="33" t="s">
        <v>279</v>
      </c>
      <c r="J307" s="57">
        <v>2019.0</v>
      </c>
      <c r="K307" s="58">
        <v>0.92</v>
      </c>
      <c r="L307" s="37">
        <v>152.0</v>
      </c>
      <c r="M307" s="16">
        <f t="shared" si="58"/>
        <v>0.6052631579</v>
      </c>
      <c r="N307" s="17"/>
    </row>
    <row r="308">
      <c r="A308" s="9"/>
      <c r="B308" s="38">
        <f t="shared" si="5"/>
        <v>306</v>
      </c>
      <c r="C308" s="34">
        <v>45114.0</v>
      </c>
      <c r="D308" s="12" t="str">
        <f>hyperlink("https://www.rottentomatoes.com/m/frances_ha","Frances Ha")</f>
        <v>Frances Ha</v>
      </c>
      <c r="E308" s="33" t="s">
        <v>201</v>
      </c>
      <c r="F308" s="33">
        <v>14.0</v>
      </c>
      <c r="G308" s="36">
        <v>2023.0</v>
      </c>
      <c r="H308" s="33" t="s">
        <v>58</v>
      </c>
      <c r="I308" s="33" t="s">
        <v>77</v>
      </c>
      <c r="J308" s="57">
        <v>2012.0</v>
      </c>
      <c r="K308" s="58">
        <v>0.93</v>
      </c>
      <c r="L308" s="37">
        <v>92.0</v>
      </c>
      <c r="M308" s="16">
        <f t="shared" si="58"/>
        <v>1.010869565</v>
      </c>
      <c r="N308" s="17"/>
    </row>
    <row r="309">
      <c r="A309" s="9"/>
      <c r="B309" s="38">
        <f t="shared" si="5"/>
        <v>307</v>
      </c>
      <c r="C309" s="70"/>
      <c r="D309" s="48" t="s">
        <v>280</v>
      </c>
      <c r="E309" s="13" t="s">
        <v>201</v>
      </c>
      <c r="F309" s="13">
        <v>14.0</v>
      </c>
      <c r="G309" s="35" t="str">
        <f t="shared" ref="G309:G311" si="59">IF(C309&gt;40908,"2012",IF(C309&gt;40543,"2011",IF(C309&gt;40178,"2010",IF(C309&gt;=39814,"2009",IF(C309&gt;=39448,"2008",IF(C309&gt;39082,"2007",IF(C309&lt;38717,"Pre-2006","2006")))))))</f>
        <v>Pre-2006</v>
      </c>
      <c r="H309" s="71"/>
      <c r="I309" s="71"/>
      <c r="J309" s="61"/>
      <c r="K309" s="62"/>
      <c r="L309" s="63"/>
      <c r="M309" s="59" t="str">
        <f t="shared" si="58"/>
        <v>NA</v>
      </c>
      <c r="N309" s="17"/>
    </row>
    <row r="310">
      <c r="A310" s="9"/>
      <c r="B310" s="38">
        <f t="shared" si="5"/>
        <v>308</v>
      </c>
      <c r="C310" s="70"/>
      <c r="D310" s="48" t="s">
        <v>281</v>
      </c>
      <c r="E310" s="13" t="s">
        <v>201</v>
      </c>
      <c r="F310" s="13">
        <v>14.0</v>
      </c>
      <c r="G310" s="35" t="str">
        <f t="shared" si="59"/>
        <v>Pre-2006</v>
      </c>
      <c r="H310" s="71"/>
      <c r="I310" s="71"/>
      <c r="J310" s="61"/>
      <c r="K310" s="62"/>
      <c r="L310" s="63"/>
      <c r="M310" s="59" t="str">
        <f t="shared" si="58"/>
        <v>NA</v>
      </c>
      <c r="N310" s="17"/>
    </row>
    <row r="311">
      <c r="A311" s="9"/>
      <c r="B311" s="38">
        <f t="shared" si="5"/>
        <v>309</v>
      </c>
      <c r="C311" s="70"/>
      <c r="D311" s="48" t="s">
        <v>282</v>
      </c>
      <c r="E311" s="13" t="s">
        <v>201</v>
      </c>
      <c r="F311" s="13">
        <v>14.0</v>
      </c>
      <c r="G311" s="35" t="str">
        <f t="shared" si="59"/>
        <v>Pre-2006</v>
      </c>
      <c r="H311" s="71"/>
      <c r="I311" s="71"/>
      <c r="J311" s="61"/>
      <c r="K311" s="62"/>
      <c r="L311" s="63"/>
      <c r="M311" s="59" t="str">
        <f t="shared" si="58"/>
        <v>NA</v>
      </c>
      <c r="N311" s="17"/>
    </row>
    <row r="312">
      <c r="A312" s="9"/>
      <c r="B312" s="38">
        <f t="shared" si="5"/>
        <v>310</v>
      </c>
      <c r="C312" s="75">
        <v>42557.0</v>
      </c>
      <c r="D312" s="12" t="str">
        <f>hyperlink("https://www.rottentomatoes.com/m/the_fundamentals_of_caring/?search=fundamentals%20of%20caring","Fundamentals of Caring, The")</f>
        <v>Fundamentals of Caring, The</v>
      </c>
      <c r="E312" s="33" t="s">
        <v>201</v>
      </c>
      <c r="F312" s="33">
        <v>14.0</v>
      </c>
      <c r="G312" s="36">
        <v>2016.0</v>
      </c>
      <c r="H312" s="33" t="s">
        <v>58</v>
      </c>
      <c r="I312" s="33" t="s">
        <v>77</v>
      </c>
      <c r="J312" s="57">
        <v>2016.0</v>
      </c>
      <c r="K312" s="58">
        <v>0.78</v>
      </c>
      <c r="L312" s="37">
        <v>93.0</v>
      </c>
      <c r="M312" s="59">
        <f>K312/L312*100</f>
        <v>0.8387096774</v>
      </c>
      <c r="N312" s="17"/>
    </row>
    <row r="313">
      <c r="A313" s="9"/>
      <c r="B313" s="38">
        <f t="shared" si="5"/>
        <v>311</v>
      </c>
      <c r="C313" s="70"/>
      <c r="D313" s="48" t="s">
        <v>283</v>
      </c>
      <c r="E313" s="13" t="s">
        <v>201</v>
      </c>
      <c r="F313" s="13">
        <v>14.0</v>
      </c>
      <c r="G313" s="35" t="str">
        <f t="shared" ref="G313:G315" si="60">IF(C313&gt;40908,"2012",IF(C313&gt;40543,"2011",IF(C313&gt;40178,"2010",IF(C313&gt;=39814,"2009",IF(C313&gt;=39448,"2008",IF(C313&gt;39082,"2007",IF(C313&lt;38717,"Pre-2006","2006")))))))</f>
        <v>Pre-2006</v>
      </c>
      <c r="H313" s="71"/>
      <c r="I313" s="71"/>
      <c r="J313" s="61"/>
      <c r="K313" s="62"/>
      <c r="L313" s="63"/>
      <c r="M313" s="59" t="str">
        <f t="shared" ref="M313:M332" si="61">if(iserror(K313/L313*100),"NA",K313/L313*100)</f>
        <v>NA</v>
      </c>
      <c r="N313" s="17"/>
    </row>
    <row r="314">
      <c r="A314" s="9"/>
      <c r="B314" s="38">
        <f t="shared" si="5"/>
        <v>312</v>
      </c>
      <c r="C314" s="70"/>
      <c r="D314" s="48" t="s">
        <v>284</v>
      </c>
      <c r="E314" s="13" t="s">
        <v>201</v>
      </c>
      <c r="F314" s="13">
        <v>14.0</v>
      </c>
      <c r="G314" s="35" t="str">
        <f t="shared" si="60"/>
        <v>Pre-2006</v>
      </c>
      <c r="H314" s="71"/>
      <c r="I314" s="71"/>
      <c r="J314" s="61"/>
      <c r="K314" s="62"/>
      <c r="L314" s="63"/>
      <c r="M314" s="59" t="str">
        <f t="shared" si="61"/>
        <v>NA</v>
      </c>
      <c r="N314" s="17"/>
    </row>
    <row r="315">
      <c r="A315" s="9"/>
      <c r="B315" s="38">
        <f t="shared" si="5"/>
        <v>313</v>
      </c>
      <c r="C315" s="34">
        <v>39281.0</v>
      </c>
      <c r="D315" s="48" t="s">
        <v>285</v>
      </c>
      <c r="E315" s="13" t="s">
        <v>201</v>
      </c>
      <c r="F315" s="13">
        <v>14.0</v>
      </c>
      <c r="G315" s="35" t="str">
        <f t="shared" si="60"/>
        <v>2007</v>
      </c>
      <c r="H315" s="71"/>
      <c r="I315" s="71"/>
      <c r="J315" s="61"/>
      <c r="K315" s="62"/>
      <c r="L315" s="63"/>
      <c r="M315" s="59" t="str">
        <f t="shared" si="61"/>
        <v>NA</v>
      </c>
      <c r="N315" s="17"/>
    </row>
    <row r="316">
      <c r="A316" s="9"/>
      <c r="B316" s="38">
        <f t="shared" si="5"/>
        <v>314</v>
      </c>
      <c r="C316" s="75">
        <v>42797.0</v>
      </c>
      <c r="D316" s="12" t="str">
        <f>hyperlink("https://www.rottentomatoes.com/m/get_out","Get Out")</f>
        <v>Get Out</v>
      </c>
      <c r="E316" s="33" t="s">
        <v>201</v>
      </c>
      <c r="F316" s="33">
        <v>14.0</v>
      </c>
      <c r="G316" s="36">
        <v>2017.0</v>
      </c>
      <c r="H316" s="33" t="s">
        <v>25</v>
      </c>
      <c r="I316" s="33" t="s">
        <v>26</v>
      </c>
      <c r="J316" s="57">
        <v>2017.0</v>
      </c>
      <c r="K316" s="58">
        <v>0.99</v>
      </c>
      <c r="L316" s="37">
        <v>104.0</v>
      </c>
      <c r="M316" s="59">
        <f t="shared" si="61"/>
        <v>0.9519230769</v>
      </c>
      <c r="N316" s="17"/>
    </row>
    <row r="317">
      <c r="A317" s="9"/>
      <c r="B317" s="38">
        <f t="shared" si="5"/>
        <v>315</v>
      </c>
      <c r="C317" s="70"/>
      <c r="D317" s="48" t="s">
        <v>286</v>
      </c>
      <c r="E317" s="13" t="s">
        <v>201</v>
      </c>
      <c r="F317" s="13">
        <v>14.0</v>
      </c>
      <c r="G317" s="35" t="str">
        <f>IF(C317&gt;40908,"2012",IF(C317&gt;40543,"2011",IF(C317&gt;40178,"2010",IF(C317&gt;=39814,"2009",IF(C317&gt;=39448,"2008",IF(C317&gt;39082,"2007",IF(C317&lt;38717,"Pre-2006","2006")))))))</f>
        <v>Pre-2006</v>
      </c>
      <c r="H317" s="71"/>
      <c r="I317" s="71"/>
      <c r="J317" s="61"/>
      <c r="K317" s="62"/>
      <c r="L317" s="63"/>
      <c r="M317" s="59" t="str">
        <f t="shared" si="61"/>
        <v>NA</v>
      </c>
      <c r="N317" s="17"/>
    </row>
    <row r="318">
      <c r="A318" s="9"/>
      <c r="B318" s="38">
        <f t="shared" si="5"/>
        <v>316</v>
      </c>
      <c r="C318" s="34">
        <v>42308.0</v>
      </c>
      <c r="D318" s="12" t="str">
        <f>hyperlink("http://www.rottentomatoes.com/m/the_gift_2015/?search=the%20gift","Gift, The")</f>
        <v>Gift, The</v>
      </c>
      <c r="E318" s="33" t="s">
        <v>201</v>
      </c>
      <c r="F318" s="33">
        <v>14.0</v>
      </c>
      <c r="G318" s="36">
        <v>2015.0</v>
      </c>
      <c r="H318" s="33" t="s">
        <v>58</v>
      </c>
      <c r="I318" s="33" t="s">
        <v>47</v>
      </c>
      <c r="J318" s="37">
        <v>2015.0</v>
      </c>
      <c r="K318" s="80">
        <v>0.94</v>
      </c>
      <c r="L318" s="37">
        <v>108.0</v>
      </c>
      <c r="M318" s="59">
        <f t="shared" si="61"/>
        <v>0.8703703704</v>
      </c>
      <c r="N318" s="17"/>
    </row>
    <row r="319">
      <c r="A319" s="9"/>
      <c r="B319" s="38">
        <f t="shared" si="5"/>
        <v>317</v>
      </c>
      <c r="C319" s="34">
        <v>40906.0</v>
      </c>
      <c r="D319" s="48" t="s">
        <v>287</v>
      </c>
      <c r="E319" s="13" t="s">
        <v>201</v>
      </c>
      <c r="F319" s="13">
        <v>14.0</v>
      </c>
      <c r="G319" s="35" t="str">
        <f t="shared" ref="G319:G323" si="62">IF(C319&gt;40908,"2012",IF(C319&gt;40543,"2011",IF(C319&gt;40178,"2010",IF(C319&gt;=39814,"2009",IF(C319&gt;=39448,"2008",IF(C319&gt;39082,"2007",IF(C319&lt;38717,"Pre-2006","2006")))))))</f>
        <v>2011</v>
      </c>
      <c r="H319" s="13" t="s">
        <v>29</v>
      </c>
      <c r="I319" s="13" t="s">
        <v>26</v>
      </c>
      <c r="J319" s="14">
        <v>2011.0</v>
      </c>
      <c r="K319" s="15">
        <v>0.86</v>
      </c>
      <c r="L319" s="14">
        <v>157.0</v>
      </c>
      <c r="M319" s="16">
        <f t="shared" si="61"/>
        <v>0.5477707006</v>
      </c>
      <c r="N319" s="17"/>
    </row>
    <row r="320">
      <c r="A320" s="9"/>
      <c r="B320" s="38">
        <f t="shared" si="5"/>
        <v>318</v>
      </c>
      <c r="C320" s="70"/>
      <c r="D320" s="48" t="s">
        <v>288</v>
      </c>
      <c r="E320" s="13" t="s">
        <v>201</v>
      </c>
      <c r="F320" s="13">
        <v>14.0</v>
      </c>
      <c r="G320" s="35" t="str">
        <f t="shared" si="62"/>
        <v>Pre-2006</v>
      </c>
      <c r="H320" s="71"/>
      <c r="I320" s="71"/>
      <c r="J320" s="61"/>
      <c r="K320" s="62"/>
      <c r="L320" s="63"/>
      <c r="M320" s="59" t="str">
        <f t="shared" si="61"/>
        <v>NA</v>
      </c>
      <c r="N320" s="17"/>
    </row>
    <row r="321">
      <c r="A321" s="9"/>
      <c r="B321" s="38">
        <f t="shared" si="5"/>
        <v>319</v>
      </c>
      <c r="C321" s="70"/>
      <c r="D321" s="48" t="s">
        <v>289</v>
      </c>
      <c r="E321" s="13" t="s">
        <v>201</v>
      </c>
      <c r="F321" s="13">
        <v>14.0</v>
      </c>
      <c r="G321" s="35" t="str">
        <f t="shared" si="62"/>
        <v>Pre-2006</v>
      </c>
      <c r="H321" s="71"/>
      <c r="I321" s="71"/>
      <c r="J321" s="61"/>
      <c r="K321" s="62"/>
      <c r="L321" s="63"/>
      <c r="M321" s="59" t="str">
        <f t="shared" si="61"/>
        <v>NA</v>
      </c>
      <c r="N321" s="17"/>
    </row>
    <row r="322">
      <c r="A322" s="9"/>
      <c r="B322" s="38">
        <f t="shared" si="5"/>
        <v>320</v>
      </c>
      <c r="C322" s="70"/>
      <c r="D322" s="48" t="s">
        <v>290</v>
      </c>
      <c r="E322" s="13" t="s">
        <v>201</v>
      </c>
      <c r="F322" s="13">
        <v>14.0</v>
      </c>
      <c r="G322" s="35" t="str">
        <f t="shared" si="62"/>
        <v>Pre-2006</v>
      </c>
      <c r="H322" s="71"/>
      <c r="I322" s="71"/>
      <c r="J322" s="61"/>
      <c r="K322" s="62"/>
      <c r="L322" s="63"/>
      <c r="M322" s="59" t="str">
        <f t="shared" si="61"/>
        <v>NA</v>
      </c>
      <c r="N322" s="17"/>
    </row>
    <row r="323">
      <c r="A323" s="9"/>
      <c r="B323" s="38">
        <f t="shared" si="5"/>
        <v>321</v>
      </c>
      <c r="C323" s="70"/>
      <c r="D323" s="48" t="s">
        <v>291</v>
      </c>
      <c r="E323" s="13" t="s">
        <v>201</v>
      </c>
      <c r="F323" s="13">
        <v>14.0</v>
      </c>
      <c r="G323" s="35" t="str">
        <f t="shared" si="62"/>
        <v>Pre-2006</v>
      </c>
      <c r="H323" s="71"/>
      <c r="I323" s="71"/>
      <c r="J323" s="61"/>
      <c r="K323" s="62"/>
      <c r="L323" s="63"/>
      <c r="M323" s="59" t="str">
        <f t="shared" si="61"/>
        <v>NA</v>
      </c>
      <c r="N323" s="17"/>
    </row>
    <row r="324">
      <c r="A324" s="9"/>
      <c r="B324" s="38">
        <f t="shared" si="5"/>
        <v>322</v>
      </c>
      <c r="C324" s="34">
        <v>41560.0</v>
      </c>
      <c r="D324" s="48" t="s">
        <v>292</v>
      </c>
      <c r="E324" s="13" t="s">
        <v>201</v>
      </c>
      <c r="F324" s="13">
        <v>14.0</v>
      </c>
      <c r="G324" s="13">
        <v>2013.0</v>
      </c>
      <c r="H324" s="13" t="s">
        <v>25</v>
      </c>
      <c r="I324" s="13" t="s">
        <v>26</v>
      </c>
      <c r="J324" s="55">
        <v>2013.0</v>
      </c>
      <c r="K324" s="56">
        <v>0.97</v>
      </c>
      <c r="L324" s="14">
        <v>91.0</v>
      </c>
      <c r="M324" s="16">
        <f t="shared" si="61"/>
        <v>1.065934066</v>
      </c>
      <c r="N324" s="17"/>
    </row>
    <row r="325">
      <c r="A325" s="9"/>
      <c r="B325" s="38">
        <f t="shared" si="5"/>
        <v>323</v>
      </c>
      <c r="C325" s="70"/>
      <c r="D325" s="48" t="s">
        <v>293</v>
      </c>
      <c r="E325" s="13" t="s">
        <v>201</v>
      </c>
      <c r="F325" s="13">
        <v>14.0</v>
      </c>
      <c r="G325" s="35" t="str">
        <f t="shared" ref="G325:G326" si="63">IF(C325&gt;40908,"2012",IF(C325&gt;40543,"2011",IF(C325&gt;40178,"2010",IF(C325&gt;=39814,"2009",IF(C325&gt;=39448,"2008",IF(C325&gt;39082,"2007",IF(C325&lt;38717,"Pre-2006","2006")))))))</f>
        <v>Pre-2006</v>
      </c>
      <c r="H325" s="71"/>
      <c r="I325" s="71"/>
      <c r="J325" s="61"/>
      <c r="K325" s="62"/>
      <c r="L325" s="63"/>
      <c r="M325" s="59" t="str">
        <f t="shared" si="61"/>
        <v>NA</v>
      </c>
      <c r="N325" s="17"/>
    </row>
    <row r="326">
      <c r="A326" s="9"/>
      <c r="B326" s="38">
        <f t="shared" si="5"/>
        <v>324</v>
      </c>
      <c r="C326" s="34">
        <v>39443.0</v>
      </c>
      <c r="D326" s="48" t="s">
        <v>294</v>
      </c>
      <c r="E326" s="13" t="s">
        <v>201</v>
      </c>
      <c r="F326" s="13">
        <v>14.0</v>
      </c>
      <c r="G326" s="35" t="str">
        <f t="shared" si="63"/>
        <v>2007</v>
      </c>
      <c r="H326" s="13" t="s">
        <v>126</v>
      </c>
      <c r="I326" s="13" t="s">
        <v>126</v>
      </c>
      <c r="J326" s="61"/>
      <c r="K326" s="62"/>
      <c r="L326" s="63"/>
      <c r="M326" s="59" t="str">
        <f t="shared" si="61"/>
        <v>NA</v>
      </c>
      <c r="N326" s="17"/>
    </row>
    <row r="327">
      <c r="A327" s="9"/>
      <c r="B327" s="38">
        <f t="shared" si="5"/>
        <v>325</v>
      </c>
      <c r="C327" s="75">
        <v>44016.0</v>
      </c>
      <c r="D327" s="12" t="str">
        <f>hyperlink("https://www.rottentomatoes.com/m/hamilton_2020","Hamilton")</f>
        <v>Hamilton</v>
      </c>
      <c r="E327" s="33" t="s">
        <v>201</v>
      </c>
      <c r="F327" s="33">
        <v>14.0</v>
      </c>
      <c r="G327" s="36">
        <v>2020.0</v>
      </c>
      <c r="H327" s="33" t="s">
        <v>58</v>
      </c>
      <c r="I327" s="33" t="s">
        <v>77</v>
      </c>
      <c r="J327" s="57">
        <v>2020.0</v>
      </c>
      <c r="K327" s="58">
        <v>0.98</v>
      </c>
      <c r="L327" s="37">
        <v>160.0</v>
      </c>
      <c r="M327" s="59">
        <f t="shared" si="61"/>
        <v>0.6125</v>
      </c>
      <c r="N327" s="17"/>
    </row>
    <row r="328">
      <c r="A328" s="9"/>
      <c r="B328" s="38">
        <f t="shared" si="5"/>
        <v>326</v>
      </c>
      <c r="C328" s="70"/>
      <c r="D328" s="48" t="s">
        <v>295</v>
      </c>
      <c r="E328" s="13" t="s">
        <v>201</v>
      </c>
      <c r="F328" s="13">
        <v>14.0</v>
      </c>
      <c r="G328" s="35" t="str">
        <f t="shared" ref="G328:G329" si="64">IF(C328&gt;40908,"2012",IF(C328&gt;40543,"2011",IF(C328&gt;40178,"2010",IF(C328&gt;=39814,"2009",IF(C328&gt;=39448,"2008",IF(C328&gt;39082,"2007",IF(C328&lt;38717,"Pre-2006","2006")))))))</f>
        <v>Pre-2006</v>
      </c>
      <c r="H328" s="71"/>
      <c r="I328" s="71"/>
      <c r="J328" s="61"/>
      <c r="K328" s="62"/>
      <c r="L328" s="63"/>
      <c r="M328" s="59" t="str">
        <f t="shared" si="61"/>
        <v>NA</v>
      </c>
      <c r="N328" s="17"/>
    </row>
    <row r="329">
      <c r="A329" s="9"/>
      <c r="B329" s="38">
        <f t="shared" si="5"/>
        <v>327</v>
      </c>
      <c r="C329" s="70"/>
      <c r="D329" s="48" t="s">
        <v>296</v>
      </c>
      <c r="E329" s="13" t="s">
        <v>201</v>
      </c>
      <c r="F329" s="13">
        <v>14.0</v>
      </c>
      <c r="G329" s="35" t="str">
        <f t="shared" si="64"/>
        <v>Pre-2006</v>
      </c>
      <c r="H329" s="71"/>
      <c r="I329" s="71"/>
      <c r="J329" s="61"/>
      <c r="K329" s="62"/>
      <c r="L329" s="63"/>
      <c r="M329" s="59" t="str">
        <f t="shared" si="61"/>
        <v>NA</v>
      </c>
      <c r="N329" s="17"/>
    </row>
    <row r="330">
      <c r="A330" s="9"/>
      <c r="B330" s="38">
        <f t="shared" si="5"/>
        <v>328</v>
      </c>
      <c r="C330" s="34">
        <v>41419.0</v>
      </c>
      <c r="D330" s="48" t="s">
        <v>297</v>
      </c>
      <c r="E330" s="13" t="s">
        <v>201</v>
      </c>
      <c r="F330" s="13">
        <v>14.0</v>
      </c>
      <c r="G330" s="13">
        <v>2013.0</v>
      </c>
      <c r="H330" s="13" t="s">
        <v>126</v>
      </c>
      <c r="I330" s="13" t="s">
        <v>126</v>
      </c>
      <c r="J330" s="55">
        <v>2010.0</v>
      </c>
      <c r="K330" s="56">
        <v>0.78</v>
      </c>
      <c r="L330" s="14">
        <v>146.0</v>
      </c>
      <c r="M330" s="16">
        <f t="shared" si="61"/>
        <v>0.5342465753</v>
      </c>
      <c r="N330" s="17"/>
    </row>
    <row r="331">
      <c r="A331" s="9"/>
      <c r="B331" s="38">
        <f t="shared" si="5"/>
        <v>329</v>
      </c>
      <c r="C331" s="34">
        <v>44966.0</v>
      </c>
      <c r="D331" s="12" t="str">
        <f>hyperlink("https://www.rottentomatoes.com/m/harry_potter_and_the_deathly_hallows_part_2","Harry Potter and the Deathly Hallows: Part 2")</f>
        <v>Harry Potter and the Deathly Hallows: Part 2</v>
      </c>
      <c r="E331" s="33" t="s">
        <v>201</v>
      </c>
      <c r="F331" s="33">
        <v>14.0</v>
      </c>
      <c r="G331" s="33">
        <v>2023.0</v>
      </c>
      <c r="H331" s="33" t="s">
        <v>58</v>
      </c>
      <c r="I331" s="33" t="s">
        <v>47</v>
      </c>
      <c r="J331" s="57">
        <v>2011.0</v>
      </c>
      <c r="K331" s="58">
        <v>0.96</v>
      </c>
      <c r="L331" s="37">
        <v>133.0</v>
      </c>
      <c r="M331" s="16">
        <f t="shared" si="61"/>
        <v>0.7218045113</v>
      </c>
      <c r="N331" s="17"/>
    </row>
    <row r="332">
      <c r="A332" s="9"/>
      <c r="B332" s="38">
        <f t="shared" si="5"/>
        <v>330</v>
      </c>
      <c r="C332" s="34">
        <v>40026.0</v>
      </c>
      <c r="D332" s="12" t="str">
        <f>hyperlink("https://www.rottentomatoes.com/m/harry_potter_and_the_half_blood_prince","Harry Potter and the Half-Blood Prince")</f>
        <v>Harry Potter and the Half-Blood Prince</v>
      </c>
      <c r="E332" s="33" t="s">
        <v>201</v>
      </c>
      <c r="F332" s="33">
        <v>14.0</v>
      </c>
      <c r="G332" s="33">
        <v>2009.0</v>
      </c>
      <c r="H332" s="13"/>
      <c r="I332" s="33" t="s">
        <v>26</v>
      </c>
      <c r="J332" s="57">
        <v>2009.0</v>
      </c>
      <c r="K332" s="56">
        <v>0.84</v>
      </c>
      <c r="L332" s="37">
        <v>153.0</v>
      </c>
      <c r="M332" s="16">
        <f t="shared" si="61"/>
        <v>0.5490196078</v>
      </c>
      <c r="N332" s="17"/>
    </row>
    <row r="333">
      <c r="A333" s="9"/>
      <c r="B333" s="38">
        <f t="shared" si="5"/>
        <v>331</v>
      </c>
      <c r="C333" s="34">
        <v>42700.0</v>
      </c>
      <c r="D333" s="12" t="str">
        <f>hyperlink("https://www.rottentomatoes.com/m/hell_or_high_water","Hell or High Water")</f>
        <v>Hell or High Water</v>
      </c>
      <c r="E333" s="33" t="s">
        <v>201</v>
      </c>
      <c r="F333" s="33">
        <v>14.0</v>
      </c>
      <c r="G333" s="36">
        <v>2016.0</v>
      </c>
      <c r="H333" s="33" t="s">
        <v>58</v>
      </c>
      <c r="I333" s="33" t="s">
        <v>47</v>
      </c>
      <c r="J333" s="57">
        <v>2016.0</v>
      </c>
      <c r="K333" s="58">
        <v>0.98</v>
      </c>
      <c r="L333" s="37">
        <v>102.0</v>
      </c>
      <c r="M333" s="16">
        <f>K333/L333*100</f>
        <v>0.9607843137</v>
      </c>
      <c r="N333" s="17"/>
    </row>
    <row r="334">
      <c r="A334" s="9"/>
      <c r="B334" s="38">
        <f t="shared" si="5"/>
        <v>332</v>
      </c>
      <c r="C334" s="70"/>
      <c r="D334" s="48" t="s">
        <v>298</v>
      </c>
      <c r="E334" s="13" t="s">
        <v>201</v>
      </c>
      <c r="F334" s="13">
        <v>14.0</v>
      </c>
      <c r="G334" s="35" t="str">
        <f>IF(C334&gt;40908,"2012",IF(C334&gt;40543,"2011",IF(C334&gt;40178,"2010",IF(C334&gt;=39814,"2009",IF(C334&gt;=39448,"2008",IF(C334&gt;39082,"2007",IF(C334&lt;38717,"Pre-2006","2006")))))))</f>
        <v>Pre-2006</v>
      </c>
      <c r="H334" s="71"/>
      <c r="I334" s="71"/>
      <c r="J334" s="61"/>
      <c r="K334" s="62"/>
      <c r="L334" s="63"/>
      <c r="M334" s="59" t="str">
        <f t="shared" ref="M334:M420" si="65">if(iserror(K334/L334*100),"NA",K334/L334*100)</f>
        <v>NA</v>
      </c>
      <c r="N334" s="17"/>
    </row>
    <row r="335">
      <c r="A335" s="9"/>
      <c r="B335" s="38">
        <f t="shared" si="5"/>
        <v>333</v>
      </c>
      <c r="C335" s="34">
        <v>42372.0</v>
      </c>
      <c r="D335" s="12" t="str">
        <f>hyperlink("https://www.rottentomatoes.com/m/hot_fuzz","Hot Fuzz")</f>
        <v>Hot Fuzz</v>
      </c>
      <c r="E335" s="33" t="s">
        <v>201</v>
      </c>
      <c r="F335" s="33">
        <v>14.0</v>
      </c>
      <c r="G335" s="36">
        <v>2017.0</v>
      </c>
      <c r="H335" s="33" t="s">
        <v>58</v>
      </c>
      <c r="I335" s="33" t="s">
        <v>77</v>
      </c>
      <c r="J335" s="57">
        <v>2007.0</v>
      </c>
      <c r="K335" s="58">
        <v>0.91</v>
      </c>
      <c r="L335" s="37">
        <v>121.0</v>
      </c>
      <c r="M335" s="59">
        <f t="shared" si="65"/>
        <v>0.7520661157</v>
      </c>
      <c r="N335" s="17"/>
    </row>
    <row r="336">
      <c r="A336" s="9"/>
      <c r="B336" s="38">
        <f t="shared" si="5"/>
        <v>334</v>
      </c>
      <c r="C336" s="34">
        <v>44835.0</v>
      </c>
      <c r="D336" s="12" t="str">
        <f>hyperlink("https://www.rottentomatoes.com/m/hunt_for_red_october","Hunt for Red October, The")</f>
        <v>Hunt for Red October, The</v>
      </c>
      <c r="E336" s="13" t="s">
        <v>201</v>
      </c>
      <c r="F336" s="13">
        <v>14.0</v>
      </c>
      <c r="G336" s="36">
        <v>2022.0</v>
      </c>
      <c r="H336" s="33" t="s">
        <v>58</v>
      </c>
      <c r="I336" s="33" t="s">
        <v>77</v>
      </c>
      <c r="J336" s="57">
        <v>1990.0</v>
      </c>
      <c r="K336" s="58">
        <v>0.88</v>
      </c>
      <c r="L336" s="37">
        <v>137.0</v>
      </c>
      <c r="M336" s="59">
        <f t="shared" si="65"/>
        <v>0.6423357664</v>
      </c>
      <c r="N336" s="17"/>
    </row>
    <row r="337">
      <c r="A337" s="9"/>
      <c r="B337" s="38">
        <f t="shared" si="5"/>
        <v>335</v>
      </c>
      <c r="C337" s="34">
        <v>41386.0</v>
      </c>
      <c r="D337" s="81" t="s">
        <v>299</v>
      </c>
      <c r="E337" s="13" t="s">
        <v>201</v>
      </c>
      <c r="F337" s="13">
        <v>14.0</v>
      </c>
      <c r="G337" s="13">
        <v>2013.0</v>
      </c>
      <c r="H337" s="13" t="s">
        <v>25</v>
      </c>
      <c r="I337" s="13" t="s">
        <v>47</v>
      </c>
      <c r="J337" s="55">
        <v>2009.0</v>
      </c>
      <c r="K337" s="56">
        <v>0.97</v>
      </c>
      <c r="L337" s="14">
        <v>131.0</v>
      </c>
      <c r="M337" s="16">
        <f t="shared" si="65"/>
        <v>0.7404580153</v>
      </c>
      <c r="N337" s="17"/>
    </row>
    <row r="338">
      <c r="A338" s="9"/>
      <c r="B338" s="38">
        <f t="shared" si="5"/>
        <v>336</v>
      </c>
      <c r="C338" s="34">
        <v>44624.0</v>
      </c>
      <c r="D338" s="12" t="str">
        <f>hyperlink("https://www.rottentomatoes.com/m/ice_storm","Ice Storm, The")</f>
        <v>Ice Storm, The</v>
      </c>
      <c r="E338" s="33" t="s">
        <v>201</v>
      </c>
      <c r="F338" s="33">
        <v>14.0</v>
      </c>
      <c r="G338" s="36">
        <v>2022.0</v>
      </c>
      <c r="H338" s="33" t="s">
        <v>58</v>
      </c>
      <c r="I338" s="13" t="s">
        <v>47</v>
      </c>
      <c r="J338" s="37">
        <v>1997.0</v>
      </c>
      <c r="K338" s="15">
        <v>0.86</v>
      </c>
      <c r="L338" s="37">
        <v>113.0</v>
      </c>
      <c r="M338" s="16">
        <f t="shared" si="65"/>
        <v>0.7610619469</v>
      </c>
      <c r="N338" s="17"/>
    </row>
    <row r="339">
      <c r="A339" s="9"/>
      <c r="B339" s="38">
        <f t="shared" si="5"/>
        <v>337</v>
      </c>
      <c r="C339" s="34">
        <v>40857.0</v>
      </c>
      <c r="D339" s="48" t="s">
        <v>300</v>
      </c>
      <c r="E339" s="13" t="s">
        <v>201</v>
      </c>
      <c r="F339" s="13">
        <v>14.0</v>
      </c>
      <c r="G339" s="35" t="str">
        <f>IF(C339&gt;40908,"2012",IF(C339&gt;40543,"2011",IF(C339&gt;40178,"2010",IF(C339&gt;=39814,"2009",IF(C339&gt;=39448,"2008",IF(C339&gt;39082,"2007",IF(C339&lt;38717,"Pre-2006","2006")))))))</f>
        <v>2011</v>
      </c>
      <c r="H339" s="13" t="s">
        <v>15</v>
      </c>
      <c r="I339" s="13" t="s">
        <v>26</v>
      </c>
      <c r="J339" s="14">
        <v>2011.0</v>
      </c>
      <c r="K339" s="15">
        <v>0.85</v>
      </c>
      <c r="L339" s="14">
        <v>98.0</v>
      </c>
      <c r="M339" s="16">
        <f t="shared" si="65"/>
        <v>0.8673469388</v>
      </c>
      <c r="N339" s="17"/>
    </row>
    <row r="340">
      <c r="A340" s="9"/>
      <c r="B340" s="38">
        <f t="shared" si="5"/>
        <v>338</v>
      </c>
      <c r="C340" s="34">
        <v>43286.0</v>
      </c>
      <c r="D340" s="12" t="str">
        <f>hyperlink("https://www.rottentomatoes.com/m/incredibles_2","Incredibles 2, The")</f>
        <v>Incredibles 2, The</v>
      </c>
      <c r="E340" s="33" t="s">
        <v>201</v>
      </c>
      <c r="F340" s="33">
        <v>14.0</v>
      </c>
      <c r="G340" s="36">
        <v>2018.0</v>
      </c>
      <c r="H340" s="33" t="s">
        <v>143</v>
      </c>
      <c r="I340" s="33" t="s">
        <v>26</v>
      </c>
      <c r="J340" s="57">
        <v>2018.0</v>
      </c>
      <c r="K340" s="58">
        <v>0.93</v>
      </c>
      <c r="L340" s="37">
        <v>118.0</v>
      </c>
      <c r="M340" s="16">
        <f t="shared" si="65"/>
        <v>0.7881355932</v>
      </c>
      <c r="N340" s="17"/>
    </row>
    <row r="341">
      <c r="A341" s="9"/>
      <c r="B341" s="38">
        <f t="shared" si="5"/>
        <v>339</v>
      </c>
      <c r="C341" s="34">
        <v>38808.0</v>
      </c>
      <c r="D341" s="48" t="s">
        <v>301</v>
      </c>
      <c r="E341" s="13" t="s">
        <v>201</v>
      </c>
      <c r="F341" s="13">
        <v>14.0</v>
      </c>
      <c r="G341" s="35" t="str">
        <f>IF(C341&gt;40908,"2012",IF(C341&gt;40543,"2011",IF(C341&gt;40178,"2010",IF(C341&gt;=39814,"2009",IF(C341&gt;=39448,"2008",IF(C341&gt;39082,"2007",IF(C341&lt;38717,"Pre-2006","2006")))))))</f>
        <v>2006</v>
      </c>
      <c r="H341" s="71"/>
      <c r="I341" s="71"/>
      <c r="J341" s="61"/>
      <c r="K341" s="62"/>
      <c r="L341" s="63"/>
      <c r="M341" s="59" t="str">
        <f t="shared" si="65"/>
        <v>NA</v>
      </c>
      <c r="N341" s="17"/>
    </row>
    <row r="342">
      <c r="A342" s="9"/>
      <c r="B342" s="38">
        <f t="shared" si="5"/>
        <v>340</v>
      </c>
      <c r="C342" s="34">
        <v>42315.0</v>
      </c>
      <c r="D342" s="12" t="str">
        <f>hyperlink("http://www.rottentomatoes.com/m/inside_out_2015/?search=inside%20out","Inside Out")</f>
        <v>Inside Out</v>
      </c>
      <c r="E342" s="33" t="s">
        <v>201</v>
      </c>
      <c r="F342" s="33">
        <v>14.0</v>
      </c>
      <c r="G342" s="36">
        <v>2015.0</v>
      </c>
      <c r="H342" s="33" t="s">
        <v>58</v>
      </c>
      <c r="I342" s="33" t="s">
        <v>47</v>
      </c>
      <c r="J342" s="57">
        <v>2015.0</v>
      </c>
      <c r="K342" s="58">
        <v>0.98</v>
      </c>
      <c r="L342" s="37">
        <v>94.0</v>
      </c>
      <c r="M342" s="59">
        <f t="shared" si="65"/>
        <v>1.042553191</v>
      </c>
      <c r="N342" s="17"/>
    </row>
    <row r="343">
      <c r="A343" s="9"/>
      <c r="B343" s="38">
        <f t="shared" si="5"/>
        <v>341</v>
      </c>
      <c r="C343" s="34">
        <v>43554.0</v>
      </c>
      <c r="D343" s="12" t="str">
        <f>hyperlink("https://www.rottentomatoes.com/m/instant_family","Instant Family")</f>
        <v>Instant Family</v>
      </c>
      <c r="E343" s="33" t="s">
        <v>201</v>
      </c>
      <c r="F343" s="33">
        <v>14.0</v>
      </c>
      <c r="G343" s="36">
        <v>2018.0</v>
      </c>
      <c r="H343" s="33" t="s">
        <v>58</v>
      </c>
      <c r="I343" s="33" t="s">
        <v>47</v>
      </c>
      <c r="J343" s="57">
        <v>2018.0</v>
      </c>
      <c r="K343" s="58">
        <v>0.81</v>
      </c>
      <c r="L343" s="37">
        <v>117.0</v>
      </c>
      <c r="M343" s="59">
        <f t="shared" si="65"/>
        <v>0.6923076923</v>
      </c>
      <c r="N343" s="17"/>
    </row>
    <row r="344">
      <c r="A344" s="9"/>
      <c r="B344" s="38">
        <f t="shared" si="5"/>
        <v>342</v>
      </c>
      <c r="C344" s="34">
        <v>44865.0</v>
      </c>
      <c r="D344" s="12" t="str">
        <f>hyperlink("https://www.rottentomatoes.com/m/interstellar_2014","Interstellar")</f>
        <v>Interstellar</v>
      </c>
      <c r="E344" s="33" t="s">
        <v>201</v>
      </c>
      <c r="F344" s="33">
        <v>14.0</v>
      </c>
      <c r="G344" s="36">
        <v>2022.0</v>
      </c>
      <c r="H344" s="33" t="s">
        <v>58</v>
      </c>
      <c r="I344" s="33" t="s">
        <v>47</v>
      </c>
      <c r="J344" s="57">
        <v>2022.0</v>
      </c>
      <c r="K344" s="58">
        <v>0.73</v>
      </c>
      <c r="L344" s="37">
        <v>165.0</v>
      </c>
      <c r="M344" s="59">
        <f t="shared" si="65"/>
        <v>0.4424242424</v>
      </c>
      <c r="N344" s="17"/>
    </row>
    <row r="345">
      <c r="A345" s="9"/>
      <c r="B345" s="38">
        <f t="shared" si="5"/>
        <v>343</v>
      </c>
      <c r="C345" s="34">
        <v>38962.0</v>
      </c>
      <c r="D345" s="48" t="s">
        <v>302</v>
      </c>
      <c r="E345" s="13" t="s">
        <v>201</v>
      </c>
      <c r="F345" s="13">
        <v>14.0</v>
      </c>
      <c r="G345" s="35" t="str">
        <f t="shared" ref="G345:G346" si="66">IF(C345&gt;40908,"2012",IF(C345&gt;40543,"2011",IF(C345&gt;40178,"2010",IF(C345&gt;=39814,"2009",IF(C345&gt;=39448,"2008",IF(C345&gt;39082,"2007",IF(C345&lt;38717,"Pre-2006","2006")))))))</f>
        <v>2006</v>
      </c>
      <c r="H345" s="71"/>
      <c r="I345" s="71"/>
      <c r="J345" s="61"/>
      <c r="K345" s="62"/>
      <c r="L345" s="63"/>
      <c r="M345" s="59" t="str">
        <f t="shared" si="65"/>
        <v>NA</v>
      </c>
      <c r="N345" s="17"/>
    </row>
    <row r="346">
      <c r="A346" s="9"/>
      <c r="B346" s="38">
        <f t="shared" si="5"/>
        <v>344</v>
      </c>
      <c r="C346" s="70"/>
      <c r="D346" s="48" t="s">
        <v>303</v>
      </c>
      <c r="E346" s="13" t="s">
        <v>201</v>
      </c>
      <c r="F346" s="13">
        <v>14.0</v>
      </c>
      <c r="G346" s="35" t="str">
        <f t="shared" si="66"/>
        <v>Pre-2006</v>
      </c>
      <c r="H346" s="71"/>
      <c r="I346" s="71"/>
      <c r="J346" s="61"/>
      <c r="K346" s="62"/>
      <c r="L346" s="63"/>
      <c r="M346" s="59" t="str">
        <f t="shared" si="65"/>
        <v>NA</v>
      </c>
      <c r="N346" s="17"/>
    </row>
    <row r="347">
      <c r="A347" s="9"/>
      <c r="B347" s="38">
        <f t="shared" si="5"/>
        <v>345</v>
      </c>
      <c r="C347" s="34">
        <v>41265.0</v>
      </c>
      <c r="D347" s="48" t="s">
        <v>304</v>
      </c>
      <c r="E347" s="13" t="s">
        <v>201</v>
      </c>
      <c r="F347" s="13">
        <v>14.0</v>
      </c>
      <c r="G347" s="13">
        <v>2012.0</v>
      </c>
      <c r="H347" s="13" t="s">
        <v>25</v>
      </c>
      <c r="I347" s="13" t="s">
        <v>26</v>
      </c>
      <c r="J347" s="55">
        <v>2012.0</v>
      </c>
      <c r="K347" s="56">
        <v>0.63</v>
      </c>
      <c r="L347" s="14">
        <v>130.0</v>
      </c>
      <c r="M347" s="16">
        <f t="shared" si="65"/>
        <v>0.4846153846</v>
      </c>
      <c r="N347" s="17"/>
    </row>
    <row r="348">
      <c r="A348" s="9"/>
      <c r="B348" s="38">
        <f t="shared" si="5"/>
        <v>346</v>
      </c>
      <c r="C348" s="70"/>
      <c r="D348" s="48" t="s">
        <v>305</v>
      </c>
      <c r="E348" s="13" t="s">
        <v>201</v>
      </c>
      <c r="F348" s="13">
        <v>14.0</v>
      </c>
      <c r="G348" s="35" t="str">
        <f t="shared" ref="G348:G351" si="67">IF(C348&gt;40908,"2012",IF(C348&gt;40543,"2011",IF(C348&gt;40178,"2010",IF(C348&gt;=39814,"2009",IF(C348&gt;=39448,"2008",IF(C348&gt;39082,"2007",IF(C348&lt;38717,"Pre-2006","2006")))))))</f>
        <v>Pre-2006</v>
      </c>
      <c r="H348" s="71"/>
      <c r="I348" s="71"/>
      <c r="J348" s="61"/>
      <c r="K348" s="62"/>
      <c r="L348" s="63"/>
      <c r="M348" s="59" t="str">
        <f t="shared" si="65"/>
        <v>NA</v>
      </c>
      <c r="N348" s="17"/>
    </row>
    <row r="349">
      <c r="A349" s="9"/>
      <c r="B349" s="38">
        <f t="shared" si="5"/>
        <v>347</v>
      </c>
      <c r="C349" s="70"/>
      <c r="D349" s="48" t="s">
        <v>306</v>
      </c>
      <c r="E349" s="13" t="s">
        <v>201</v>
      </c>
      <c r="F349" s="13">
        <v>14.0</v>
      </c>
      <c r="G349" s="35" t="str">
        <f t="shared" si="67"/>
        <v>Pre-2006</v>
      </c>
      <c r="H349" s="71"/>
      <c r="I349" s="71"/>
      <c r="J349" s="61"/>
      <c r="K349" s="62"/>
      <c r="L349" s="63"/>
      <c r="M349" s="59" t="str">
        <f t="shared" si="65"/>
        <v>NA</v>
      </c>
      <c r="N349" s="17"/>
    </row>
    <row r="350">
      <c r="A350" s="9"/>
      <c r="B350" s="38">
        <f t="shared" si="5"/>
        <v>348</v>
      </c>
      <c r="C350" s="70"/>
      <c r="D350" s="48" t="s">
        <v>307</v>
      </c>
      <c r="E350" s="13" t="s">
        <v>201</v>
      </c>
      <c r="F350" s="13">
        <v>14.0</v>
      </c>
      <c r="G350" s="35" t="str">
        <f t="shared" si="67"/>
        <v>Pre-2006</v>
      </c>
      <c r="H350" s="71"/>
      <c r="I350" s="71"/>
      <c r="J350" s="61"/>
      <c r="K350" s="62"/>
      <c r="L350" s="63"/>
      <c r="M350" s="59" t="str">
        <f t="shared" si="65"/>
        <v>NA</v>
      </c>
      <c r="N350" s="17"/>
    </row>
    <row r="351">
      <c r="A351" s="9"/>
      <c r="B351" s="38">
        <f t="shared" si="5"/>
        <v>349</v>
      </c>
      <c r="C351" s="70"/>
      <c r="D351" s="48" t="s">
        <v>308</v>
      </c>
      <c r="E351" s="13" t="s">
        <v>201</v>
      </c>
      <c r="F351" s="13">
        <v>14.0</v>
      </c>
      <c r="G351" s="35" t="str">
        <f t="shared" si="67"/>
        <v>Pre-2006</v>
      </c>
      <c r="H351" s="71"/>
      <c r="I351" s="71"/>
      <c r="J351" s="61"/>
      <c r="K351" s="62"/>
      <c r="L351" s="63"/>
      <c r="M351" s="59" t="str">
        <f t="shared" si="65"/>
        <v>NA</v>
      </c>
      <c r="N351" s="17"/>
    </row>
    <row r="352">
      <c r="A352" s="9"/>
      <c r="B352" s="38">
        <f t="shared" si="5"/>
        <v>350</v>
      </c>
      <c r="C352" s="34">
        <v>42780.0</v>
      </c>
      <c r="D352" s="12" t="str">
        <f>hyperlink("https://www.rottentomatoes.com/m/john_wick","John Wick")</f>
        <v>John Wick</v>
      </c>
      <c r="E352" s="33" t="s">
        <v>201</v>
      </c>
      <c r="F352" s="33">
        <v>14.0</v>
      </c>
      <c r="G352" s="36">
        <v>2017.0</v>
      </c>
      <c r="H352" s="33" t="s">
        <v>58</v>
      </c>
      <c r="I352" s="33" t="s">
        <v>47</v>
      </c>
      <c r="J352" s="57">
        <v>2014.0</v>
      </c>
      <c r="K352" s="58">
        <v>0.85</v>
      </c>
      <c r="L352" s="37">
        <v>96.0</v>
      </c>
      <c r="M352" s="59">
        <f t="shared" si="65"/>
        <v>0.8854166667</v>
      </c>
      <c r="N352" s="17"/>
    </row>
    <row r="353">
      <c r="A353" s="9"/>
      <c r="B353" s="38">
        <f t="shared" si="5"/>
        <v>351</v>
      </c>
      <c r="C353" s="34">
        <v>39400.0</v>
      </c>
      <c r="D353" s="48" t="s">
        <v>309</v>
      </c>
      <c r="E353" s="13" t="s">
        <v>201</v>
      </c>
      <c r="F353" s="13">
        <v>14.0</v>
      </c>
      <c r="G353" s="35" t="str">
        <f>IF(C353&gt;40908,"2012",IF(C353&gt;40543,"2011",IF(C353&gt;40178,"2010",IF(C353&gt;=39814,"2009",IF(C353&gt;=39448,"2008",IF(C353&gt;39082,"2007",IF(C353&lt;38717,"Pre-2006","2006")))))))</f>
        <v>2007</v>
      </c>
      <c r="H353" s="13" t="s">
        <v>17</v>
      </c>
      <c r="I353" s="13" t="s">
        <v>21</v>
      </c>
      <c r="J353" s="61"/>
      <c r="K353" s="62"/>
      <c r="L353" s="63"/>
      <c r="M353" s="59" t="str">
        <f t="shared" si="65"/>
        <v>NA</v>
      </c>
      <c r="N353" s="17"/>
    </row>
    <row r="354">
      <c r="A354" s="9"/>
      <c r="B354" s="38">
        <f t="shared" si="5"/>
        <v>352</v>
      </c>
      <c r="C354" s="34">
        <v>45114.0</v>
      </c>
      <c r="D354" s="12" t="str">
        <f>hyperlink("https://www.rottentomatoes.com/m/joy_ride_2023","Joy Ride")</f>
        <v>Joy Ride</v>
      </c>
      <c r="E354" s="33" t="s">
        <v>201</v>
      </c>
      <c r="F354" s="33">
        <v>14.0</v>
      </c>
      <c r="G354" s="36">
        <v>2023.0</v>
      </c>
      <c r="H354" s="33" t="s">
        <v>25</v>
      </c>
      <c r="I354" s="33" t="s">
        <v>26</v>
      </c>
      <c r="J354" s="57">
        <v>2023.0</v>
      </c>
      <c r="K354" s="58">
        <v>0.91</v>
      </c>
      <c r="L354" s="37">
        <v>95.0</v>
      </c>
      <c r="M354" s="59">
        <f t="shared" si="65"/>
        <v>0.9578947368</v>
      </c>
      <c r="N354" s="17"/>
    </row>
    <row r="355">
      <c r="A355" s="9"/>
      <c r="B355" s="38">
        <f t="shared" si="5"/>
        <v>353</v>
      </c>
      <c r="C355" s="70"/>
      <c r="D355" s="48" t="s">
        <v>310</v>
      </c>
      <c r="E355" s="13" t="s">
        <v>201</v>
      </c>
      <c r="F355" s="13">
        <v>14.0</v>
      </c>
      <c r="G355" s="35" t="str">
        <f t="shared" ref="G355:G357" si="68">IF(C355&gt;40908,"2012",IF(C355&gt;40543,"2011",IF(C355&gt;40178,"2010",IF(C355&gt;=39814,"2009",IF(C355&gt;=39448,"2008",IF(C355&gt;39082,"2007",IF(C355&lt;38717,"Pre-2006","2006")))))))</f>
        <v>Pre-2006</v>
      </c>
      <c r="H355" s="71"/>
      <c r="I355" s="71"/>
      <c r="J355" s="61"/>
      <c r="K355" s="62"/>
      <c r="L355" s="63"/>
      <c r="M355" s="59" t="str">
        <f t="shared" si="65"/>
        <v>NA</v>
      </c>
      <c r="N355" s="17"/>
    </row>
    <row r="356">
      <c r="A356" s="9"/>
      <c r="B356" s="38">
        <f t="shared" si="5"/>
        <v>354</v>
      </c>
      <c r="C356" s="70"/>
      <c r="D356" s="48" t="s">
        <v>311</v>
      </c>
      <c r="E356" s="13" t="s">
        <v>201</v>
      </c>
      <c r="F356" s="13">
        <v>14.0</v>
      </c>
      <c r="G356" s="35" t="str">
        <f t="shared" si="68"/>
        <v>Pre-2006</v>
      </c>
      <c r="H356" s="71"/>
      <c r="I356" s="71"/>
      <c r="J356" s="61"/>
      <c r="K356" s="62"/>
      <c r="L356" s="63"/>
      <c r="M356" s="59" t="str">
        <f t="shared" si="65"/>
        <v>NA</v>
      </c>
      <c r="N356" s="17"/>
    </row>
    <row r="357">
      <c r="A357" s="9"/>
      <c r="B357" s="38">
        <f t="shared" si="5"/>
        <v>355</v>
      </c>
      <c r="C357" s="70"/>
      <c r="D357" s="48" t="s">
        <v>312</v>
      </c>
      <c r="E357" s="13" t="s">
        <v>201</v>
      </c>
      <c r="F357" s="13">
        <v>14.0</v>
      </c>
      <c r="G357" s="35" t="str">
        <f t="shared" si="68"/>
        <v>Pre-2006</v>
      </c>
      <c r="H357" s="71"/>
      <c r="I357" s="71"/>
      <c r="J357" s="61"/>
      <c r="K357" s="62"/>
      <c r="L357" s="63"/>
      <c r="M357" s="59" t="str">
        <f t="shared" si="65"/>
        <v>NA</v>
      </c>
      <c r="N357" s="17"/>
    </row>
    <row r="358">
      <c r="A358" s="9"/>
      <c r="B358" s="38">
        <f t="shared" si="5"/>
        <v>356</v>
      </c>
      <c r="C358" s="34">
        <v>41609.0</v>
      </c>
      <c r="D358" s="48" t="s">
        <v>313</v>
      </c>
      <c r="E358" s="13" t="s">
        <v>201</v>
      </c>
      <c r="F358" s="13">
        <v>14.0</v>
      </c>
      <c r="G358" s="13">
        <v>2013.0</v>
      </c>
      <c r="H358" s="13" t="s">
        <v>25</v>
      </c>
      <c r="I358" s="13" t="s">
        <v>47</v>
      </c>
      <c r="J358" s="55">
        <v>2013.0</v>
      </c>
      <c r="K358" s="56">
        <v>0.76</v>
      </c>
      <c r="L358" s="14">
        <v>95.0</v>
      </c>
      <c r="M358" s="16">
        <f t="shared" si="65"/>
        <v>0.8</v>
      </c>
      <c r="N358" s="17"/>
    </row>
    <row r="359">
      <c r="A359" s="9"/>
      <c r="B359" s="38">
        <f t="shared" si="5"/>
        <v>357</v>
      </c>
      <c r="C359" s="34">
        <v>42981.0</v>
      </c>
      <c r="D359" s="12" t="str">
        <f>hyperlink("https://www.rottentomatoes.com/m/the_kings_speech","King's Speech, The")</f>
        <v>King's Speech, The</v>
      </c>
      <c r="E359" s="33" t="s">
        <v>201</v>
      </c>
      <c r="F359" s="33">
        <v>14.0</v>
      </c>
      <c r="G359" s="36">
        <v>2017.0</v>
      </c>
      <c r="H359" s="33" t="s">
        <v>58</v>
      </c>
      <c r="I359" s="33" t="s">
        <v>47</v>
      </c>
      <c r="J359" s="57">
        <v>2010.0</v>
      </c>
      <c r="K359" s="58">
        <v>0.95</v>
      </c>
      <c r="L359" s="37">
        <v>118.0</v>
      </c>
      <c r="M359" s="16">
        <f t="shared" si="65"/>
        <v>0.8050847458</v>
      </c>
      <c r="N359" s="17"/>
    </row>
    <row r="360">
      <c r="A360" s="9"/>
      <c r="B360" s="38">
        <f t="shared" si="5"/>
        <v>358</v>
      </c>
      <c r="C360" s="70"/>
      <c r="D360" s="48" t="s">
        <v>314</v>
      </c>
      <c r="E360" s="13" t="s">
        <v>201</v>
      </c>
      <c r="F360" s="13">
        <v>14.0</v>
      </c>
      <c r="G360" s="35" t="str">
        <f t="shared" ref="G360:G365" si="69">IF(C360&gt;40908,"2012",IF(C360&gt;40543,"2011",IF(C360&gt;40178,"2010",IF(C360&gt;=39814,"2009",IF(C360&gt;=39448,"2008",IF(C360&gt;39082,"2007",IF(C360&lt;38717,"Pre-2006","2006")))))))</f>
        <v>Pre-2006</v>
      </c>
      <c r="H360" s="71"/>
      <c r="I360" s="71"/>
      <c r="J360" s="61"/>
      <c r="K360" s="62"/>
      <c r="L360" s="63"/>
      <c r="M360" s="59" t="str">
        <f t="shared" si="65"/>
        <v>NA</v>
      </c>
      <c r="N360" s="17"/>
    </row>
    <row r="361">
      <c r="A361" s="9"/>
      <c r="B361" s="38">
        <f t="shared" si="5"/>
        <v>359</v>
      </c>
      <c r="C361" s="34">
        <v>39249.0</v>
      </c>
      <c r="D361" s="48" t="s">
        <v>315</v>
      </c>
      <c r="E361" s="13" t="s">
        <v>201</v>
      </c>
      <c r="F361" s="13">
        <v>14.0</v>
      </c>
      <c r="G361" s="35" t="str">
        <f t="shared" si="69"/>
        <v>2007</v>
      </c>
      <c r="H361" s="71"/>
      <c r="I361" s="71"/>
      <c r="J361" s="61"/>
      <c r="K361" s="62"/>
      <c r="L361" s="63"/>
      <c r="M361" s="59" t="str">
        <f t="shared" si="65"/>
        <v>NA</v>
      </c>
      <c r="N361" s="17"/>
    </row>
    <row r="362">
      <c r="A362" s="9"/>
      <c r="B362" s="38">
        <f t="shared" si="5"/>
        <v>360</v>
      </c>
      <c r="C362" s="34">
        <v>39521.0</v>
      </c>
      <c r="D362" s="48" t="s">
        <v>316</v>
      </c>
      <c r="E362" s="13" t="s">
        <v>201</v>
      </c>
      <c r="F362" s="13">
        <v>14.0</v>
      </c>
      <c r="G362" s="35" t="str">
        <f t="shared" si="69"/>
        <v>2008</v>
      </c>
      <c r="H362" s="13" t="s">
        <v>17</v>
      </c>
      <c r="I362" s="13" t="s">
        <v>21</v>
      </c>
      <c r="J362" s="14">
        <v>1979.0</v>
      </c>
      <c r="K362" s="15">
        <v>0.88</v>
      </c>
      <c r="L362" s="14">
        <v>105.0</v>
      </c>
      <c r="M362" s="16">
        <f t="shared" si="65"/>
        <v>0.8380952381</v>
      </c>
      <c r="N362" s="17"/>
    </row>
    <row r="363">
      <c r="A363" s="9"/>
      <c r="B363" s="38">
        <f t="shared" si="5"/>
        <v>361</v>
      </c>
      <c r="C363" s="70"/>
      <c r="D363" s="48" t="s">
        <v>317</v>
      </c>
      <c r="E363" s="13" t="s">
        <v>201</v>
      </c>
      <c r="F363" s="13">
        <v>14.0</v>
      </c>
      <c r="G363" s="35" t="str">
        <f t="shared" si="69"/>
        <v>Pre-2006</v>
      </c>
      <c r="H363" s="71"/>
      <c r="I363" s="71"/>
      <c r="J363" s="61"/>
      <c r="K363" s="62"/>
      <c r="L363" s="63"/>
      <c r="M363" s="59" t="str">
        <f t="shared" si="65"/>
        <v>NA</v>
      </c>
      <c r="N363" s="17"/>
    </row>
    <row r="364">
      <c r="A364" s="9"/>
      <c r="B364" s="38">
        <f t="shared" si="5"/>
        <v>362</v>
      </c>
      <c r="C364" s="34">
        <v>38822.0</v>
      </c>
      <c r="D364" s="48" t="s">
        <v>318</v>
      </c>
      <c r="E364" s="13" t="s">
        <v>201</v>
      </c>
      <c r="F364" s="13">
        <v>14.0</v>
      </c>
      <c r="G364" s="35" t="str">
        <f t="shared" si="69"/>
        <v>2006</v>
      </c>
      <c r="H364" s="71"/>
      <c r="I364" s="71"/>
      <c r="J364" s="61"/>
      <c r="K364" s="62"/>
      <c r="L364" s="63"/>
      <c r="M364" s="59" t="str">
        <f t="shared" si="65"/>
        <v>NA</v>
      </c>
      <c r="N364" s="17"/>
    </row>
    <row r="365">
      <c r="A365" s="9"/>
      <c r="B365" s="38">
        <f t="shared" si="5"/>
        <v>363</v>
      </c>
      <c r="C365" s="70"/>
      <c r="D365" s="48" t="s">
        <v>319</v>
      </c>
      <c r="E365" s="13" t="s">
        <v>201</v>
      </c>
      <c r="F365" s="13">
        <v>14.0</v>
      </c>
      <c r="G365" s="35" t="str">
        <f t="shared" si="69"/>
        <v>Pre-2006</v>
      </c>
      <c r="H365" s="71"/>
      <c r="I365" s="71"/>
      <c r="J365" s="61"/>
      <c r="K365" s="62"/>
      <c r="L365" s="63"/>
      <c r="M365" s="59" t="str">
        <f t="shared" si="65"/>
        <v>NA</v>
      </c>
      <c r="N365" s="17"/>
    </row>
    <row r="366">
      <c r="A366" s="9"/>
      <c r="B366" s="38">
        <f t="shared" si="5"/>
        <v>364</v>
      </c>
      <c r="C366" s="34">
        <v>41685.0</v>
      </c>
      <c r="D366" s="12" t="str">
        <f>hyperlink("http://www.rottentomatoes.com/m/the_lego_movie/","Lego Movie, The")</f>
        <v>Lego Movie, The</v>
      </c>
      <c r="E366" s="13" t="s">
        <v>201</v>
      </c>
      <c r="F366" s="13">
        <v>14.0</v>
      </c>
      <c r="G366" s="13">
        <v>2014.0</v>
      </c>
      <c r="H366" s="13" t="s">
        <v>25</v>
      </c>
      <c r="I366" s="13" t="s">
        <v>26</v>
      </c>
      <c r="J366" s="55">
        <v>2014.0</v>
      </c>
      <c r="K366" s="56">
        <v>0.96</v>
      </c>
      <c r="L366" s="14">
        <v>101.0</v>
      </c>
      <c r="M366" s="16">
        <f t="shared" si="65"/>
        <v>0.9504950495</v>
      </c>
      <c r="N366" s="17"/>
    </row>
    <row r="367">
      <c r="A367" s="9"/>
      <c r="B367" s="38">
        <f t="shared" si="5"/>
        <v>365</v>
      </c>
      <c r="C367" s="70"/>
      <c r="D367" s="48" t="s">
        <v>320</v>
      </c>
      <c r="E367" s="13" t="s">
        <v>201</v>
      </c>
      <c r="F367" s="13">
        <v>14.0</v>
      </c>
      <c r="G367" s="35" t="str">
        <f t="shared" ref="G367:G369" si="70">IF(C367&gt;40908,"2012",IF(C367&gt;40543,"2011",IF(C367&gt;40178,"2010",IF(C367&gt;=39814,"2009",IF(C367&gt;=39448,"2008",IF(C367&gt;39082,"2007",IF(C367&lt;38717,"Pre-2006","2006")))))))</f>
        <v>Pre-2006</v>
      </c>
      <c r="H367" s="71"/>
      <c r="I367" s="71"/>
      <c r="J367" s="61"/>
      <c r="K367" s="62"/>
      <c r="L367" s="63"/>
      <c r="M367" s="59" t="str">
        <f t="shared" si="65"/>
        <v>NA</v>
      </c>
      <c r="N367" s="17"/>
    </row>
    <row r="368">
      <c r="A368" s="9"/>
      <c r="B368" s="38">
        <f t="shared" si="5"/>
        <v>366</v>
      </c>
      <c r="C368" s="70"/>
      <c r="D368" s="48" t="s">
        <v>321</v>
      </c>
      <c r="E368" s="13" t="s">
        <v>201</v>
      </c>
      <c r="F368" s="13">
        <v>14.0</v>
      </c>
      <c r="G368" s="35" t="str">
        <f t="shared" si="70"/>
        <v>Pre-2006</v>
      </c>
      <c r="H368" s="71"/>
      <c r="I368" s="71"/>
      <c r="J368" s="61"/>
      <c r="K368" s="62"/>
      <c r="L368" s="63"/>
      <c r="M368" s="59" t="str">
        <f t="shared" si="65"/>
        <v>NA</v>
      </c>
      <c r="N368" s="17"/>
    </row>
    <row r="369">
      <c r="A369" s="9"/>
      <c r="B369" s="38">
        <f t="shared" si="5"/>
        <v>367</v>
      </c>
      <c r="C369" s="34">
        <v>40622.0</v>
      </c>
      <c r="D369" s="48" t="s">
        <v>322</v>
      </c>
      <c r="E369" s="13" t="s">
        <v>201</v>
      </c>
      <c r="F369" s="13">
        <v>14.0</v>
      </c>
      <c r="G369" s="35" t="str">
        <f t="shared" si="70"/>
        <v>2011</v>
      </c>
      <c r="H369" s="13" t="s">
        <v>25</v>
      </c>
      <c r="I369" s="13" t="s">
        <v>26</v>
      </c>
      <c r="J369" s="14">
        <v>2011.0</v>
      </c>
      <c r="K369" s="15">
        <v>0.83</v>
      </c>
      <c r="L369" s="14">
        <v>119.0</v>
      </c>
      <c r="M369" s="16">
        <f t="shared" si="65"/>
        <v>0.6974789916</v>
      </c>
      <c r="N369" s="17"/>
    </row>
    <row r="370">
      <c r="A370" s="9"/>
      <c r="B370" s="38">
        <f t="shared" si="5"/>
        <v>368</v>
      </c>
      <c r="C370" s="34">
        <v>42976.0</v>
      </c>
      <c r="D370" s="12" t="str">
        <f>hyperlink("https://www.rottentomatoes.com/m/lion_2016","Lion")</f>
        <v>Lion</v>
      </c>
      <c r="E370" s="33" t="s">
        <v>201</v>
      </c>
      <c r="F370" s="33">
        <v>14.0</v>
      </c>
      <c r="G370" s="36">
        <v>2017.0</v>
      </c>
      <c r="H370" s="33" t="s">
        <v>199</v>
      </c>
      <c r="I370" s="33" t="s">
        <v>77</v>
      </c>
      <c r="J370" s="57">
        <v>2016.0</v>
      </c>
      <c r="K370" s="58">
        <v>0.85</v>
      </c>
      <c r="L370" s="37">
        <v>120.0</v>
      </c>
      <c r="M370" s="16">
        <f t="shared" si="65"/>
        <v>0.7083333333</v>
      </c>
      <c r="N370" s="17"/>
    </row>
    <row r="371">
      <c r="A371" s="9"/>
      <c r="B371" s="38">
        <f t="shared" si="5"/>
        <v>369</v>
      </c>
      <c r="C371" s="70"/>
      <c r="D371" s="48" t="s">
        <v>323</v>
      </c>
      <c r="E371" s="13" t="s">
        <v>201</v>
      </c>
      <c r="F371" s="13">
        <v>14.0</v>
      </c>
      <c r="G371" s="35" t="str">
        <f t="shared" ref="G371:G374" si="71">IF(C371&gt;40908,"2012",IF(C371&gt;40543,"2011",IF(C371&gt;40178,"2010",IF(C371&gt;=39814,"2009",IF(C371&gt;=39448,"2008",IF(C371&gt;39082,"2007",IF(C371&lt;38717,"Pre-2006","2006")))))))</f>
        <v>Pre-2006</v>
      </c>
      <c r="H371" s="71"/>
      <c r="I371" s="71"/>
      <c r="J371" s="61"/>
      <c r="K371" s="62"/>
      <c r="L371" s="63"/>
      <c r="M371" s="59" t="str">
        <f t="shared" si="65"/>
        <v>NA</v>
      </c>
      <c r="N371" s="17"/>
    </row>
    <row r="372">
      <c r="A372" s="9"/>
      <c r="B372" s="38">
        <f t="shared" si="5"/>
        <v>370</v>
      </c>
      <c r="C372" s="70"/>
      <c r="D372" s="48" t="s">
        <v>324</v>
      </c>
      <c r="E372" s="13" t="s">
        <v>201</v>
      </c>
      <c r="F372" s="13">
        <v>14.0</v>
      </c>
      <c r="G372" s="35" t="str">
        <f t="shared" si="71"/>
        <v>Pre-2006</v>
      </c>
      <c r="H372" s="71"/>
      <c r="I372" s="71"/>
      <c r="J372" s="61"/>
      <c r="K372" s="62"/>
      <c r="L372" s="63"/>
      <c r="M372" s="59" t="str">
        <f t="shared" si="65"/>
        <v>NA</v>
      </c>
      <c r="N372" s="17"/>
    </row>
    <row r="373">
      <c r="A373" s="9"/>
      <c r="B373" s="38">
        <f t="shared" si="5"/>
        <v>371</v>
      </c>
      <c r="C373" s="70"/>
      <c r="D373" s="48" t="s">
        <v>325</v>
      </c>
      <c r="E373" s="13" t="s">
        <v>201</v>
      </c>
      <c r="F373" s="13">
        <v>14.0</v>
      </c>
      <c r="G373" s="35" t="str">
        <f t="shared" si="71"/>
        <v>Pre-2006</v>
      </c>
      <c r="H373" s="71"/>
      <c r="I373" s="71"/>
      <c r="J373" s="61"/>
      <c r="K373" s="62"/>
      <c r="L373" s="63"/>
      <c r="M373" s="59" t="str">
        <f t="shared" si="65"/>
        <v>NA</v>
      </c>
      <c r="N373" s="17"/>
    </row>
    <row r="374">
      <c r="A374" s="9"/>
      <c r="B374" s="38">
        <f t="shared" si="5"/>
        <v>372</v>
      </c>
      <c r="C374" s="70"/>
      <c r="D374" s="48" t="s">
        <v>326</v>
      </c>
      <c r="E374" s="13" t="s">
        <v>201</v>
      </c>
      <c r="F374" s="13">
        <v>14.0</v>
      </c>
      <c r="G374" s="35" t="str">
        <f t="shared" si="71"/>
        <v>Pre-2006</v>
      </c>
      <c r="H374" s="71"/>
      <c r="I374" s="71"/>
      <c r="J374" s="61"/>
      <c r="K374" s="62"/>
      <c r="L374" s="63"/>
      <c r="M374" s="59" t="str">
        <f t="shared" si="65"/>
        <v>NA</v>
      </c>
      <c r="N374" s="17"/>
    </row>
    <row r="375">
      <c r="A375" s="9"/>
      <c r="B375" s="38">
        <f t="shared" si="5"/>
        <v>373</v>
      </c>
      <c r="C375" s="34">
        <v>44772.0</v>
      </c>
      <c r="D375" s="12" t="str">
        <f>hyperlink("https://www.rottentomatoes.com/m/the_lost_city","Lost City, The")</f>
        <v>Lost City, The</v>
      </c>
      <c r="E375" s="33" t="s">
        <v>201</v>
      </c>
      <c r="F375" s="33">
        <v>14.0</v>
      </c>
      <c r="G375" s="36">
        <v>2022.0</v>
      </c>
      <c r="H375" s="33" t="s">
        <v>58</v>
      </c>
      <c r="I375" s="33" t="s">
        <v>77</v>
      </c>
      <c r="J375" s="37">
        <v>2022.0</v>
      </c>
      <c r="K375" s="15">
        <v>0.79</v>
      </c>
      <c r="L375" s="37">
        <v>112.0</v>
      </c>
      <c r="M375" s="16">
        <f t="shared" si="65"/>
        <v>0.7053571429</v>
      </c>
      <c r="N375" s="17"/>
    </row>
    <row r="376">
      <c r="A376" s="9"/>
      <c r="B376" s="38">
        <f t="shared" si="5"/>
        <v>374</v>
      </c>
      <c r="C376" s="34">
        <v>39779.0</v>
      </c>
      <c r="D376" s="48" t="s">
        <v>327</v>
      </c>
      <c r="E376" s="13" t="s">
        <v>201</v>
      </c>
      <c r="F376" s="13">
        <v>14.0</v>
      </c>
      <c r="G376" s="35" t="str">
        <f>IF(C376&gt;40908,"2012",IF(C376&gt;40543,"2011",IF(C376&gt;40178,"2010",IF(C376&gt;=39814,"2009",IF(C376&gt;=39448,"2008",IF(C376&gt;39082,"2007",IF(C376&lt;38717,"Pre-2006","2006")))))))</f>
        <v>2008</v>
      </c>
      <c r="H376" s="13" t="s">
        <v>27</v>
      </c>
      <c r="I376" s="13" t="s">
        <v>277</v>
      </c>
      <c r="J376" s="14">
        <v>1970.0</v>
      </c>
      <c r="K376" s="15">
        <v>0.91</v>
      </c>
      <c r="L376" s="14">
        <v>116.0</v>
      </c>
      <c r="M376" s="16">
        <f t="shared" si="65"/>
        <v>0.7844827586</v>
      </c>
      <c r="N376" s="17"/>
    </row>
    <row r="377">
      <c r="A377" s="9"/>
      <c r="B377" s="38">
        <f t="shared" si="5"/>
        <v>375</v>
      </c>
      <c r="C377" s="34">
        <v>41971.0</v>
      </c>
      <c r="D377" s="12" t="str">
        <f>hyperlink("http://www.rottentomatoes.com/m/maidentrip/?search=maidentrip","Maidentrip")</f>
        <v>Maidentrip</v>
      </c>
      <c r="E377" s="13" t="s">
        <v>201</v>
      </c>
      <c r="F377" s="13">
        <v>14.0</v>
      </c>
      <c r="G377" s="13">
        <v>2014.0</v>
      </c>
      <c r="H377" s="13" t="s">
        <v>25</v>
      </c>
      <c r="I377" s="13" t="s">
        <v>47</v>
      </c>
      <c r="J377" s="55">
        <v>2014.0</v>
      </c>
      <c r="K377" s="56">
        <v>0.82</v>
      </c>
      <c r="L377" s="14">
        <v>82.0</v>
      </c>
      <c r="M377" s="16">
        <f t="shared" si="65"/>
        <v>1</v>
      </c>
      <c r="N377" s="17"/>
    </row>
    <row r="378">
      <c r="A378" s="9"/>
      <c r="B378" s="38">
        <f t="shared" si="5"/>
        <v>376</v>
      </c>
      <c r="C378" s="70"/>
      <c r="D378" s="48" t="s">
        <v>328</v>
      </c>
      <c r="E378" s="13" t="s">
        <v>201</v>
      </c>
      <c r="F378" s="13">
        <v>14.0</v>
      </c>
      <c r="G378" s="35" t="str">
        <f>IF(C378&gt;40908,"2012",IF(C378&gt;40543,"2011",IF(C378&gt;40178,"2010",IF(C378&gt;=39814,"2009",IF(C378&gt;=39448,"2008",IF(C378&gt;39082,"2007",IF(C378&lt;38717,"Pre-2006","2006")))))))</f>
        <v>Pre-2006</v>
      </c>
      <c r="H378" s="71"/>
      <c r="I378" s="71"/>
      <c r="J378" s="61"/>
      <c r="K378" s="62"/>
      <c r="L378" s="63"/>
      <c r="M378" s="59" t="str">
        <f t="shared" si="65"/>
        <v>NA</v>
      </c>
      <c r="N378" s="17"/>
    </row>
    <row r="379">
      <c r="A379" s="9"/>
      <c r="B379" s="38">
        <f t="shared" si="5"/>
        <v>377</v>
      </c>
      <c r="C379" s="60">
        <v>42287.0</v>
      </c>
      <c r="D379" s="12" t="str">
        <f>hyperlink("http://www.rottentomatoes.com/m/the_martian/","The Martian")</f>
        <v>The Martian</v>
      </c>
      <c r="E379" s="33" t="s">
        <v>201</v>
      </c>
      <c r="F379" s="33">
        <v>14.0</v>
      </c>
      <c r="G379" s="36">
        <v>2015.0</v>
      </c>
      <c r="H379" s="33" t="s">
        <v>143</v>
      </c>
      <c r="I379" s="33" t="s">
        <v>26</v>
      </c>
      <c r="J379" s="57">
        <v>2015.0</v>
      </c>
      <c r="K379" s="58">
        <v>0.93</v>
      </c>
      <c r="L379" s="37">
        <v>134.0</v>
      </c>
      <c r="M379" s="59">
        <f t="shared" si="65"/>
        <v>0.6940298507</v>
      </c>
      <c r="N379" s="17"/>
    </row>
    <row r="380">
      <c r="A380" s="9"/>
      <c r="B380" s="38">
        <f t="shared" si="5"/>
        <v>378</v>
      </c>
      <c r="C380" s="70"/>
      <c r="D380" s="48" t="s">
        <v>329</v>
      </c>
      <c r="E380" s="13" t="s">
        <v>201</v>
      </c>
      <c r="F380" s="13">
        <v>14.0</v>
      </c>
      <c r="G380" s="35" t="str">
        <f t="shared" ref="G380:G386" si="72">IF(C380&gt;40908,"2012",IF(C380&gt;40543,"2011",IF(C380&gt;40178,"2010",IF(C380&gt;=39814,"2009",IF(C380&gt;=39448,"2008",IF(C380&gt;39082,"2007",IF(C380&lt;38717,"Pre-2006","2006")))))))</f>
        <v>Pre-2006</v>
      </c>
      <c r="H380" s="71"/>
      <c r="I380" s="71"/>
      <c r="J380" s="61"/>
      <c r="K380" s="62"/>
      <c r="L380" s="63"/>
      <c r="M380" s="59" t="str">
        <f t="shared" si="65"/>
        <v>NA</v>
      </c>
      <c r="N380" s="17"/>
    </row>
    <row r="381">
      <c r="A381" s="9"/>
      <c r="B381" s="38">
        <f t="shared" si="5"/>
        <v>379</v>
      </c>
      <c r="C381" s="70"/>
      <c r="D381" s="48" t="s">
        <v>330</v>
      </c>
      <c r="E381" s="13" t="s">
        <v>201</v>
      </c>
      <c r="F381" s="13">
        <v>14.0</v>
      </c>
      <c r="G381" s="35" t="str">
        <f t="shared" si="72"/>
        <v>Pre-2006</v>
      </c>
      <c r="H381" s="71"/>
      <c r="I381" s="71"/>
      <c r="J381" s="61"/>
      <c r="K381" s="62"/>
      <c r="L381" s="63"/>
      <c r="M381" s="59" t="str">
        <f t="shared" si="65"/>
        <v>NA</v>
      </c>
      <c r="N381" s="17"/>
    </row>
    <row r="382">
      <c r="A382" s="9"/>
      <c r="B382" s="38">
        <f t="shared" si="5"/>
        <v>380</v>
      </c>
      <c r="C382" s="70"/>
      <c r="D382" s="48" t="s">
        <v>331</v>
      </c>
      <c r="E382" s="13" t="s">
        <v>201</v>
      </c>
      <c r="F382" s="13">
        <v>14.0</v>
      </c>
      <c r="G382" s="35" t="str">
        <f t="shared" si="72"/>
        <v>Pre-2006</v>
      </c>
      <c r="H382" s="71"/>
      <c r="I382" s="71"/>
      <c r="J382" s="61"/>
      <c r="K382" s="62"/>
      <c r="L382" s="63"/>
      <c r="M382" s="59" t="str">
        <f t="shared" si="65"/>
        <v>NA</v>
      </c>
      <c r="N382" s="17"/>
    </row>
    <row r="383">
      <c r="A383" s="9"/>
      <c r="B383" s="38">
        <f t="shared" si="5"/>
        <v>381</v>
      </c>
      <c r="C383" s="34">
        <v>39804.0</v>
      </c>
      <c r="D383" s="48" t="s">
        <v>332</v>
      </c>
      <c r="E383" s="13" t="s">
        <v>201</v>
      </c>
      <c r="F383" s="13">
        <v>14.0</v>
      </c>
      <c r="G383" s="35" t="str">
        <f t="shared" si="72"/>
        <v>2008</v>
      </c>
      <c r="H383" s="13" t="s">
        <v>27</v>
      </c>
      <c r="I383" s="13" t="s">
        <v>26</v>
      </c>
      <c r="J383" s="14">
        <v>2008.0</v>
      </c>
      <c r="K383" s="15">
        <v>0.93</v>
      </c>
      <c r="L383" s="14">
        <v>128.0</v>
      </c>
      <c r="M383" s="16">
        <f t="shared" si="65"/>
        <v>0.7265625</v>
      </c>
      <c r="N383" s="17"/>
    </row>
    <row r="384">
      <c r="A384" s="9"/>
      <c r="B384" s="38">
        <f t="shared" si="5"/>
        <v>382</v>
      </c>
      <c r="C384" s="70"/>
      <c r="D384" s="48" t="s">
        <v>333</v>
      </c>
      <c r="E384" s="13" t="s">
        <v>201</v>
      </c>
      <c r="F384" s="13">
        <v>14.0</v>
      </c>
      <c r="G384" s="35" t="str">
        <f t="shared" si="72"/>
        <v>Pre-2006</v>
      </c>
      <c r="H384" s="71"/>
      <c r="I384" s="71"/>
      <c r="J384" s="61"/>
      <c r="K384" s="62"/>
      <c r="L384" s="63"/>
      <c r="M384" s="59" t="str">
        <f t="shared" si="65"/>
        <v>NA</v>
      </c>
      <c r="N384" s="17"/>
    </row>
    <row r="385">
      <c r="A385" s="9"/>
      <c r="B385" s="38">
        <f t="shared" si="5"/>
        <v>383</v>
      </c>
      <c r="C385" s="70"/>
      <c r="D385" s="48" t="s">
        <v>334</v>
      </c>
      <c r="E385" s="13" t="s">
        <v>201</v>
      </c>
      <c r="F385" s="13">
        <v>14.0</v>
      </c>
      <c r="G385" s="35" t="str">
        <f t="shared" si="72"/>
        <v>Pre-2006</v>
      </c>
      <c r="H385" s="71"/>
      <c r="I385" s="71"/>
      <c r="J385" s="61"/>
      <c r="K385" s="62"/>
      <c r="L385" s="63"/>
      <c r="M385" s="59" t="str">
        <f t="shared" si="65"/>
        <v>NA</v>
      </c>
      <c r="N385" s="17"/>
    </row>
    <row r="386">
      <c r="A386" s="9"/>
      <c r="B386" s="38">
        <f t="shared" si="5"/>
        <v>384</v>
      </c>
      <c r="C386" s="70"/>
      <c r="D386" s="48" t="s">
        <v>335</v>
      </c>
      <c r="E386" s="13" t="s">
        <v>201</v>
      </c>
      <c r="F386" s="13">
        <v>14.0</v>
      </c>
      <c r="G386" s="35" t="str">
        <f t="shared" si="72"/>
        <v>Pre-2006</v>
      </c>
      <c r="H386" s="71"/>
      <c r="I386" s="71"/>
      <c r="J386" s="61"/>
      <c r="K386" s="62"/>
      <c r="L386" s="63"/>
      <c r="M386" s="59" t="str">
        <f t="shared" si="65"/>
        <v>NA</v>
      </c>
      <c r="N386" s="17"/>
    </row>
    <row r="387">
      <c r="A387" s="9"/>
      <c r="B387" s="38">
        <f t="shared" si="5"/>
        <v>385</v>
      </c>
      <c r="C387" s="34">
        <v>42364.0</v>
      </c>
      <c r="D387" s="12" t="str">
        <f>hyperlink("http://www.rottentomatoes.com/m/mission_impossible_rogue_nation/?search=mission%20impossible","Mission Impossible V")</f>
        <v>Mission Impossible V</v>
      </c>
      <c r="E387" s="33" t="s">
        <v>201</v>
      </c>
      <c r="F387" s="33">
        <v>14.0</v>
      </c>
      <c r="G387" s="36">
        <v>2015.0</v>
      </c>
      <c r="H387" s="33" t="s">
        <v>25</v>
      </c>
      <c r="I387" s="33" t="s">
        <v>82</v>
      </c>
      <c r="J387" s="57">
        <v>2015.0</v>
      </c>
      <c r="K387" s="58">
        <v>0.93</v>
      </c>
      <c r="L387" s="37">
        <v>131.0</v>
      </c>
      <c r="M387" s="59">
        <f t="shared" si="65"/>
        <v>0.7099236641</v>
      </c>
      <c r="N387" s="17"/>
    </row>
    <row r="388">
      <c r="A388" s="9"/>
      <c r="B388" s="38">
        <f t="shared" si="5"/>
        <v>386</v>
      </c>
      <c r="C388" s="34">
        <v>45119.0</v>
      </c>
      <c r="D388" s="12" t="str">
        <f>hyperlink("https://www.rottentomatoes.com/m/mission_impossible_dead_reckoning_part_one","Mission Impossible VII")</f>
        <v>Mission Impossible VII</v>
      </c>
      <c r="E388" s="33" t="s">
        <v>201</v>
      </c>
      <c r="F388" s="33">
        <v>14.0</v>
      </c>
      <c r="G388" s="36">
        <v>2023.0</v>
      </c>
      <c r="H388" s="33" t="s">
        <v>143</v>
      </c>
      <c r="I388" s="33" t="s">
        <v>26</v>
      </c>
      <c r="J388" s="57">
        <v>2023.0</v>
      </c>
      <c r="K388" s="58">
        <v>0.96</v>
      </c>
      <c r="L388" s="37">
        <v>164.0</v>
      </c>
      <c r="M388" s="59">
        <f t="shared" si="65"/>
        <v>0.5853658537</v>
      </c>
      <c r="N388" s="17"/>
    </row>
    <row r="389">
      <c r="A389" s="9"/>
      <c r="B389" s="38">
        <f t="shared" si="5"/>
        <v>387</v>
      </c>
      <c r="C389" s="70"/>
      <c r="D389" s="48" t="s">
        <v>336</v>
      </c>
      <c r="E389" s="13" t="s">
        <v>201</v>
      </c>
      <c r="F389" s="13">
        <v>14.0</v>
      </c>
      <c r="G389" s="35" t="str">
        <f>IF(C389&gt;40908,"2012",IF(C389&gt;40543,"2011",IF(C389&gt;40178,"2010",IF(C389&gt;=39814,"2009",IF(C389&gt;=39448,"2008",IF(C389&gt;39082,"2007",IF(C389&lt;38717,"Pre-2006","2006")))))))</f>
        <v>Pre-2006</v>
      </c>
      <c r="H389" s="71"/>
      <c r="I389" s="71"/>
      <c r="J389" s="61"/>
      <c r="K389" s="62"/>
      <c r="L389" s="63"/>
      <c r="M389" s="59" t="str">
        <f t="shared" si="65"/>
        <v>NA</v>
      </c>
      <c r="N389" s="17"/>
    </row>
    <row r="390">
      <c r="A390" s="9"/>
      <c r="B390" s="38">
        <f t="shared" si="5"/>
        <v>388</v>
      </c>
      <c r="C390" s="34">
        <v>42007.0</v>
      </c>
      <c r="D390" s="12" t="str">
        <f>hyperlink("http://www.rottentomatoes.com/m/monsters_university","Monsters University")</f>
        <v>Monsters University</v>
      </c>
      <c r="E390" s="13" t="s">
        <v>201</v>
      </c>
      <c r="F390" s="13">
        <v>14.0</v>
      </c>
      <c r="G390" s="13">
        <v>2015.0</v>
      </c>
      <c r="H390" s="13" t="s">
        <v>25</v>
      </c>
      <c r="I390" s="13" t="s">
        <v>47</v>
      </c>
      <c r="J390" s="55">
        <v>2013.0</v>
      </c>
      <c r="K390" s="56">
        <v>0.78</v>
      </c>
      <c r="L390" s="14">
        <v>95.0</v>
      </c>
      <c r="M390" s="16">
        <f t="shared" si="65"/>
        <v>0.8210526316</v>
      </c>
      <c r="N390" s="17"/>
    </row>
    <row r="391">
      <c r="A391" s="9"/>
      <c r="B391" s="38">
        <f t="shared" si="5"/>
        <v>389</v>
      </c>
      <c r="C391" s="70"/>
      <c r="D391" s="48" t="s">
        <v>337</v>
      </c>
      <c r="E391" s="13" t="s">
        <v>201</v>
      </c>
      <c r="F391" s="13">
        <v>14.0</v>
      </c>
      <c r="G391" s="35" t="str">
        <f t="shared" ref="G391:G393" si="73">IF(C391&gt;40908,"2012",IF(C391&gt;40543,"2011",IF(C391&gt;40178,"2010",IF(C391&gt;=39814,"2009",IF(C391&gt;=39448,"2008",IF(C391&gt;39082,"2007",IF(C391&lt;38717,"Pre-2006","2006")))))))</f>
        <v>Pre-2006</v>
      </c>
      <c r="H391" s="71"/>
      <c r="I391" s="71"/>
      <c r="J391" s="61"/>
      <c r="K391" s="62"/>
      <c r="L391" s="63"/>
      <c r="M391" s="59" t="str">
        <f t="shared" si="65"/>
        <v>NA</v>
      </c>
      <c r="N391" s="17"/>
    </row>
    <row r="392">
      <c r="A392" s="9"/>
      <c r="B392" s="38">
        <f t="shared" si="5"/>
        <v>390</v>
      </c>
      <c r="C392" s="70"/>
      <c r="D392" s="48" t="s">
        <v>338</v>
      </c>
      <c r="E392" s="13" t="s">
        <v>201</v>
      </c>
      <c r="F392" s="13">
        <v>14.0</v>
      </c>
      <c r="G392" s="35" t="str">
        <f t="shared" si="73"/>
        <v>Pre-2006</v>
      </c>
      <c r="H392" s="71"/>
      <c r="I392" s="71"/>
      <c r="J392" s="61"/>
      <c r="K392" s="62"/>
      <c r="L392" s="63"/>
      <c r="M392" s="59" t="str">
        <f t="shared" si="65"/>
        <v>NA</v>
      </c>
      <c r="N392" s="17"/>
    </row>
    <row r="393">
      <c r="A393" s="9"/>
      <c r="B393" s="38">
        <f t="shared" si="5"/>
        <v>391</v>
      </c>
      <c r="C393" s="70"/>
      <c r="D393" s="48" t="s">
        <v>339</v>
      </c>
      <c r="E393" s="13" t="s">
        <v>201</v>
      </c>
      <c r="F393" s="13">
        <v>14.0</v>
      </c>
      <c r="G393" s="35" t="str">
        <f t="shared" si="73"/>
        <v>Pre-2006</v>
      </c>
      <c r="H393" s="71"/>
      <c r="I393" s="71"/>
      <c r="J393" s="61"/>
      <c r="K393" s="62"/>
      <c r="L393" s="63"/>
      <c r="M393" s="59" t="str">
        <f t="shared" si="65"/>
        <v>NA</v>
      </c>
      <c r="N393" s="17"/>
    </row>
    <row r="394">
      <c r="A394" s="9"/>
      <c r="B394" s="38">
        <f t="shared" si="5"/>
        <v>392</v>
      </c>
      <c r="C394" s="34">
        <v>41748.0</v>
      </c>
      <c r="D394" s="12" t="str">
        <f>hyperlink("http://www.rottentomatoes.com/m/mud_2012/","Mud")</f>
        <v>Mud</v>
      </c>
      <c r="E394" s="13" t="s">
        <v>201</v>
      </c>
      <c r="F394" s="13">
        <v>14.0</v>
      </c>
      <c r="G394" s="13">
        <v>2014.0</v>
      </c>
      <c r="H394" s="13" t="s">
        <v>25</v>
      </c>
      <c r="I394" s="13" t="s">
        <v>47</v>
      </c>
      <c r="J394" s="55">
        <v>2013.0</v>
      </c>
      <c r="K394" s="56">
        <v>0.98</v>
      </c>
      <c r="L394" s="14">
        <v>131.0</v>
      </c>
      <c r="M394" s="16">
        <f t="shared" si="65"/>
        <v>0.7480916031</v>
      </c>
      <c r="N394" s="17"/>
    </row>
    <row r="395">
      <c r="A395" s="9"/>
      <c r="B395" s="38">
        <f t="shared" si="5"/>
        <v>393</v>
      </c>
      <c r="C395" s="70"/>
      <c r="D395" s="48" t="s">
        <v>340</v>
      </c>
      <c r="E395" s="13" t="s">
        <v>201</v>
      </c>
      <c r="F395" s="13">
        <v>14.0</v>
      </c>
      <c r="G395" s="35" t="str">
        <f t="shared" ref="G395:G397" si="74">IF(C395&gt;40908,"2012",IF(C395&gt;40543,"2011",IF(C395&gt;40178,"2010",IF(C395&gt;=39814,"2009",IF(C395&gt;=39448,"2008",IF(C395&gt;39082,"2007",IF(C395&lt;38717,"Pre-2006","2006")))))))</f>
        <v>Pre-2006</v>
      </c>
      <c r="H395" s="71"/>
      <c r="I395" s="71"/>
      <c r="J395" s="61"/>
      <c r="K395" s="62"/>
      <c r="L395" s="63"/>
      <c r="M395" s="59" t="str">
        <f t="shared" si="65"/>
        <v>NA</v>
      </c>
      <c r="N395" s="17"/>
    </row>
    <row r="396">
      <c r="A396" s="9"/>
      <c r="B396" s="38">
        <f t="shared" si="5"/>
        <v>394</v>
      </c>
      <c r="C396" s="34">
        <v>39178.0</v>
      </c>
      <c r="D396" s="48" t="s">
        <v>341</v>
      </c>
      <c r="E396" s="13" t="s">
        <v>201</v>
      </c>
      <c r="F396" s="13">
        <v>14.0</v>
      </c>
      <c r="G396" s="35" t="str">
        <f t="shared" si="74"/>
        <v>2007</v>
      </c>
      <c r="H396" s="71"/>
      <c r="I396" s="71"/>
      <c r="J396" s="61"/>
      <c r="K396" s="62"/>
      <c r="L396" s="63"/>
      <c r="M396" s="59" t="str">
        <f t="shared" si="65"/>
        <v>NA</v>
      </c>
      <c r="N396" s="17"/>
    </row>
    <row r="397">
      <c r="A397" s="9"/>
      <c r="B397" s="38">
        <f t="shared" si="5"/>
        <v>395</v>
      </c>
      <c r="C397" s="70"/>
      <c r="D397" s="48" t="s">
        <v>342</v>
      </c>
      <c r="E397" s="13" t="s">
        <v>201</v>
      </c>
      <c r="F397" s="13">
        <v>14.0</v>
      </c>
      <c r="G397" s="35" t="str">
        <f t="shared" si="74"/>
        <v>Pre-2006</v>
      </c>
      <c r="H397" s="71"/>
      <c r="I397" s="71"/>
      <c r="J397" s="61"/>
      <c r="K397" s="62"/>
      <c r="L397" s="63"/>
      <c r="M397" s="59" t="str">
        <f t="shared" si="65"/>
        <v>NA</v>
      </c>
      <c r="N397" s="17"/>
    </row>
    <row r="398">
      <c r="A398" s="9"/>
      <c r="B398" s="38">
        <f t="shared" si="5"/>
        <v>396</v>
      </c>
      <c r="C398" s="34">
        <v>41889.0</v>
      </c>
      <c r="D398" s="12" t="str">
        <f>hyperlink("http://www.rottentomatoes.com/m/neighbors_2014/","Neighbors")</f>
        <v>Neighbors</v>
      </c>
      <c r="E398" s="13" t="s">
        <v>201</v>
      </c>
      <c r="F398" s="13">
        <v>14.0</v>
      </c>
      <c r="G398" s="13">
        <v>2014.0</v>
      </c>
      <c r="H398" s="13" t="s">
        <v>58</v>
      </c>
      <c r="I398" s="13" t="s">
        <v>47</v>
      </c>
      <c r="J398" s="55">
        <v>2014.0</v>
      </c>
      <c r="K398" s="56">
        <v>0.73</v>
      </c>
      <c r="L398" s="14">
        <v>97.0</v>
      </c>
      <c r="M398" s="16">
        <f t="shared" si="65"/>
        <v>0.7525773196</v>
      </c>
      <c r="N398" s="17"/>
    </row>
    <row r="399">
      <c r="A399" s="9"/>
      <c r="B399" s="38">
        <f t="shared" si="5"/>
        <v>397</v>
      </c>
      <c r="C399" s="70"/>
      <c r="D399" s="48" t="s">
        <v>343</v>
      </c>
      <c r="E399" s="13" t="s">
        <v>201</v>
      </c>
      <c r="F399" s="13">
        <v>14.0</v>
      </c>
      <c r="G399" s="35" t="str">
        <f t="shared" ref="G399:G400" si="75">IF(C399&gt;40908,"2012",IF(C399&gt;40543,"2011",IF(C399&gt;40178,"2010",IF(C399&gt;=39814,"2009",IF(C399&gt;=39448,"2008",IF(C399&gt;39082,"2007",IF(C399&lt;38717,"Pre-2006","2006")))))))</f>
        <v>Pre-2006</v>
      </c>
      <c r="H399" s="71"/>
      <c r="I399" s="71"/>
      <c r="J399" s="14">
        <v>1991.0</v>
      </c>
      <c r="K399" s="15">
        <v>0.79</v>
      </c>
      <c r="L399" s="14">
        <v>101.0</v>
      </c>
      <c r="M399" s="16">
        <f t="shared" si="65"/>
        <v>0.7821782178</v>
      </c>
      <c r="N399" s="17"/>
    </row>
    <row r="400">
      <c r="A400" s="9"/>
      <c r="B400" s="38">
        <f t="shared" si="5"/>
        <v>398</v>
      </c>
      <c r="C400" s="34">
        <v>39439.0</v>
      </c>
      <c r="D400" s="48" t="s">
        <v>344</v>
      </c>
      <c r="E400" s="13" t="s">
        <v>201</v>
      </c>
      <c r="F400" s="13">
        <v>14.0</v>
      </c>
      <c r="G400" s="35" t="str">
        <f t="shared" si="75"/>
        <v>2007</v>
      </c>
      <c r="H400" s="13" t="s">
        <v>124</v>
      </c>
      <c r="I400" s="13" t="s">
        <v>26</v>
      </c>
      <c r="J400" s="61"/>
      <c r="K400" s="62"/>
      <c r="L400" s="63"/>
      <c r="M400" s="59" t="str">
        <f t="shared" si="65"/>
        <v>NA</v>
      </c>
      <c r="N400" s="17"/>
    </row>
    <row r="401">
      <c r="A401" s="9"/>
      <c r="B401" s="38">
        <f t="shared" si="5"/>
        <v>399</v>
      </c>
      <c r="C401" s="34">
        <v>44859.0</v>
      </c>
      <c r="D401" s="12" t="str">
        <f>hyperlink("https://www.rottentomatoes.com/m/nomadland","Nomadland")</f>
        <v>Nomadland</v>
      </c>
      <c r="E401" s="33" t="s">
        <v>201</v>
      </c>
      <c r="F401" s="33">
        <v>14.0</v>
      </c>
      <c r="G401" s="36">
        <v>2022.0</v>
      </c>
      <c r="H401" s="33" t="s">
        <v>126</v>
      </c>
      <c r="I401" s="33" t="s">
        <v>47</v>
      </c>
      <c r="J401" s="57">
        <v>2020.0</v>
      </c>
      <c r="K401" s="58">
        <v>0.93</v>
      </c>
      <c r="L401" s="37">
        <v>108.0</v>
      </c>
      <c r="M401" s="16">
        <f t="shared" si="65"/>
        <v>0.8611111111</v>
      </c>
      <c r="N401" s="17"/>
    </row>
    <row r="402">
      <c r="A402" s="9"/>
      <c r="B402" s="38">
        <f t="shared" si="5"/>
        <v>400</v>
      </c>
      <c r="C402" s="34">
        <v>38867.0</v>
      </c>
      <c r="D402" s="48" t="s">
        <v>345</v>
      </c>
      <c r="E402" s="13" t="s">
        <v>201</v>
      </c>
      <c r="F402" s="13">
        <v>14.0</v>
      </c>
      <c r="G402" s="35" t="str">
        <f t="shared" ref="G402:G403" si="76">IF(C402&gt;40908,"2012",IF(C402&gt;40543,"2011",IF(C402&gt;40178,"2010",IF(C402&gt;=39814,"2009",IF(C402&gt;=39448,"2008",IF(C402&gt;39082,"2007",IF(C402&lt;38717,"Pre-2006","2006")))))))</f>
        <v>2006</v>
      </c>
      <c r="H402" s="71"/>
      <c r="I402" s="71"/>
      <c r="J402" s="61"/>
      <c r="K402" s="62"/>
      <c r="L402" s="63"/>
      <c r="M402" s="59" t="str">
        <f t="shared" si="65"/>
        <v>NA</v>
      </c>
      <c r="N402" s="17"/>
    </row>
    <row r="403">
      <c r="A403" s="9"/>
      <c r="B403" s="38">
        <f t="shared" si="5"/>
        <v>401</v>
      </c>
      <c r="C403" s="34">
        <v>39248.0</v>
      </c>
      <c r="D403" s="48" t="s">
        <v>346</v>
      </c>
      <c r="E403" s="13" t="s">
        <v>201</v>
      </c>
      <c r="F403" s="13">
        <v>14.0</v>
      </c>
      <c r="G403" s="35" t="str">
        <f t="shared" si="76"/>
        <v>2007</v>
      </c>
      <c r="H403" s="71"/>
      <c r="I403" s="71"/>
      <c r="J403" s="61"/>
      <c r="K403" s="62"/>
      <c r="L403" s="63"/>
      <c r="M403" s="59" t="str">
        <f t="shared" si="65"/>
        <v>NA</v>
      </c>
      <c r="N403" s="17"/>
    </row>
    <row r="404">
      <c r="A404" s="9"/>
      <c r="B404" s="38">
        <f t="shared" si="5"/>
        <v>402</v>
      </c>
      <c r="C404" s="34">
        <v>43469.0</v>
      </c>
      <c r="D404" s="12" t="str">
        <f>hyperlink("https://www.rottentomatoes.com/m/on_the_basis_of_sex","On the Basis of Sex")</f>
        <v>On the Basis of Sex</v>
      </c>
      <c r="E404" s="33" t="s">
        <v>201</v>
      </c>
      <c r="F404" s="33">
        <v>14.0</v>
      </c>
      <c r="G404" s="36">
        <v>2019.0</v>
      </c>
      <c r="H404" s="33" t="s">
        <v>20</v>
      </c>
      <c r="I404" s="33" t="s">
        <v>26</v>
      </c>
      <c r="J404" s="57">
        <v>2018.0</v>
      </c>
      <c r="K404" s="58">
        <v>0.71</v>
      </c>
      <c r="L404" s="37">
        <v>120.0</v>
      </c>
      <c r="M404" s="59">
        <f t="shared" si="65"/>
        <v>0.5916666667</v>
      </c>
      <c r="N404" s="17"/>
    </row>
    <row r="405">
      <c r="A405" s="9"/>
      <c r="B405" s="38">
        <f t="shared" si="5"/>
        <v>403</v>
      </c>
      <c r="C405" s="70"/>
      <c r="D405" s="48" t="s">
        <v>347</v>
      </c>
      <c r="E405" s="13" t="s">
        <v>201</v>
      </c>
      <c r="F405" s="13">
        <v>14.0</v>
      </c>
      <c r="G405" s="35" t="str">
        <f>IF(C405&gt;40908,"2012",IF(C405&gt;40543,"2011",IF(C405&gt;40178,"2010",IF(C405&gt;=39814,"2009",IF(C405&gt;=39448,"2008",IF(C405&gt;39082,"2007",IF(C405&lt;38717,"Pre-2006","2006")))))))</f>
        <v>Pre-2006</v>
      </c>
      <c r="H405" s="71"/>
      <c r="I405" s="71"/>
      <c r="J405" s="61"/>
      <c r="K405" s="62"/>
      <c r="L405" s="63"/>
      <c r="M405" s="59" t="str">
        <f t="shared" si="65"/>
        <v>NA</v>
      </c>
      <c r="N405" s="17"/>
    </row>
    <row r="406">
      <c r="A406" s="9"/>
      <c r="B406" s="38">
        <f t="shared" si="5"/>
        <v>404</v>
      </c>
      <c r="C406" s="34">
        <v>43931.0</v>
      </c>
      <c r="D406" s="12" t="str">
        <f>hyperlink("https://www.rottentomatoes.com/m/onward","Onward")</f>
        <v>Onward</v>
      </c>
      <c r="E406" s="33" t="s">
        <v>201</v>
      </c>
      <c r="F406" s="33">
        <v>14.0</v>
      </c>
      <c r="G406" s="36">
        <v>2020.0</v>
      </c>
      <c r="H406" s="33" t="s">
        <v>58</v>
      </c>
      <c r="I406" s="33" t="s">
        <v>348</v>
      </c>
      <c r="J406" s="57">
        <v>2020.0</v>
      </c>
      <c r="K406" s="58">
        <v>0.88</v>
      </c>
      <c r="L406" s="37">
        <v>103.0</v>
      </c>
      <c r="M406" s="59">
        <f t="shared" si="65"/>
        <v>0.854368932</v>
      </c>
      <c r="N406" s="17"/>
    </row>
    <row r="407">
      <c r="A407" s="9"/>
      <c r="B407" s="38">
        <f t="shared" si="5"/>
        <v>405</v>
      </c>
      <c r="C407" s="70"/>
      <c r="D407" s="48" t="s">
        <v>349</v>
      </c>
      <c r="E407" s="13" t="s">
        <v>201</v>
      </c>
      <c r="F407" s="13">
        <v>14.0</v>
      </c>
      <c r="G407" s="35" t="str">
        <f>IF(C407&gt;40908,"2012",IF(C407&gt;40543,"2011",IF(C407&gt;40178,"2010",IF(C407&gt;=39814,"2009",IF(C407&gt;=39448,"2008",IF(C407&gt;39082,"2007",IF(C407&lt;38717,"Pre-2006","2006")))))))</f>
        <v>Pre-2006</v>
      </c>
      <c r="H407" s="71"/>
      <c r="I407" s="71"/>
      <c r="J407" s="61"/>
      <c r="K407" s="62"/>
      <c r="L407" s="63"/>
      <c r="M407" s="59" t="str">
        <f t="shared" si="65"/>
        <v>NA</v>
      </c>
      <c r="N407" s="17"/>
    </row>
    <row r="408">
      <c r="A408" s="9"/>
      <c r="B408" s="38">
        <f t="shared" si="5"/>
        <v>406</v>
      </c>
      <c r="C408" s="34">
        <v>41188.0</v>
      </c>
      <c r="D408" s="48" t="s">
        <v>350</v>
      </c>
      <c r="E408" s="13" t="s">
        <v>201</v>
      </c>
      <c r="F408" s="13">
        <v>14.0</v>
      </c>
      <c r="G408" s="13">
        <v>2012.0</v>
      </c>
      <c r="H408" s="13" t="s">
        <v>143</v>
      </c>
      <c r="I408" s="13" t="s">
        <v>26</v>
      </c>
      <c r="J408" s="55">
        <v>2012.0</v>
      </c>
      <c r="K408" s="56">
        <v>0.84</v>
      </c>
      <c r="L408" s="14">
        <v>103.0</v>
      </c>
      <c r="M408" s="16">
        <f t="shared" si="65"/>
        <v>0.8155339806</v>
      </c>
      <c r="N408" s="17"/>
    </row>
    <row r="409">
      <c r="A409" s="9"/>
      <c r="B409" s="38">
        <f t="shared" si="5"/>
        <v>407</v>
      </c>
      <c r="C409" s="70"/>
      <c r="D409" s="48" t="s">
        <v>351</v>
      </c>
      <c r="E409" s="13" t="s">
        <v>201</v>
      </c>
      <c r="F409" s="13">
        <v>14.0</v>
      </c>
      <c r="G409" s="35" t="str">
        <f>IF(C409&gt;40908,"2012",IF(C409&gt;40543,"2011",IF(C409&gt;40178,"2010",IF(C409&gt;=39814,"2009",IF(C409&gt;=39448,"2008",IF(C409&gt;39082,"2007",IF(C409&lt;38717,"Pre-2006","2006")))))))</f>
        <v>Pre-2006</v>
      </c>
      <c r="H409" s="71"/>
      <c r="I409" s="71"/>
      <c r="J409" s="61"/>
      <c r="K409" s="62"/>
      <c r="L409" s="63"/>
      <c r="M409" s="59" t="str">
        <f t="shared" si="65"/>
        <v>NA</v>
      </c>
      <c r="N409" s="17"/>
    </row>
    <row r="410">
      <c r="A410" s="9"/>
      <c r="B410" s="38">
        <f t="shared" si="5"/>
        <v>408</v>
      </c>
      <c r="C410" s="34">
        <v>44663.0</v>
      </c>
      <c r="D410" s="12" t="str">
        <f>hyperlink("https://www.rottentomatoes.com/m/the_power_of_the_dog","Power of the Dog, The")</f>
        <v>Power of the Dog, The</v>
      </c>
      <c r="E410" s="33" t="s">
        <v>201</v>
      </c>
      <c r="F410" s="33">
        <v>14.0</v>
      </c>
      <c r="G410" s="36">
        <v>2022.0</v>
      </c>
      <c r="H410" s="33" t="s">
        <v>58</v>
      </c>
      <c r="I410" s="33" t="s">
        <v>77</v>
      </c>
      <c r="J410" s="57">
        <v>2021.0</v>
      </c>
      <c r="K410" s="58">
        <v>0.93</v>
      </c>
      <c r="L410" s="37">
        <v>128.0</v>
      </c>
      <c r="M410" s="16">
        <f t="shared" si="65"/>
        <v>0.7265625</v>
      </c>
      <c r="N410" s="17"/>
    </row>
    <row r="411">
      <c r="A411" s="9"/>
      <c r="B411" s="38">
        <f t="shared" si="5"/>
        <v>409</v>
      </c>
      <c r="C411" s="70"/>
      <c r="D411" s="48" t="s">
        <v>352</v>
      </c>
      <c r="E411" s="13" t="s">
        <v>201</v>
      </c>
      <c r="F411" s="13">
        <v>14.0</v>
      </c>
      <c r="G411" s="35" t="str">
        <f t="shared" ref="G411:G412" si="77">IF(C411&gt;40908,"2012",IF(C411&gt;40543,"2011",IF(C411&gt;40178,"2010",IF(C411&gt;=39814,"2009",IF(C411&gt;=39448,"2008",IF(C411&gt;39082,"2007",IF(C411&lt;38717,"Pre-2006","2006")))))))</f>
        <v>Pre-2006</v>
      </c>
      <c r="H411" s="71"/>
      <c r="I411" s="71"/>
      <c r="J411" s="61"/>
      <c r="K411" s="62"/>
      <c r="L411" s="63"/>
      <c r="M411" s="59" t="str">
        <f t="shared" si="65"/>
        <v>NA</v>
      </c>
      <c r="N411" s="17"/>
    </row>
    <row r="412">
      <c r="A412" s="9"/>
      <c r="B412" s="38">
        <f t="shared" si="5"/>
        <v>410</v>
      </c>
      <c r="C412" s="70"/>
      <c r="D412" s="48" t="s">
        <v>353</v>
      </c>
      <c r="E412" s="13" t="s">
        <v>201</v>
      </c>
      <c r="F412" s="13">
        <v>14.0</v>
      </c>
      <c r="G412" s="35" t="str">
        <f t="shared" si="77"/>
        <v>Pre-2006</v>
      </c>
      <c r="H412" s="71"/>
      <c r="I412" s="71"/>
      <c r="J412" s="61"/>
      <c r="K412" s="62"/>
      <c r="L412" s="63"/>
      <c r="M412" s="59" t="str">
        <f t="shared" si="65"/>
        <v>NA</v>
      </c>
      <c r="N412" s="17"/>
    </row>
    <row r="413">
      <c r="A413" s="9"/>
      <c r="B413" s="38">
        <f t="shared" si="5"/>
        <v>411</v>
      </c>
      <c r="C413" s="34">
        <v>42209.0</v>
      </c>
      <c r="D413" s="12" t="str">
        <f>hyperlink("http://www.rottentomatoes.com/m/princess_bride/?search=the%20princess%20brid","Princess Bride, The")</f>
        <v>Princess Bride, The</v>
      </c>
      <c r="E413" s="33" t="s">
        <v>201</v>
      </c>
      <c r="F413" s="33">
        <v>14.0</v>
      </c>
      <c r="G413" s="36">
        <v>2015.0</v>
      </c>
      <c r="H413" s="33" t="s">
        <v>58</v>
      </c>
      <c r="I413" s="33" t="s">
        <v>82</v>
      </c>
      <c r="J413" s="57">
        <v>1987.0</v>
      </c>
      <c r="K413" s="58">
        <v>0.97</v>
      </c>
      <c r="L413" s="37">
        <v>98.0</v>
      </c>
      <c r="M413" s="59">
        <f t="shared" si="65"/>
        <v>0.9897959184</v>
      </c>
      <c r="N413" s="17"/>
    </row>
    <row r="414">
      <c r="A414" s="9"/>
      <c r="B414" s="38">
        <f t="shared" si="5"/>
        <v>412</v>
      </c>
      <c r="C414" s="70"/>
      <c r="D414" s="48" t="s">
        <v>354</v>
      </c>
      <c r="E414" s="13" t="s">
        <v>201</v>
      </c>
      <c r="F414" s="13">
        <v>14.0</v>
      </c>
      <c r="G414" s="35" t="str">
        <f t="shared" ref="G414:G418" si="78">IF(C414&gt;40908,"2012",IF(C414&gt;40543,"2011",IF(C414&gt;40178,"2010",IF(C414&gt;=39814,"2009",IF(C414&gt;=39448,"2008",IF(C414&gt;39082,"2007",IF(C414&lt;38717,"Pre-2006","2006")))))))</f>
        <v>Pre-2006</v>
      </c>
      <c r="H414" s="71"/>
      <c r="I414" s="71"/>
      <c r="J414" s="61"/>
      <c r="K414" s="62"/>
      <c r="L414" s="63"/>
      <c r="M414" s="59" t="str">
        <f t="shared" si="65"/>
        <v>NA</v>
      </c>
      <c r="N414" s="17"/>
    </row>
    <row r="415">
      <c r="A415" s="9"/>
      <c r="B415" s="38">
        <f t="shared" si="5"/>
        <v>413</v>
      </c>
      <c r="C415" s="70"/>
      <c r="D415" s="48" t="s">
        <v>355</v>
      </c>
      <c r="E415" s="13" t="s">
        <v>201</v>
      </c>
      <c r="F415" s="13">
        <v>14.0</v>
      </c>
      <c r="G415" s="35" t="str">
        <f t="shared" si="78"/>
        <v>Pre-2006</v>
      </c>
      <c r="H415" s="71"/>
      <c r="I415" s="71"/>
      <c r="J415" s="61"/>
      <c r="K415" s="62"/>
      <c r="L415" s="63"/>
      <c r="M415" s="59" t="str">
        <f t="shared" si="65"/>
        <v>NA</v>
      </c>
      <c r="N415" s="17"/>
    </row>
    <row r="416">
      <c r="A416" s="9"/>
      <c r="B416" s="38">
        <f t="shared" si="5"/>
        <v>414</v>
      </c>
      <c r="C416" s="70"/>
      <c r="D416" s="48" t="s">
        <v>356</v>
      </c>
      <c r="E416" s="13" t="s">
        <v>201</v>
      </c>
      <c r="F416" s="13">
        <v>14.0</v>
      </c>
      <c r="G416" s="35" t="str">
        <f t="shared" si="78"/>
        <v>Pre-2006</v>
      </c>
      <c r="H416" s="71"/>
      <c r="I416" s="71"/>
      <c r="J416" s="61"/>
      <c r="K416" s="62"/>
      <c r="L416" s="63"/>
      <c r="M416" s="59" t="str">
        <f t="shared" si="65"/>
        <v>NA</v>
      </c>
      <c r="N416" s="17"/>
    </row>
    <row r="417">
      <c r="A417" s="9"/>
      <c r="B417" s="38">
        <f t="shared" si="5"/>
        <v>415</v>
      </c>
      <c r="C417" s="34">
        <v>39768.0</v>
      </c>
      <c r="D417" s="48" t="s">
        <v>357</v>
      </c>
      <c r="E417" s="13" t="s">
        <v>201</v>
      </c>
      <c r="F417" s="13">
        <v>14.0</v>
      </c>
      <c r="G417" s="35" t="str">
        <f t="shared" si="78"/>
        <v>2008</v>
      </c>
      <c r="H417" s="13" t="s">
        <v>27</v>
      </c>
      <c r="I417" s="13" t="s">
        <v>26</v>
      </c>
      <c r="J417" s="14">
        <v>2008.0</v>
      </c>
      <c r="K417" s="15">
        <v>0.66</v>
      </c>
      <c r="L417" s="14">
        <v>106.0</v>
      </c>
      <c r="M417" s="16">
        <f t="shared" si="65"/>
        <v>0.6226415094</v>
      </c>
      <c r="N417" s="17"/>
    </row>
    <row r="418">
      <c r="A418" s="9"/>
      <c r="B418" s="38">
        <f t="shared" si="5"/>
        <v>416</v>
      </c>
      <c r="C418" s="70"/>
      <c r="D418" s="48" t="s">
        <v>358</v>
      </c>
      <c r="E418" s="13" t="s">
        <v>201</v>
      </c>
      <c r="F418" s="13">
        <v>14.0</v>
      </c>
      <c r="G418" s="35" t="str">
        <f t="shared" si="78"/>
        <v>Pre-2006</v>
      </c>
      <c r="H418" s="71"/>
      <c r="I418" s="71"/>
      <c r="J418" s="61"/>
      <c r="K418" s="62"/>
      <c r="L418" s="63"/>
      <c r="M418" s="59" t="str">
        <f t="shared" si="65"/>
        <v>NA</v>
      </c>
      <c r="N418" s="17"/>
    </row>
    <row r="419">
      <c r="A419" s="9"/>
      <c r="B419" s="38">
        <f t="shared" si="5"/>
        <v>417</v>
      </c>
      <c r="C419" s="75">
        <v>45753.0</v>
      </c>
      <c r="D419" s="12" t="str">
        <f>hyperlink("https://www.rottentomatoes.com/m/a_real_pain","Real Pain, A")</f>
        <v>Real Pain, A</v>
      </c>
      <c r="E419" s="33" t="s">
        <v>201</v>
      </c>
      <c r="F419" s="33">
        <v>14.0</v>
      </c>
      <c r="G419" s="36">
        <v>2025.0</v>
      </c>
      <c r="H419" s="33" t="s">
        <v>126</v>
      </c>
      <c r="I419" s="33" t="s">
        <v>47</v>
      </c>
      <c r="J419" s="57">
        <v>2024.0</v>
      </c>
      <c r="K419" s="58">
        <v>0.96</v>
      </c>
      <c r="L419" s="37">
        <v>89.0</v>
      </c>
      <c r="M419" s="16">
        <f t="shared" si="65"/>
        <v>1.078651685</v>
      </c>
      <c r="N419" s="17"/>
    </row>
    <row r="420">
      <c r="A420" s="9"/>
      <c r="B420" s="38">
        <f t="shared" si="5"/>
        <v>418</v>
      </c>
      <c r="C420" s="70"/>
      <c r="D420" s="48" t="s">
        <v>359</v>
      </c>
      <c r="E420" s="13" t="s">
        <v>201</v>
      </c>
      <c r="F420" s="13">
        <v>14.0</v>
      </c>
      <c r="G420" s="35" t="str">
        <f>IF(C420&gt;40908,"2012",IF(C420&gt;40543,"2011",IF(C420&gt;40178,"2010",IF(C420&gt;=39814,"2009",IF(C420&gt;=39448,"2008",IF(C420&gt;39082,"2007",IF(C420&lt;38717,"Pre-2006","2006")))))))</f>
        <v>Pre-2006</v>
      </c>
      <c r="H420" s="71"/>
      <c r="I420" s="71"/>
      <c r="J420" s="61"/>
      <c r="K420" s="62"/>
      <c r="L420" s="63"/>
      <c r="M420" s="59" t="str">
        <f t="shared" si="65"/>
        <v>NA</v>
      </c>
      <c r="N420" s="17"/>
    </row>
    <row r="421">
      <c r="A421" s="9"/>
      <c r="B421" s="38">
        <f t="shared" si="5"/>
        <v>419</v>
      </c>
      <c r="C421" s="34">
        <v>44842.0</v>
      </c>
      <c r="D421" s="12" t="str">
        <f>hyperlink("https://www.rottentomatoes.com/m/the_redeem_team","Redeem Team, The")</f>
        <v>Redeem Team, The</v>
      </c>
      <c r="E421" s="33" t="s">
        <v>201</v>
      </c>
      <c r="F421" s="33">
        <v>14.0</v>
      </c>
      <c r="G421" s="36">
        <v>2022.0</v>
      </c>
      <c r="H421" s="33" t="s">
        <v>58</v>
      </c>
      <c r="I421" s="33" t="s">
        <v>77</v>
      </c>
      <c r="J421" s="57">
        <v>2022.0</v>
      </c>
      <c r="K421" s="82">
        <v>92.0</v>
      </c>
      <c r="L421" s="37" t="s">
        <v>169</v>
      </c>
      <c r="M421" s="72" t="s">
        <v>169</v>
      </c>
      <c r="N421" s="17"/>
    </row>
    <row r="422">
      <c r="A422" s="9"/>
      <c r="B422" s="38">
        <f t="shared" si="5"/>
        <v>420</v>
      </c>
      <c r="C422" s="34">
        <v>38893.0</v>
      </c>
      <c r="D422" s="48" t="s">
        <v>360</v>
      </c>
      <c r="E422" s="13" t="s">
        <v>201</v>
      </c>
      <c r="F422" s="13">
        <v>14.0</v>
      </c>
      <c r="G422" s="35" t="str">
        <f>IF(C422&gt;40908,"2012",IF(C422&gt;40543,"2011",IF(C422&gt;40178,"2010",IF(C422&gt;=39814,"2009",IF(C422&gt;=39448,"2008",IF(C422&gt;39082,"2007",IF(C422&lt;38717,"Pre-2006","2006")))))))</f>
        <v>2006</v>
      </c>
      <c r="H422" s="71"/>
      <c r="I422" s="71"/>
      <c r="J422" s="61"/>
      <c r="K422" s="62"/>
      <c r="L422" s="63"/>
      <c r="M422" s="59" t="str">
        <f t="shared" ref="M422:M451" si="79">if(iserror(K422/L422*100),"NA",K422/L422*100)</f>
        <v>NA</v>
      </c>
      <c r="N422" s="17"/>
    </row>
    <row r="423">
      <c r="A423" s="9"/>
      <c r="B423" s="38">
        <f t="shared" si="5"/>
        <v>421</v>
      </c>
      <c r="C423" s="34">
        <v>44019.0</v>
      </c>
      <c r="D423" s="12" t="str">
        <f>hyperlink("https://www.rottentomatoes.com/m/the_revenant_2015","Revenant, The")</f>
        <v>Revenant, The</v>
      </c>
      <c r="E423" s="33" t="s">
        <v>201</v>
      </c>
      <c r="F423" s="33">
        <v>14.0</v>
      </c>
      <c r="G423" s="36">
        <v>2020.0</v>
      </c>
      <c r="H423" s="33" t="s">
        <v>58</v>
      </c>
      <c r="I423" s="33" t="s">
        <v>47</v>
      </c>
      <c r="J423" s="37">
        <v>2015.0</v>
      </c>
      <c r="K423" s="15">
        <v>0.78</v>
      </c>
      <c r="L423" s="37">
        <v>156.0</v>
      </c>
      <c r="M423" s="59">
        <f t="shared" si="79"/>
        <v>0.5</v>
      </c>
      <c r="N423" s="17"/>
    </row>
    <row r="424">
      <c r="A424" s="9"/>
      <c r="B424" s="38">
        <f t="shared" si="5"/>
        <v>422</v>
      </c>
      <c r="C424" s="34">
        <v>39477.0</v>
      </c>
      <c r="D424" s="48" t="s">
        <v>361</v>
      </c>
      <c r="E424" s="13" t="s">
        <v>201</v>
      </c>
      <c r="F424" s="13">
        <v>14.0</v>
      </c>
      <c r="G424" s="35" t="str">
        <f t="shared" ref="G424:G428" si="80">IF(C424&gt;40908,"2012",IF(C424&gt;40543,"2011",IF(C424&gt;40178,"2010",IF(C424&gt;=39814,"2009",IF(C424&gt;=39448,"2008",IF(C424&gt;39082,"2007",IF(C424&lt;38717,"Pre-2006","2006")))))))</f>
        <v>2008</v>
      </c>
      <c r="H424" s="13" t="s">
        <v>17</v>
      </c>
      <c r="I424" s="13" t="s">
        <v>21</v>
      </c>
      <c r="J424" s="14">
        <v>1990.0</v>
      </c>
      <c r="K424" s="15">
        <v>0.96</v>
      </c>
      <c r="L424" s="14">
        <v>109.0</v>
      </c>
      <c r="M424" s="16">
        <f t="shared" si="79"/>
        <v>0.880733945</v>
      </c>
      <c r="N424" s="17"/>
    </row>
    <row r="425">
      <c r="A425" s="9"/>
      <c r="B425" s="38">
        <f t="shared" si="5"/>
        <v>423</v>
      </c>
      <c r="C425" s="33"/>
      <c r="D425" s="48" t="s">
        <v>362</v>
      </c>
      <c r="E425" s="13" t="s">
        <v>201</v>
      </c>
      <c r="F425" s="13">
        <v>14.0</v>
      </c>
      <c r="G425" s="35" t="str">
        <f t="shared" si="80"/>
        <v>Pre-2006</v>
      </c>
      <c r="H425" s="71"/>
      <c r="I425" s="71"/>
      <c r="J425" s="61"/>
      <c r="K425" s="62"/>
      <c r="L425" s="63"/>
      <c r="M425" s="59" t="str">
        <f t="shared" si="79"/>
        <v>NA</v>
      </c>
      <c r="N425" s="17"/>
    </row>
    <row r="426">
      <c r="A426" s="9"/>
      <c r="B426" s="38">
        <f t="shared" si="5"/>
        <v>424</v>
      </c>
      <c r="C426" s="34">
        <v>38777.0</v>
      </c>
      <c r="D426" s="48" t="s">
        <v>363</v>
      </c>
      <c r="E426" s="13" t="s">
        <v>201</v>
      </c>
      <c r="F426" s="13">
        <v>14.0</v>
      </c>
      <c r="G426" s="35" t="str">
        <f t="shared" si="80"/>
        <v>2006</v>
      </c>
      <c r="H426" s="71"/>
      <c r="I426" s="71"/>
      <c r="J426" s="61"/>
      <c r="K426" s="62"/>
      <c r="L426" s="63"/>
      <c r="M426" s="59" t="str">
        <f t="shared" si="79"/>
        <v>NA</v>
      </c>
      <c r="N426" s="17"/>
    </row>
    <row r="427">
      <c r="A427" s="9"/>
      <c r="B427" s="38">
        <f t="shared" si="5"/>
        <v>425</v>
      </c>
      <c r="C427" s="70"/>
      <c r="D427" s="48" t="s">
        <v>364</v>
      </c>
      <c r="E427" s="13" t="s">
        <v>201</v>
      </c>
      <c r="F427" s="13">
        <v>14.0</v>
      </c>
      <c r="G427" s="35" t="str">
        <f t="shared" si="80"/>
        <v>Pre-2006</v>
      </c>
      <c r="H427" s="71"/>
      <c r="I427" s="71"/>
      <c r="J427" s="61"/>
      <c r="K427" s="62"/>
      <c r="L427" s="63"/>
      <c r="M427" s="59" t="str">
        <f t="shared" si="79"/>
        <v>NA</v>
      </c>
      <c r="N427" s="17"/>
    </row>
    <row r="428">
      <c r="A428" s="9"/>
      <c r="B428" s="38">
        <f t="shared" si="5"/>
        <v>426</v>
      </c>
      <c r="C428" s="70"/>
      <c r="D428" s="48" t="s">
        <v>365</v>
      </c>
      <c r="E428" s="13" t="s">
        <v>201</v>
      </c>
      <c r="F428" s="13">
        <v>14.0</v>
      </c>
      <c r="G428" s="35" t="str">
        <f t="shared" si="80"/>
        <v>Pre-2006</v>
      </c>
      <c r="H428" s="71"/>
      <c r="I428" s="71"/>
      <c r="J428" s="61"/>
      <c r="K428" s="62"/>
      <c r="L428" s="63"/>
      <c r="M428" s="59" t="str">
        <f t="shared" si="79"/>
        <v>NA</v>
      </c>
      <c r="N428" s="17"/>
    </row>
    <row r="429">
      <c r="A429" s="9"/>
      <c r="B429" s="38">
        <f t="shared" si="5"/>
        <v>427</v>
      </c>
      <c r="C429" s="34">
        <v>44023.0</v>
      </c>
      <c r="D429" s="12" t="str">
        <f>hyperlink("https://www.rottentomatoes.com/m/roma_2018","Roma")</f>
        <v>Roma</v>
      </c>
      <c r="E429" s="33" t="s">
        <v>201</v>
      </c>
      <c r="F429" s="33">
        <v>14.0</v>
      </c>
      <c r="G429" s="36">
        <v>2020.0</v>
      </c>
      <c r="H429" s="33" t="s">
        <v>58</v>
      </c>
      <c r="I429" s="33" t="s">
        <v>47</v>
      </c>
      <c r="J429" s="57">
        <v>2018.0</v>
      </c>
      <c r="K429" s="58">
        <v>0.96</v>
      </c>
      <c r="L429" s="37">
        <v>135.0</v>
      </c>
      <c r="M429" s="59">
        <f t="shared" si="79"/>
        <v>0.7111111111</v>
      </c>
      <c r="N429" s="17"/>
    </row>
    <row r="430">
      <c r="A430" s="9"/>
      <c r="B430" s="38">
        <f t="shared" si="5"/>
        <v>428</v>
      </c>
      <c r="C430" s="70"/>
      <c r="D430" s="48" t="s">
        <v>366</v>
      </c>
      <c r="E430" s="13" t="s">
        <v>201</v>
      </c>
      <c r="F430" s="13">
        <v>14.0</v>
      </c>
      <c r="G430" s="35" t="str">
        <f t="shared" ref="G430:G431" si="81">IF(C430&gt;40908,"2012",IF(C430&gt;40543,"2011",IF(C430&gt;40178,"2010",IF(C430&gt;=39814,"2009",IF(C430&gt;=39448,"2008",IF(C430&gt;39082,"2007",IF(C430&lt;38717,"Pre-2006","2006")))))))</f>
        <v>Pre-2006</v>
      </c>
      <c r="H430" s="71"/>
      <c r="I430" s="71"/>
      <c r="J430" s="61"/>
      <c r="K430" s="62"/>
      <c r="L430" s="63"/>
      <c r="M430" s="59" t="str">
        <f t="shared" si="79"/>
        <v>NA</v>
      </c>
      <c r="N430" s="17"/>
    </row>
    <row r="431">
      <c r="A431" s="9"/>
      <c r="B431" s="38">
        <f t="shared" si="5"/>
        <v>429</v>
      </c>
      <c r="C431" s="70"/>
      <c r="D431" s="48" t="s">
        <v>367</v>
      </c>
      <c r="E431" s="13" t="s">
        <v>201</v>
      </c>
      <c r="F431" s="13">
        <v>14.0</v>
      </c>
      <c r="G431" s="35" t="str">
        <f t="shared" si="81"/>
        <v>Pre-2006</v>
      </c>
      <c r="H431" s="71"/>
      <c r="I431" s="71"/>
      <c r="J431" s="61"/>
      <c r="K431" s="62"/>
      <c r="L431" s="63"/>
      <c r="M431" s="59" t="str">
        <f t="shared" si="79"/>
        <v>NA</v>
      </c>
      <c r="N431" s="17"/>
    </row>
    <row r="432">
      <c r="A432" s="9"/>
      <c r="B432" s="38">
        <f t="shared" si="5"/>
        <v>430</v>
      </c>
      <c r="C432" s="34">
        <v>41391.0</v>
      </c>
      <c r="D432" s="48" t="s">
        <v>368</v>
      </c>
      <c r="E432" s="13" t="s">
        <v>201</v>
      </c>
      <c r="F432" s="13">
        <v>14.0</v>
      </c>
      <c r="G432" s="13">
        <v>2013.0</v>
      </c>
      <c r="H432" s="13" t="s">
        <v>25</v>
      </c>
      <c r="I432" s="13" t="s">
        <v>47</v>
      </c>
      <c r="J432" s="55">
        <v>2012.0</v>
      </c>
      <c r="K432" s="56">
        <v>0.91</v>
      </c>
      <c r="L432" s="14">
        <v>86.0</v>
      </c>
      <c r="M432" s="16">
        <f t="shared" si="79"/>
        <v>1.058139535</v>
      </c>
      <c r="N432" s="17"/>
    </row>
    <row r="433">
      <c r="A433" s="9"/>
      <c r="B433" s="38">
        <f t="shared" si="5"/>
        <v>431</v>
      </c>
      <c r="C433" s="70"/>
      <c r="D433" s="48" t="s">
        <v>369</v>
      </c>
      <c r="E433" s="13" t="s">
        <v>201</v>
      </c>
      <c r="F433" s="13">
        <v>14.0</v>
      </c>
      <c r="G433" s="35" t="str">
        <f t="shared" ref="G433:G434" si="82">IF(C433&gt;40908,"2012",IF(C433&gt;40543,"2011",IF(C433&gt;40178,"2010",IF(C433&gt;=39814,"2009",IF(C433&gt;=39448,"2008",IF(C433&gt;39082,"2007",IF(C433&lt;38717,"Pre-2006","2006")))))))</f>
        <v>Pre-2006</v>
      </c>
      <c r="H433" s="71"/>
      <c r="I433" s="71"/>
      <c r="J433" s="61"/>
      <c r="K433" s="62"/>
      <c r="L433" s="63"/>
      <c r="M433" s="59" t="str">
        <f t="shared" si="79"/>
        <v>NA</v>
      </c>
      <c r="N433" s="17"/>
    </row>
    <row r="434">
      <c r="A434" s="9"/>
      <c r="B434" s="38">
        <f t="shared" si="5"/>
        <v>432</v>
      </c>
      <c r="C434" s="70"/>
      <c r="D434" s="48" t="s">
        <v>370</v>
      </c>
      <c r="E434" s="13" t="s">
        <v>201</v>
      </c>
      <c r="F434" s="13">
        <v>14.0</v>
      </c>
      <c r="G434" s="35" t="str">
        <f t="shared" si="82"/>
        <v>Pre-2006</v>
      </c>
      <c r="H434" s="71"/>
      <c r="I434" s="71"/>
      <c r="J434" s="61"/>
      <c r="K434" s="62"/>
      <c r="L434" s="63"/>
      <c r="M434" s="59" t="str">
        <f t="shared" si="79"/>
        <v>NA</v>
      </c>
      <c r="N434" s="17"/>
    </row>
    <row r="435">
      <c r="A435" s="9"/>
      <c r="B435" s="38">
        <f t="shared" si="5"/>
        <v>433</v>
      </c>
      <c r="C435" s="34">
        <v>44838.0</v>
      </c>
      <c r="D435" s="12" t="str">
        <f>hyperlink("https://www.rottentomatoes.com/m/school_ties","School Ties")</f>
        <v>School Ties</v>
      </c>
      <c r="E435" s="33" t="s">
        <v>201</v>
      </c>
      <c r="F435" s="33">
        <v>14.0</v>
      </c>
      <c r="G435" s="36">
        <v>2022.0</v>
      </c>
      <c r="H435" s="33" t="s">
        <v>58</v>
      </c>
      <c r="I435" s="33" t="s">
        <v>47</v>
      </c>
      <c r="J435" s="57">
        <v>1992.0</v>
      </c>
      <c r="K435" s="58">
        <v>0.6</v>
      </c>
      <c r="L435" s="37">
        <v>107.0</v>
      </c>
      <c r="M435" s="16">
        <f t="shared" si="79"/>
        <v>0.5607476636</v>
      </c>
      <c r="N435" s="17"/>
    </row>
    <row r="436">
      <c r="A436" s="9"/>
      <c r="B436" s="38">
        <f t="shared" si="5"/>
        <v>434</v>
      </c>
      <c r="C436" s="70"/>
      <c r="D436" s="48" t="s">
        <v>371</v>
      </c>
      <c r="E436" s="13" t="s">
        <v>201</v>
      </c>
      <c r="F436" s="13">
        <v>14.0</v>
      </c>
      <c r="G436" s="35" t="str">
        <f t="shared" ref="G436:G437" si="83">IF(C436&gt;40908,"2012",IF(C436&gt;40543,"2011",IF(C436&gt;40178,"2010",IF(C436&gt;=39814,"2009",IF(C436&gt;=39448,"2008",IF(C436&gt;39082,"2007",IF(C436&lt;38717,"Pre-2006","2006")))))))</f>
        <v>Pre-2006</v>
      </c>
      <c r="H436" s="71"/>
      <c r="I436" s="71"/>
      <c r="J436" s="61"/>
      <c r="K436" s="62"/>
      <c r="L436" s="63"/>
      <c r="M436" s="59" t="str">
        <f t="shared" si="79"/>
        <v>NA</v>
      </c>
      <c r="N436" s="17"/>
    </row>
    <row r="437">
      <c r="A437" s="9"/>
      <c r="B437" s="38">
        <f t="shared" si="5"/>
        <v>435</v>
      </c>
      <c r="C437" s="70"/>
      <c r="D437" s="48" t="s">
        <v>372</v>
      </c>
      <c r="E437" s="13" t="s">
        <v>201</v>
      </c>
      <c r="F437" s="13">
        <v>14.0</v>
      </c>
      <c r="G437" s="35" t="str">
        <f t="shared" si="83"/>
        <v>Pre-2006</v>
      </c>
      <c r="H437" s="71"/>
      <c r="I437" s="71"/>
      <c r="J437" s="61"/>
      <c r="K437" s="62"/>
      <c r="L437" s="63"/>
      <c r="M437" s="59" t="str">
        <f t="shared" si="79"/>
        <v>NA</v>
      </c>
      <c r="N437" s="17"/>
    </row>
    <row r="438">
      <c r="A438" s="9"/>
      <c r="B438" s="38">
        <f t="shared" si="5"/>
        <v>436</v>
      </c>
      <c r="C438" s="34">
        <v>41852.0</v>
      </c>
      <c r="D438" s="12" t="str">
        <f>hyperlink("http://www.rottentomatoes.com/m/senna/","Senna")</f>
        <v>Senna</v>
      </c>
      <c r="E438" s="13" t="s">
        <v>201</v>
      </c>
      <c r="F438" s="13">
        <v>14.0</v>
      </c>
      <c r="G438" s="13">
        <v>2014.0</v>
      </c>
      <c r="H438" s="13" t="s">
        <v>373</v>
      </c>
      <c r="I438" s="13" t="s">
        <v>47</v>
      </c>
      <c r="J438" s="55">
        <v>2011.0</v>
      </c>
      <c r="K438" s="56">
        <v>0.92</v>
      </c>
      <c r="L438" s="14">
        <v>104.0</v>
      </c>
      <c r="M438" s="16">
        <f t="shared" si="79"/>
        <v>0.8846153846</v>
      </c>
      <c r="N438" s="17"/>
    </row>
    <row r="439">
      <c r="A439" s="9"/>
      <c r="B439" s="38">
        <f t="shared" si="5"/>
        <v>437</v>
      </c>
      <c r="C439" s="34">
        <v>39455.0</v>
      </c>
      <c r="D439" s="48" t="s">
        <v>374</v>
      </c>
      <c r="E439" s="13" t="s">
        <v>201</v>
      </c>
      <c r="F439" s="13">
        <v>14.0</v>
      </c>
      <c r="G439" s="35" t="str">
        <f t="shared" ref="G439:G441" si="84">IF(C439&gt;40908,"2012",IF(C439&gt;40543,"2011",IF(C439&gt;40178,"2010",IF(C439&gt;=39814,"2009",IF(C439&gt;=39448,"2008",IF(C439&gt;39082,"2007",IF(C439&lt;38717,"Pre-2006","2006")))))))</f>
        <v>2008</v>
      </c>
      <c r="H439" s="13" t="s">
        <v>126</v>
      </c>
      <c r="I439" s="13" t="s">
        <v>126</v>
      </c>
      <c r="J439" s="14">
        <v>1995.0</v>
      </c>
      <c r="K439" s="15">
        <v>1.0</v>
      </c>
      <c r="L439" s="14">
        <v>137.0</v>
      </c>
      <c r="M439" s="16">
        <f t="shared" si="79"/>
        <v>0.7299270073</v>
      </c>
      <c r="N439" s="17"/>
    </row>
    <row r="440">
      <c r="A440" s="9"/>
      <c r="B440" s="38">
        <f t="shared" si="5"/>
        <v>438</v>
      </c>
      <c r="C440" s="70"/>
      <c r="D440" s="48" t="s">
        <v>375</v>
      </c>
      <c r="E440" s="13" t="s">
        <v>201</v>
      </c>
      <c r="F440" s="13">
        <v>14.0</v>
      </c>
      <c r="G440" s="35" t="str">
        <f t="shared" si="84"/>
        <v>Pre-2006</v>
      </c>
      <c r="H440" s="71"/>
      <c r="I440" s="71"/>
      <c r="J440" s="61"/>
      <c r="K440" s="62"/>
      <c r="L440" s="63"/>
      <c r="M440" s="59" t="str">
        <f t="shared" si="79"/>
        <v>NA</v>
      </c>
      <c r="N440" s="17"/>
    </row>
    <row r="441">
      <c r="A441" s="9"/>
      <c r="B441" s="38">
        <f t="shared" si="5"/>
        <v>439</v>
      </c>
      <c r="C441" s="70"/>
      <c r="D441" s="48" t="s">
        <v>376</v>
      </c>
      <c r="E441" s="13" t="s">
        <v>201</v>
      </c>
      <c r="F441" s="13">
        <v>14.0</v>
      </c>
      <c r="G441" s="35" t="str">
        <f t="shared" si="84"/>
        <v>Pre-2006</v>
      </c>
      <c r="H441" s="71"/>
      <c r="I441" s="71"/>
      <c r="J441" s="61"/>
      <c r="K441" s="62"/>
      <c r="L441" s="63"/>
      <c r="M441" s="59" t="str">
        <f t="shared" si="79"/>
        <v>NA</v>
      </c>
      <c r="N441" s="17"/>
    </row>
    <row r="442">
      <c r="A442" s="9"/>
      <c r="B442" s="38">
        <f t="shared" si="5"/>
        <v>440</v>
      </c>
      <c r="C442" s="34">
        <v>43208.0</v>
      </c>
      <c r="D442" s="12" t="str">
        <f>hyperlink("https://www.rottentomatoes.com/m/shot_caller","Shot Caller")</f>
        <v>Shot Caller</v>
      </c>
      <c r="E442" s="33" t="s">
        <v>201</v>
      </c>
      <c r="F442" s="33">
        <v>14.0</v>
      </c>
      <c r="G442" s="36">
        <v>2018.0</v>
      </c>
      <c r="H442" s="33" t="s">
        <v>58</v>
      </c>
      <c r="I442" s="33" t="s">
        <v>47</v>
      </c>
      <c r="J442" s="57">
        <v>2017.0</v>
      </c>
      <c r="K442" s="58">
        <v>0.63</v>
      </c>
      <c r="L442" s="37">
        <v>121.0</v>
      </c>
      <c r="M442" s="59">
        <f t="shared" si="79"/>
        <v>0.520661157</v>
      </c>
      <c r="N442" s="17"/>
    </row>
    <row r="443">
      <c r="A443" s="9"/>
      <c r="B443" s="38">
        <f t="shared" si="5"/>
        <v>441</v>
      </c>
      <c r="C443" s="70"/>
      <c r="D443" s="48" t="s">
        <v>377</v>
      </c>
      <c r="E443" s="13" t="s">
        <v>201</v>
      </c>
      <c r="F443" s="13">
        <v>14.0</v>
      </c>
      <c r="G443" s="35" t="str">
        <f>IF(C443&gt;40908,"2012",IF(C443&gt;40543,"2011",IF(C443&gt;40178,"2010",IF(C443&gt;=39814,"2009",IF(C443&gt;=39448,"2008",IF(C443&gt;39082,"2007",IF(C443&lt;38717,"Pre-2006","2006")))))))</f>
        <v>Pre-2006</v>
      </c>
      <c r="H443" s="71"/>
      <c r="I443" s="71"/>
      <c r="J443" s="61"/>
      <c r="K443" s="62"/>
      <c r="L443" s="63"/>
      <c r="M443" s="59" t="str">
        <f t="shared" si="79"/>
        <v>NA</v>
      </c>
      <c r="N443" s="17"/>
    </row>
    <row r="444">
      <c r="A444" s="9"/>
      <c r="B444" s="38">
        <f t="shared" si="5"/>
        <v>442</v>
      </c>
      <c r="C444" s="34">
        <v>44750.0</v>
      </c>
      <c r="D444" s="12" t="str">
        <f>hyperlink("https://www.rottentomatoes.com/m/crimson_tide","Crimson Tide")</f>
        <v>Crimson Tide</v>
      </c>
      <c r="E444" s="33" t="s">
        <v>201</v>
      </c>
      <c r="F444" s="33">
        <v>14.0</v>
      </c>
      <c r="G444" s="36">
        <v>2022.0</v>
      </c>
      <c r="H444" s="33" t="s">
        <v>373</v>
      </c>
      <c r="I444" s="33" t="s">
        <v>47</v>
      </c>
      <c r="J444" s="57">
        <v>1995.0</v>
      </c>
      <c r="K444" s="58">
        <v>0.88</v>
      </c>
      <c r="L444" s="37">
        <v>115.0</v>
      </c>
      <c r="M444" s="59">
        <f t="shared" si="79"/>
        <v>0.7652173913</v>
      </c>
      <c r="N444" s="17"/>
    </row>
    <row r="445">
      <c r="A445" s="9"/>
      <c r="B445" s="38">
        <f t="shared" si="5"/>
        <v>443</v>
      </c>
      <c r="C445" s="70"/>
      <c r="D445" s="48" t="s">
        <v>378</v>
      </c>
      <c r="E445" s="13" t="s">
        <v>201</v>
      </c>
      <c r="F445" s="13">
        <v>14.0</v>
      </c>
      <c r="G445" s="35" t="str">
        <f>IF(C445&gt;40908,"2012",IF(C445&gt;40543,"2011",IF(C445&gt;40178,"2010",IF(C445&gt;=39814,"2009",IF(C445&gt;=39448,"2008",IF(C445&gt;39082,"2007",IF(C445&lt;38717,"Pre-2006","2006")))))))</f>
        <v>Pre-2006</v>
      </c>
      <c r="H445" s="71"/>
      <c r="I445" s="71"/>
      <c r="J445" s="61"/>
      <c r="K445" s="62"/>
      <c r="L445" s="63"/>
      <c r="M445" s="59" t="str">
        <f t="shared" si="79"/>
        <v>NA</v>
      </c>
      <c r="N445" s="17"/>
    </row>
    <row r="446">
      <c r="A446" s="9"/>
      <c r="B446" s="38">
        <f t="shared" si="5"/>
        <v>444</v>
      </c>
      <c r="C446" s="34">
        <v>42315.0</v>
      </c>
      <c r="D446" s="12" t="str">
        <f>hyperlink("http://www.rottentomatoes.com/m/spectre_2015/?search=spectre","Spectre")</f>
        <v>Spectre</v>
      </c>
      <c r="E446" s="33" t="s">
        <v>201</v>
      </c>
      <c r="F446" s="33">
        <v>14.0</v>
      </c>
      <c r="G446" s="36">
        <v>2015.0</v>
      </c>
      <c r="H446" s="33" t="s">
        <v>143</v>
      </c>
      <c r="I446" s="33" t="s">
        <v>26</v>
      </c>
      <c r="J446" s="57">
        <v>2015.0</v>
      </c>
      <c r="K446" s="58">
        <v>0.63</v>
      </c>
      <c r="L446" s="37">
        <v>150.0</v>
      </c>
      <c r="M446" s="59">
        <f t="shared" si="79"/>
        <v>0.42</v>
      </c>
      <c r="N446" s="17"/>
    </row>
    <row r="447">
      <c r="A447" s="9"/>
      <c r="B447" s="38">
        <f t="shared" si="5"/>
        <v>445</v>
      </c>
      <c r="C447" s="34"/>
      <c r="D447" s="12" t="str">
        <f>hyperlink("https://www.rottentomatoes.com/m/spider_man_homecoming","Spider-man: Homecoming")</f>
        <v>Spider-man: Homecoming</v>
      </c>
      <c r="E447" s="33" t="s">
        <v>201</v>
      </c>
      <c r="F447" s="33">
        <v>14.0</v>
      </c>
      <c r="G447" s="36">
        <v>2017.0</v>
      </c>
      <c r="H447" s="33" t="s">
        <v>379</v>
      </c>
      <c r="I447" s="33" t="s">
        <v>26</v>
      </c>
      <c r="J447" s="57">
        <v>2017.0</v>
      </c>
      <c r="K447" s="58">
        <v>0.92</v>
      </c>
      <c r="L447" s="37">
        <v>133.0</v>
      </c>
      <c r="M447" s="59">
        <f t="shared" si="79"/>
        <v>0.6917293233</v>
      </c>
      <c r="N447" s="17"/>
    </row>
    <row r="448">
      <c r="A448" s="9"/>
      <c r="B448" s="38">
        <f t="shared" si="5"/>
        <v>446</v>
      </c>
      <c r="C448" s="34">
        <v>42249.0</v>
      </c>
      <c r="D448" s="12" t="str">
        <f>hyperlink("http://www.rottentomatoes.com/m/spy_2015/?search=spy","Spy")</f>
        <v>Spy</v>
      </c>
      <c r="E448" s="33" t="s">
        <v>201</v>
      </c>
      <c r="F448" s="33">
        <v>14.0</v>
      </c>
      <c r="G448" s="36">
        <v>2015.0</v>
      </c>
      <c r="H448" s="33" t="s">
        <v>126</v>
      </c>
      <c r="I448" s="33" t="s">
        <v>126</v>
      </c>
      <c r="J448" s="57">
        <v>2015.0</v>
      </c>
      <c r="K448" s="58">
        <v>0.93</v>
      </c>
      <c r="L448" s="37">
        <v>117.0</v>
      </c>
      <c r="M448" s="59">
        <f t="shared" si="79"/>
        <v>0.7948717949</v>
      </c>
      <c r="N448" s="17"/>
    </row>
    <row r="449">
      <c r="A449" s="9"/>
      <c r="B449" s="38">
        <f t="shared" si="5"/>
        <v>447</v>
      </c>
      <c r="C449" s="34"/>
      <c r="D449" s="48" t="s">
        <v>380</v>
      </c>
      <c r="E449" s="13" t="s">
        <v>201</v>
      </c>
      <c r="F449" s="13">
        <v>14.0</v>
      </c>
      <c r="G449" s="35" t="str">
        <f>IF(C449&gt;40908,"2012",IF(C449&gt;40543,"2011",IF(C449&gt;40178,"2010",IF(C449&gt;=39814,"2009",IF(C449&gt;=39448,"2008",IF(C449&gt;39082,"2007",IF(C449&lt;38717,"Pre-2006","2006")))))))</f>
        <v>Pre-2006</v>
      </c>
      <c r="H449" s="71"/>
      <c r="I449" s="71"/>
      <c r="J449" s="61"/>
      <c r="K449" s="62"/>
      <c r="L449" s="63"/>
      <c r="M449" s="59" t="str">
        <f t="shared" si="79"/>
        <v>NA</v>
      </c>
      <c r="N449" s="17"/>
    </row>
    <row r="450">
      <c r="A450" s="9"/>
      <c r="B450" s="38">
        <f t="shared" si="5"/>
        <v>448</v>
      </c>
      <c r="C450" s="34">
        <v>43855.0</v>
      </c>
      <c r="D450" s="12" t="str">
        <f>hyperlink("https://www.rottentomatoes.com/m/star_wars_the_rise_of_skywalker","Star Wars: The Rise of Skywalker")</f>
        <v>Star Wars: The Rise of Skywalker</v>
      </c>
      <c r="E450" s="33" t="s">
        <v>201</v>
      </c>
      <c r="F450" s="33">
        <v>14.0</v>
      </c>
      <c r="G450" s="36">
        <v>2020.0</v>
      </c>
      <c r="H450" s="33" t="s">
        <v>143</v>
      </c>
      <c r="I450" s="33" t="s">
        <v>26</v>
      </c>
      <c r="J450" s="57">
        <v>2020.0</v>
      </c>
      <c r="K450" s="58">
        <v>0.52</v>
      </c>
      <c r="L450" s="37">
        <v>155.0</v>
      </c>
      <c r="M450" s="59">
        <f t="shared" si="79"/>
        <v>0.335483871</v>
      </c>
      <c r="N450" s="17"/>
    </row>
    <row r="451">
      <c r="A451" s="9"/>
      <c r="B451" s="38">
        <f t="shared" si="5"/>
        <v>449</v>
      </c>
      <c r="C451" s="34"/>
      <c r="D451" s="48" t="s">
        <v>381</v>
      </c>
      <c r="E451" s="13" t="s">
        <v>201</v>
      </c>
      <c r="F451" s="13">
        <v>14.0</v>
      </c>
      <c r="G451" s="35" t="str">
        <f>IF(C451&gt;40908,"2012",IF(C451&gt;40543,"2011",IF(C451&gt;40178,"2010",IF(C451&gt;=39814,"2009",IF(C451&gt;=39448,"2008",IF(C451&gt;39082,"2007",IF(C451&lt;38717,"Pre-2006","2006")))))))</f>
        <v>Pre-2006</v>
      </c>
      <c r="H451" s="71"/>
      <c r="I451" s="71"/>
      <c r="J451" s="61"/>
      <c r="K451" s="62"/>
      <c r="L451" s="63"/>
      <c r="M451" s="59" t="str">
        <f t="shared" si="79"/>
        <v>NA</v>
      </c>
      <c r="N451" s="17"/>
    </row>
    <row r="452">
      <c r="A452" s="9"/>
      <c r="B452" s="38">
        <f t="shared" si="5"/>
        <v>450</v>
      </c>
      <c r="C452" s="34">
        <v>42493.0</v>
      </c>
      <c r="D452" s="12" t="str">
        <f>hyperlink("http://www.rottentomatoes.com/m/straight_outta_compton/?search=straight%20outta%20compton","Straight Outta Compton")</f>
        <v>Straight Outta Compton</v>
      </c>
      <c r="E452" s="33" t="s">
        <v>201</v>
      </c>
      <c r="F452" s="33">
        <v>14.0</v>
      </c>
      <c r="G452" s="36">
        <v>2016.0</v>
      </c>
      <c r="H452" s="13" t="s">
        <v>25</v>
      </c>
      <c r="I452" s="33" t="s">
        <v>47</v>
      </c>
      <c r="J452" s="57">
        <v>2015.0</v>
      </c>
      <c r="K452" s="58">
        <v>0.88</v>
      </c>
      <c r="L452" s="37">
        <v>147.0</v>
      </c>
      <c r="M452" s="59">
        <f>K452/L452*100</f>
        <v>0.5986394558</v>
      </c>
      <c r="N452" s="17"/>
    </row>
    <row r="453">
      <c r="A453" s="9"/>
      <c r="B453" s="38">
        <f t="shared" si="5"/>
        <v>451</v>
      </c>
      <c r="C453" s="34"/>
      <c r="D453" s="48" t="s">
        <v>382</v>
      </c>
      <c r="E453" s="13" t="s">
        <v>201</v>
      </c>
      <c r="F453" s="13">
        <v>14.0</v>
      </c>
      <c r="G453" s="35" t="str">
        <f t="shared" ref="G453:G456" si="85">IF(C453&gt;40908,"2012",IF(C453&gt;40543,"2011",IF(C453&gt;40178,"2010",IF(C453&gt;=39814,"2009",IF(C453&gt;=39448,"2008",IF(C453&gt;39082,"2007",IF(C453&lt;38717,"Pre-2006","2006")))))))</f>
        <v>Pre-2006</v>
      </c>
      <c r="H453" s="71"/>
      <c r="I453" s="71"/>
      <c r="J453" s="61"/>
      <c r="K453" s="62"/>
      <c r="L453" s="63"/>
      <c r="M453" s="59" t="str">
        <f t="shared" ref="M453:M459" si="86">if(iserror(K453/L453*100),"NA",K453/L453*100)</f>
        <v>NA</v>
      </c>
      <c r="N453" s="17"/>
    </row>
    <row r="454">
      <c r="A454" s="9"/>
      <c r="B454" s="38">
        <f t="shared" si="5"/>
        <v>452</v>
      </c>
      <c r="C454" s="70"/>
      <c r="D454" s="48" t="s">
        <v>383</v>
      </c>
      <c r="E454" s="13" t="s">
        <v>201</v>
      </c>
      <c r="F454" s="13">
        <v>14.0</v>
      </c>
      <c r="G454" s="35" t="str">
        <f t="shared" si="85"/>
        <v>Pre-2006</v>
      </c>
      <c r="H454" s="71"/>
      <c r="I454" s="71"/>
      <c r="J454" s="61"/>
      <c r="K454" s="62"/>
      <c r="L454" s="63"/>
      <c r="M454" s="59" t="str">
        <f t="shared" si="86"/>
        <v>NA</v>
      </c>
      <c r="N454" s="17"/>
    </row>
    <row r="455">
      <c r="A455" s="9"/>
      <c r="B455" s="38">
        <f t="shared" si="5"/>
        <v>453</v>
      </c>
      <c r="C455" s="34">
        <v>39464.0</v>
      </c>
      <c r="D455" s="64" t="s">
        <v>384</v>
      </c>
      <c r="E455" s="13" t="s">
        <v>201</v>
      </c>
      <c r="F455" s="13">
        <v>14.0</v>
      </c>
      <c r="G455" s="35" t="str">
        <f t="shared" si="85"/>
        <v>2008</v>
      </c>
      <c r="H455" s="13" t="s">
        <v>17</v>
      </c>
      <c r="I455" s="13" t="s">
        <v>26</v>
      </c>
      <c r="J455" s="14">
        <v>2007.0</v>
      </c>
      <c r="K455" s="15">
        <v>0.86</v>
      </c>
      <c r="L455" s="14">
        <v>117.0</v>
      </c>
      <c r="M455" s="16">
        <f t="shared" si="86"/>
        <v>0.735042735</v>
      </c>
      <c r="N455" s="17"/>
    </row>
    <row r="456">
      <c r="A456" s="9"/>
      <c r="B456" s="38">
        <f t="shared" si="5"/>
        <v>454</v>
      </c>
      <c r="C456" s="70"/>
      <c r="D456" s="48" t="s">
        <v>385</v>
      </c>
      <c r="E456" s="13" t="s">
        <v>201</v>
      </c>
      <c r="F456" s="13">
        <v>14.0</v>
      </c>
      <c r="G456" s="35" t="str">
        <f t="shared" si="85"/>
        <v>Pre-2006</v>
      </c>
      <c r="H456" s="71"/>
      <c r="I456" s="71"/>
      <c r="J456" s="61"/>
      <c r="K456" s="62"/>
      <c r="L456" s="63"/>
      <c r="M456" s="59" t="str">
        <f t="shared" si="86"/>
        <v>NA</v>
      </c>
      <c r="N456" s="17"/>
    </row>
    <row r="457">
      <c r="A457" s="9"/>
      <c r="B457" s="38">
        <f t="shared" si="5"/>
        <v>455</v>
      </c>
      <c r="C457" s="34">
        <v>41148.0</v>
      </c>
      <c r="D457" s="48" t="s">
        <v>386</v>
      </c>
      <c r="E457" s="13" t="s">
        <v>201</v>
      </c>
      <c r="F457" s="13">
        <v>14.0</v>
      </c>
      <c r="G457" s="13">
        <v>2012.0</v>
      </c>
      <c r="H457" s="13" t="s">
        <v>25</v>
      </c>
      <c r="I457" s="13" t="s">
        <v>47</v>
      </c>
      <c r="J457" s="55">
        <v>2008.0</v>
      </c>
      <c r="K457" s="56">
        <v>0.58</v>
      </c>
      <c r="L457" s="14">
        <v>91.0</v>
      </c>
      <c r="M457" s="16">
        <f t="shared" si="86"/>
        <v>0.6373626374</v>
      </c>
      <c r="N457" s="17"/>
    </row>
    <row r="458">
      <c r="A458" s="9"/>
      <c r="B458" s="38">
        <f t="shared" si="5"/>
        <v>456</v>
      </c>
      <c r="C458" s="70"/>
      <c r="D458" s="48" t="s">
        <v>387</v>
      </c>
      <c r="E458" s="13" t="s">
        <v>201</v>
      </c>
      <c r="F458" s="13">
        <v>14.0</v>
      </c>
      <c r="G458" s="35" t="str">
        <f t="shared" ref="G458:G459" si="87">IF(C458&gt;40908,"2012",IF(C458&gt;40543,"2011",IF(C458&gt;40178,"2010",IF(C458&gt;=39814,"2009",IF(C458&gt;=39448,"2008",IF(C458&gt;39082,"2007",IF(C458&lt;38717,"Pre-2006","2006")))))))</f>
        <v>Pre-2006</v>
      </c>
      <c r="H458" s="71"/>
      <c r="I458" s="71"/>
      <c r="J458" s="61"/>
      <c r="K458" s="62"/>
      <c r="L458" s="63"/>
      <c r="M458" s="59" t="str">
        <f t="shared" si="86"/>
        <v>NA</v>
      </c>
      <c r="N458" s="17"/>
    </row>
    <row r="459">
      <c r="A459" s="9"/>
      <c r="B459" s="38">
        <f t="shared" si="5"/>
        <v>457</v>
      </c>
      <c r="C459" s="70"/>
      <c r="D459" s="48" t="s">
        <v>388</v>
      </c>
      <c r="E459" s="13" t="s">
        <v>201</v>
      </c>
      <c r="F459" s="13">
        <v>14.0</v>
      </c>
      <c r="G459" s="35" t="str">
        <f t="shared" si="87"/>
        <v>Pre-2006</v>
      </c>
      <c r="H459" s="71"/>
      <c r="I459" s="71"/>
      <c r="J459" s="61"/>
      <c r="K459" s="62"/>
      <c r="L459" s="63"/>
      <c r="M459" s="59" t="str">
        <f t="shared" si="86"/>
        <v>NA</v>
      </c>
      <c r="N459" s="17"/>
    </row>
    <row r="460">
      <c r="A460" s="9"/>
      <c r="B460" s="38">
        <f t="shared" si="5"/>
        <v>458</v>
      </c>
      <c r="C460" s="34">
        <v>42496.0</v>
      </c>
      <c r="D460" s="12" t="str">
        <f>hyperlink("http://www.rottentomatoes.com/m/the-third-man/?search=the%20third%20man","Third Man, The")</f>
        <v>Third Man, The</v>
      </c>
      <c r="E460" s="33" t="s">
        <v>201</v>
      </c>
      <c r="F460" s="33">
        <v>14.0</v>
      </c>
      <c r="G460" s="36">
        <v>2016.0</v>
      </c>
      <c r="H460" s="33" t="s">
        <v>58</v>
      </c>
      <c r="I460" s="33" t="s">
        <v>47</v>
      </c>
      <c r="J460" s="57">
        <v>1949.0</v>
      </c>
      <c r="K460" s="58">
        <v>1.0</v>
      </c>
      <c r="L460" s="37">
        <v>104.0</v>
      </c>
      <c r="M460" s="59">
        <f>K460/L460*100</f>
        <v>0.9615384615</v>
      </c>
      <c r="N460" s="17"/>
    </row>
    <row r="461">
      <c r="A461" s="9"/>
      <c r="B461" s="38">
        <f t="shared" si="5"/>
        <v>459</v>
      </c>
      <c r="C461" s="70"/>
      <c r="D461" s="48" t="s">
        <v>389</v>
      </c>
      <c r="E461" s="13" t="s">
        <v>201</v>
      </c>
      <c r="F461" s="13">
        <v>14.0</v>
      </c>
      <c r="G461" s="35" t="str">
        <f>IF(C461&gt;40908,"2012",IF(C461&gt;40543,"2011",IF(C461&gt;40178,"2010",IF(C461&gt;=39814,"2009",IF(C461&gt;=39448,"2008",IF(C461&gt;39082,"2007",IF(C461&lt;38717,"Pre-2006","2006")))))))</f>
        <v>Pre-2006</v>
      </c>
      <c r="H461" s="33" t="s">
        <v>58</v>
      </c>
      <c r="I461" s="33" t="s">
        <v>77</v>
      </c>
      <c r="J461" s="57">
        <v>2016.0</v>
      </c>
      <c r="K461" s="58">
        <v>0.97</v>
      </c>
      <c r="L461" s="37">
        <v>100.0</v>
      </c>
      <c r="M461" s="59">
        <f>if(iserror(K461/L461*100),"NA",K461/L461*100)</f>
        <v>0.97</v>
      </c>
      <c r="N461" s="17"/>
    </row>
    <row r="462">
      <c r="A462" s="9"/>
      <c r="B462" s="38">
        <f t="shared" si="5"/>
        <v>460</v>
      </c>
      <c r="C462" s="34">
        <v>43998.0</v>
      </c>
      <c r="D462" s="12" t="str">
        <f>hyperlink("https://www.rottentomatoes.com/m/13th","13th")</f>
        <v>13th</v>
      </c>
      <c r="E462" s="33" t="s">
        <v>201</v>
      </c>
      <c r="F462" s="33">
        <v>14.0</v>
      </c>
      <c r="G462" s="36">
        <v>2020.0</v>
      </c>
      <c r="H462" s="33" t="s">
        <v>58</v>
      </c>
      <c r="I462" s="13"/>
      <c r="J462" s="61"/>
      <c r="K462" s="62"/>
      <c r="L462" s="63"/>
      <c r="M462" s="59"/>
      <c r="N462" s="17"/>
    </row>
    <row r="463">
      <c r="A463" s="9"/>
      <c r="B463" s="38">
        <f t="shared" si="5"/>
        <v>461</v>
      </c>
      <c r="C463" s="34">
        <v>39368.0</v>
      </c>
      <c r="D463" s="48" t="s">
        <v>390</v>
      </c>
      <c r="E463" s="13" t="s">
        <v>201</v>
      </c>
      <c r="F463" s="13">
        <v>14.0</v>
      </c>
      <c r="G463" s="35" t="str">
        <f t="shared" ref="G463:G464" si="88">IF(C463&gt;40908,"2012",IF(C463&gt;40543,"2011",IF(C463&gt;40178,"2010",IF(C463&gt;=39814,"2009",IF(C463&gt;=39448,"2008",IF(C463&gt;39082,"2007",IF(C463&lt;38717,"Pre-2006","2006")))))))</f>
        <v>2007</v>
      </c>
      <c r="H463" s="13" t="s">
        <v>17</v>
      </c>
      <c r="I463" s="13" t="s">
        <v>47</v>
      </c>
      <c r="J463" s="61"/>
      <c r="K463" s="62"/>
      <c r="L463" s="63"/>
      <c r="M463" s="59" t="str">
        <f t="shared" ref="M463:M507" si="89">if(iserror(K463/L463*100),"NA",K463/L463*100)</f>
        <v>NA</v>
      </c>
      <c r="N463" s="17"/>
    </row>
    <row r="464">
      <c r="A464" s="9"/>
      <c r="B464" s="38">
        <f t="shared" si="5"/>
        <v>462</v>
      </c>
      <c r="C464" s="34">
        <v>40675.0</v>
      </c>
      <c r="D464" s="48" t="s">
        <v>391</v>
      </c>
      <c r="E464" s="13" t="s">
        <v>201</v>
      </c>
      <c r="F464" s="13">
        <v>14.0</v>
      </c>
      <c r="G464" s="35" t="str">
        <f t="shared" si="88"/>
        <v>2011</v>
      </c>
      <c r="H464" s="13" t="s">
        <v>25</v>
      </c>
      <c r="I464" s="13" t="s">
        <v>26</v>
      </c>
      <c r="J464" s="14">
        <v>2011.0</v>
      </c>
      <c r="K464" s="15">
        <v>0.77</v>
      </c>
      <c r="L464" s="14">
        <v>115.0</v>
      </c>
      <c r="M464" s="16">
        <f t="shared" si="89"/>
        <v>0.6695652174</v>
      </c>
      <c r="N464" s="17"/>
    </row>
    <row r="465">
      <c r="A465" s="9"/>
      <c r="B465" s="38">
        <f t="shared" si="5"/>
        <v>463</v>
      </c>
      <c r="C465" s="34">
        <v>43226.0</v>
      </c>
      <c r="D465" s="12" t="str">
        <f>hyperlink("https://www.rottentomatoes.com/m/thor_ragnarok_2017","Thor: Raganok")</f>
        <v>Thor: Raganok</v>
      </c>
      <c r="E465" s="33" t="s">
        <v>201</v>
      </c>
      <c r="F465" s="33">
        <v>14.0</v>
      </c>
      <c r="G465" s="36">
        <v>2018.0</v>
      </c>
      <c r="H465" s="33" t="s">
        <v>126</v>
      </c>
      <c r="I465" s="33" t="s">
        <v>47</v>
      </c>
      <c r="J465" s="57">
        <v>2017.0</v>
      </c>
      <c r="K465" s="58">
        <v>0.92</v>
      </c>
      <c r="L465" s="37">
        <v>130.0</v>
      </c>
      <c r="M465" s="16">
        <f t="shared" si="89"/>
        <v>0.7076923077</v>
      </c>
      <c r="N465" s="17"/>
    </row>
    <row r="466">
      <c r="A466" s="9"/>
      <c r="B466" s="38">
        <f t="shared" si="5"/>
        <v>464</v>
      </c>
      <c r="C466" s="34">
        <v>43106.0</v>
      </c>
      <c r="D466" s="12" t="str">
        <f>hyperlink("https://www.rottentomatoes.com/m/the_theory_of_everything_2014","Theory of Everything, The")</f>
        <v>Theory of Everything, The</v>
      </c>
      <c r="E466" s="33" t="s">
        <v>201</v>
      </c>
      <c r="F466" s="33">
        <v>14.0</v>
      </c>
      <c r="G466" s="36">
        <v>2018.0</v>
      </c>
      <c r="H466" s="33" t="s">
        <v>25</v>
      </c>
      <c r="I466" s="33" t="s">
        <v>47</v>
      </c>
      <c r="J466" s="57">
        <v>2014.0</v>
      </c>
      <c r="K466" s="58">
        <v>0.78</v>
      </c>
      <c r="L466" s="37">
        <v>123.0</v>
      </c>
      <c r="M466" s="16">
        <f t="shared" si="89"/>
        <v>0.6341463415</v>
      </c>
      <c r="N466" s="17"/>
    </row>
    <row r="467">
      <c r="A467" s="9"/>
      <c r="B467" s="38">
        <f t="shared" si="5"/>
        <v>465</v>
      </c>
      <c r="C467" s="70"/>
      <c r="D467" s="48" t="s">
        <v>392</v>
      </c>
      <c r="E467" s="13" t="s">
        <v>201</v>
      </c>
      <c r="F467" s="13">
        <v>14.0</v>
      </c>
      <c r="G467" s="35" t="str">
        <f t="shared" ref="G467:G473" si="90">IF(C467&gt;40908,"2012",IF(C467&gt;40543,"2011",IF(C467&gt;40178,"2010",IF(C467&gt;=39814,"2009",IF(C467&gt;=39448,"2008",IF(C467&gt;39082,"2007",IF(C467&lt;38717,"Pre-2006","2006")))))))</f>
        <v>Pre-2006</v>
      </c>
      <c r="H467" s="71"/>
      <c r="I467" s="71"/>
      <c r="J467" s="61"/>
      <c r="K467" s="62"/>
      <c r="L467" s="63"/>
      <c r="M467" s="59" t="str">
        <f t="shared" si="89"/>
        <v>NA</v>
      </c>
      <c r="N467" s="17"/>
    </row>
    <row r="468">
      <c r="A468" s="9"/>
      <c r="B468" s="38">
        <f t="shared" si="5"/>
        <v>466</v>
      </c>
      <c r="C468" s="70"/>
      <c r="D468" s="48" t="s">
        <v>393</v>
      </c>
      <c r="E468" s="13" t="s">
        <v>201</v>
      </c>
      <c r="F468" s="13">
        <v>14.0</v>
      </c>
      <c r="G468" s="35" t="str">
        <f t="shared" si="90"/>
        <v>Pre-2006</v>
      </c>
      <c r="H468" s="71"/>
      <c r="I468" s="71"/>
      <c r="J468" s="61"/>
      <c r="K468" s="62"/>
      <c r="L468" s="63"/>
      <c r="M468" s="59" t="str">
        <f t="shared" si="89"/>
        <v>NA</v>
      </c>
      <c r="N468" s="17"/>
    </row>
    <row r="469">
      <c r="A469" s="9"/>
      <c r="B469" s="38">
        <f t="shared" si="5"/>
        <v>467</v>
      </c>
      <c r="C469" s="70"/>
      <c r="D469" s="48" t="s">
        <v>394</v>
      </c>
      <c r="E469" s="13" t="s">
        <v>201</v>
      </c>
      <c r="F469" s="13">
        <v>14.0</v>
      </c>
      <c r="G469" s="35" t="str">
        <f t="shared" si="90"/>
        <v>Pre-2006</v>
      </c>
      <c r="H469" s="71"/>
      <c r="I469" s="71"/>
      <c r="J469" s="61"/>
      <c r="K469" s="62"/>
      <c r="L469" s="63"/>
      <c r="M469" s="59" t="str">
        <f t="shared" si="89"/>
        <v>NA</v>
      </c>
      <c r="N469" s="17"/>
    </row>
    <row r="470">
      <c r="A470" s="9"/>
      <c r="B470" s="38">
        <f t="shared" si="5"/>
        <v>468</v>
      </c>
      <c r="C470" s="70"/>
      <c r="D470" s="48" t="s">
        <v>395</v>
      </c>
      <c r="E470" s="13" t="s">
        <v>201</v>
      </c>
      <c r="F470" s="13">
        <v>14.0</v>
      </c>
      <c r="G470" s="35" t="str">
        <f t="shared" si="90"/>
        <v>Pre-2006</v>
      </c>
      <c r="H470" s="71"/>
      <c r="I470" s="71"/>
      <c r="J470" s="61"/>
      <c r="K470" s="62"/>
      <c r="L470" s="63"/>
      <c r="M470" s="59" t="str">
        <f t="shared" si="89"/>
        <v>NA</v>
      </c>
      <c r="N470" s="17"/>
    </row>
    <row r="471">
      <c r="A471" s="9"/>
      <c r="B471" s="38">
        <f t="shared" si="5"/>
        <v>469</v>
      </c>
      <c r="C471" s="70"/>
      <c r="D471" s="48" t="s">
        <v>396</v>
      </c>
      <c r="E471" s="13" t="s">
        <v>201</v>
      </c>
      <c r="F471" s="13">
        <v>14.0</v>
      </c>
      <c r="G471" s="35" t="str">
        <f t="shared" si="90"/>
        <v>Pre-2006</v>
      </c>
      <c r="H471" s="71"/>
      <c r="I471" s="71"/>
      <c r="J471" s="61"/>
      <c r="K471" s="62"/>
      <c r="L471" s="63"/>
      <c r="M471" s="59" t="str">
        <f t="shared" si="89"/>
        <v>NA</v>
      </c>
      <c r="N471" s="17"/>
    </row>
    <row r="472">
      <c r="A472" s="9"/>
      <c r="B472" s="38">
        <f t="shared" si="5"/>
        <v>470</v>
      </c>
      <c r="C472" s="70"/>
      <c r="D472" s="48" t="s">
        <v>397</v>
      </c>
      <c r="E472" s="13" t="s">
        <v>201</v>
      </c>
      <c r="F472" s="13">
        <v>14.0</v>
      </c>
      <c r="G472" s="35" t="str">
        <f t="shared" si="90"/>
        <v>Pre-2006</v>
      </c>
      <c r="H472" s="71"/>
      <c r="I472" s="71"/>
      <c r="J472" s="61"/>
      <c r="K472" s="62"/>
      <c r="L472" s="63"/>
      <c r="M472" s="59" t="str">
        <f t="shared" si="89"/>
        <v>NA</v>
      </c>
      <c r="N472" s="17"/>
    </row>
    <row r="473">
      <c r="A473" s="9"/>
      <c r="B473" s="38">
        <f t="shared" si="5"/>
        <v>471</v>
      </c>
      <c r="C473" s="34">
        <v>40634.0</v>
      </c>
      <c r="D473" s="48" t="s">
        <v>398</v>
      </c>
      <c r="E473" s="13" t="s">
        <v>201</v>
      </c>
      <c r="F473" s="13">
        <v>14.0</v>
      </c>
      <c r="G473" s="35" t="str">
        <f t="shared" si="90"/>
        <v>2011</v>
      </c>
      <c r="H473" s="13" t="s">
        <v>25</v>
      </c>
      <c r="I473" s="13" t="s">
        <v>399</v>
      </c>
      <c r="J473" s="14">
        <v>2010.0</v>
      </c>
      <c r="K473" s="15">
        <v>0.94</v>
      </c>
      <c r="L473" s="14">
        <v>124.0</v>
      </c>
      <c r="M473" s="16">
        <f t="shared" si="89"/>
        <v>0.7580645161</v>
      </c>
      <c r="N473" s="17"/>
    </row>
    <row r="474">
      <c r="A474" s="9"/>
      <c r="B474" s="38">
        <f t="shared" si="5"/>
        <v>472</v>
      </c>
      <c r="C474" s="34">
        <v>43653.0</v>
      </c>
      <c r="D474" s="12" t="str">
        <f>hyperlink("https://rottentomatoes.com/m/toy_story_4","Toy Story 4")</f>
        <v>Toy Story 4</v>
      </c>
      <c r="E474" s="33" t="s">
        <v>201</v>
      </c>
      <c r="F474" s="33">
        <v>14.0</v>
      </c>
      <c r="G474" s="36">
        <v>2019.0</v>
      </c>
      <c r="H474" s="33" t="s">
        <v>25</v>
      </c>
      <c r="I474" s="33" t="s">
        <v>26</v>
      </c>
      <c r="J474" s="37">
        <v>2019.0</v>
      </c>
      <c r="K474" s="15">
        <v>0.97</v>
      </c>
      <c r="L474" s="37">
        <v>90.0</v>
      </c>
      <c r="M474" s="16">
        <f t="shared" si="89"/>
        <v>1.077777778</v>
      </c>
      <c r="N474" s="17"/>
    </row>
    <row r="475">
      <c r="A475" s="9"/>
      <c r="B475" s="38">
        <f t="shared" si="5"/>
        <v>473</v>
      </c>
      <c r="C475" s="34">
        <v>39699.0</v>
      </c>
      <c r="D475" s="48" t="s">
        <v>400</v>
      </c>
      <c r="E475" s="13" t="s">
        <v>201</v>
      </c>
      <c r="F475" s="13">
        <v>14.0</v>
      </c>
      <c r="G475" s="35" t="str">
        <f t="shared" ref="G475:G485" si="91">IF(C475&gt;40908,"2012",IF(C475&gt;40543,"2011",IF(C475&gt;40178,"2010",IF(C475&gt;=39814,"2009",IF(C475&gt;=39448,"2008",IF(C475&gt;39082,"2007",IF(C475&lt;38717,"Pre-2006","2006")))))))</f>
        <v>2008</v>
      </c>
      <c r="H475" s="13" t="s">
        <v>35</v>
      </c>
      <c r="I475" s="13" t="s">
        <v>26</v>
      </c>
      <c r="J475" s="14">
        <v>2008.0</v>
      </c>
      <c r="K475" s="15">
        <v>0.83</v>
      </c>
      <c r="L475" s="14">
        <v>107.0</v>
      </c>
      <c r="M475" s="16">
        <f t="shared" si="89"/>
        <v>0.7757009346</v>
      </c>
      <c r="N475" s="17"/>
    </row>
    <row r="476">
      <c r="A476" s="9"/>
      <c r="B476" s="38">
        <f t="shared" si="5"/>
        <v>474</v>
      </c>
      <c r="C476" s="34">
        <v>39860.0</v>
      </c>
      <c r="D476" s="48" t="s">
        <v>401</v>
      </c>
      <c r="E476" s="13" t="s">
        <v>201</v>
      </c>
      <c r="F476" s="13">
        <v>14.0</v>
      </c>
      <c r="G476" s="35" t="str">
        <f t="shared" si="91"/>
        <v>2009</v>
      </c>
      <c r="H476" s="13" t="s">
        <v>27</v>
      </c>
      <c r="I476" s="13" t="s">
        <v>47</v>
      </c>
      <c r="J476" s="14">
        <v>2009.0</v>
      </c>
      <c r="K476" s="15">
        <v>0.83</v>
      </c>
      <c r="L476" s="14">
        <v>110.0</v>
      </c>
      <c r="M476" s="16">
        <f t="shared" si="89"/>
        <v>0.7545454545</v>
      </c>
      <c r="N476" s="17"/>
    </row>
    <row r="477">
      <c r="A477" s="9"/>
      <c r="B477" s="38">
        <f t="shared" si="5"/>
        <v>475</v>
      </c>
      <c r="C477" s="70"/>
      <c r="D477" s="48" t="s">
        <v>402</v>
      </c>
      <c r="E477" s="13" t="s">
        <v>201</v>
      </c>
      <c r="F477" s="13">
        <v>14.0</v>
      </c>
      <c r="G477" s="35" t="str">
        <f t="shared" si="91"/>
        <v>Pre-2006</v>
      </c>
      <c r="H477" s="71"/>
      <c r="I477" s="71"/>
      <c r="J477" s="61"/>
      <c r="K477" s="62"/>
      <c r="L477" s="63"/>
      <c r="M477" s="59" t="str">
        <f t="shared" si="89"/>
        <v>NA</v>
      </c>
      <c r="N477" s="17"/>
    </row>
    <row r="478">
      <c r="A478" s="9"/>
      <c r="B478" s="38">
        <f t="shared" si="5"/>
        <v>476</v>
      </c>
      <c r="C478" s="70"/>
      <c r="D478" s="48" t="s">
        <v>403</v>
      </c>
      <c r="E478" s="13" t="s">
        <v>201</v>
      </c>
      <c r="F478" s="13">
        <v>14.0</v>
      </c>
      <c r="G478" s="35" t="str">
        <f t="shared" si="91"/>
        <v>Pre-2006</v>
      </c>
      <c r="H478" s="71"/>
      <c r="I478" s="71"/>
      <c r="J478" s="61"/>
      <c r="K478" s="62"/>
      <c r="L478" s="63"/>
      <c r="M478" s="59" t="str">
        <f t="shared" si="89"/>
        <v>NA</v>
      </c>
      <c r="N478" s="17"/>
    </row>
    <row r="479">
      <c r="A479" s="9"/>
      <c r="B479" s="38">
        <f t="shared" si="5"/>
        <v>477</v>
      </c>
      <c r="C479" s="70"/>
      <c r="D479" s="48" t="s">
        <v>404</v>
      </c>
      <c r="E479" s="13" t="s">
        <v>201</v>
      </c>
      <c r="F479" s="13">
        <v>14.0</v>
      </c>
      <c r="G479" s="35" t="str">
        <f t="shared" si="91"/>
        <v>Pre-2006</v>
      </c>
      <c r="H479" s="71"/>
      <c r="I479" s="71"/>
      <c r="J479" s="61"/>
      <c r="K479" s="62"/>
      <c r="L479" s="63"/>
      <c r="M479" s="59" t="str">
        <f t="shared" si="89"/>
        <v>NA</v>
      </c>
      <c r="N479" s="17"/>
    </row>
    <row r="480">
      <c r="A480" s="9"/>
      <c r="B480" s="38">
        <f t="shared" si="5"/>
        <v>478</v>
      </c>
      <c r="C480" s="34">
        <v>39090.0</v>
      </c>
      <c r="D480" s="48" t="s">
        <v>405</v>
      </c>
      <c r="E480" s="13" t="s">
        <v>201</v>
      </c>
      <c r="F480" s="13">
        <v>14.0</v>
      </c>
      <c r="G480" s="35" t="str">
        <f t="shared" si="91"/>
        <v>2007</v>
      </c>
      <c r="H480" s="71"/>
      <c r="I480" s="71"/>
      <c r="J480" s="61"/>
      <c r="K480" s="62"/>
      <c r="L480" s="63"/>
      <c r="M480" s="59" t="str">
        <f t="shared" si="89"/>
        <v>NA</v>
      </c>
      <c r="N480" s="17"/>
    </row>
    <row r="481">
      <c r="A481" s="9"/>
      <c r="B481" s="38">
        <f t="shared" si="5"/>
        <v>479</v>
      </c>
      <c r="C481" s="70"/>
      <c r="D481" s="48" t="s">
        <v>406</v>
      </c>
      <c r="E481" s="13" t="s">
        <v>201</v>
      </c>
      <c r="F481" s="13">
        <v>14.0</v>
      </c>
      <c r="G481" s="35" t="str">
        <f t="shared" si="91"/>
        <v>Pre-2006</v>
      </c>
      <c r="H481" s="71"/>
      <c r="I481" s="71"/>
      <c r="J481" s="61"/>
      <c r="K481" s="62"/>
      <c r="L481" s="63"/>
      <c r="M481" s="59" t="str">
        <f t="shared" si="89"/>
        <v>NA</v>
      </c>
      <c r="N481" s="17"/>
    </row>
    <row r="482">
      <c r="A482" s="9"/>
      <c r="B482" s="38">
        <f t="shared" si="5"/>
        <v>480</v>
      </c>
      <c r="C482" s="70"/>
      <c r="D482" s="64" t="s">
        <v>407</v>
      </c>
      <c r="E482" s="13" t="s">
        <v>201</v>
      </c>
      <c r="F482" s="13">
        <v>14.0</v>
      </c>
      <c r="G482" s="35" t="str">
        <f t="shared" si="91"/>
        <v>Pre-2006</v>
      </c>
      <c r="H482" s="71"/>
      <c r="I482" s="71"/>
      <c r="J482" s="61"/>
      <c r="K482" s="62"/>
      <c r="L482" s="63"/>
      <c r="M482" s="59" t="str">
        <f t="shared" si="89"/>
        <v>NA</v>
      </c>
      <c r="N482" s="17"/>
    </row>
    <row r="483">
      <c r="A483" s="9"/>
      <c r="B483" s="38">
        <f t="shared" si="5"/>
        <v>481</v>
      </c>
      <c r="C483" s="34">
        <v>39624.0</v>
      </c>
      <c r="D483" s="48" t="s">
        <v>408</v>
      </c>
      <c r="E483" s="13" t="s">
        <v>201</v>
      </c>
      <c r="F483" s="13">
        <v>14.0</v>
      </c>
      <c r="G483" s="35" t="str">
        <f t="shared" si="91"/>
        <v>2008</v>
      </c>
      <c r="H483" s="13" t="s">
        <v>15</v>
      </c>
      <c r="I483" s="13" t="s">
        <v>26</v>
      </c>
      <c r="J483" s="14">
        <v>2008.0</v>
      </c>
      <c r="K483" s="15">
        <v>0.83</v>
      </c>
      <c r="L483" s="14">
        <v>110.0</v>
      </c>
      <c r="M483" s="16">
        <f t="shared" si="89"/>
        <v>0.7545454545</v>
      </c>
      <c r="N483" s="17"/>
    </row>
    <row r="484">
      <c r="A484" s="9"/>
      <c r="B484" s="38">
        <f t="shared" si="5"/>
        <v>482</v>
      </c>
      <c r="C484" s="70"/>
      <c r="D484" s="48" t="s">
        <v>409</v>
      </c>
      <c r="E484" s="13" t="s">
        <v>201</v>
      </c>
      <c r="F484" s="13">
        <v>14.0</v>
      </c>
      <c r="G484" s="35" t="str">
        <f t="shared" si="91"/>
        <v>Pre-2006</v>
      </c>
      <c r="H484" s="71"/>
      <c r="I484" s="71"/>
      <c r="J484" s="61"/>
      <c r="K484" s="62"/>
      <c r="L484" s="63"/>
      <c r="M484" s="59" t="str">
        <f t="shared" si="89"/>
        <v>NA</v>
      </c>
      <c r="N484" s="17"/>
    </row>
    <row r="485">
      <c r="A485" s="9"/>
      <c r="B485" s="38">
        <f t="shared" si="5"/>
        <v>483</v>
      </c>
      <c r="C485" s="70"/>
      <c r="D485" s="48" t="s">
        <v>410</v>
      </c>
      <c r="E485" s="13" t="s">
        <v>201</v>
      </c>
      <c r="F485" s="13">
        <v>14.0</v>
      </c>
      <c r="G485" s="35" t="str">
        <f t="shared" si="91"/>
        <v>Pre-2006</v>
      </c>
      <c r="H485" s="71"/>
      <c r="I485" s="71"/>
      <c r="J485" s="61"/>
      <c r="K485" s="62"/>
      <c r="L485" s="63"/>
      <c r="M485" s="59" t="str">
        <f t="shared" si="89"/>
        <v>NA</v>
      </c>
      <c r="N485" s="17"/>
    </row>
    <row r="486">
      <c r="A486" s="9"/>
      <c r="B486" s="38">
        <f t="shared" si="5"/>
        <v>484</v>
      </c>
      <c r="C486" s="34">
        <v>45158.0</v>
      </c>
      <c r="D486" s="12" t="str">
        <f>hyperlink("https://www.rottentomatoes.com/m/whole_nine_yards","Whole Nine Yards, The")</f>
        <v>Whole Nine Yards, The</v>
      </c>
      <c r="E486" s="13" t="s">
        <v>201</v>
      </c>
      <c r="F486" s="33">
        <v>14.0</v>
      </c>
      <c r="G486" s="36">
        <v>2023.0</v>
      </c>
      <c r="H486" s="33" t="s">
        <v>411</v>
      </c>
      <c r="I486" s="33" t="s">
        <v>77</v>
      </c>
      <c r="J486" s="57">
        <v>2000.0</v>
      </c>
      <c r="K486" s="58">
        <v>0.43</v>
      </c>
      <c r="L486" s="37">
        <v>101.0</v>
      </c>
      <c r="M486" s="16">
        <f t="shared" si="89"/>
        <v>0.4257425743</v>
      </c>
      <c r="N486" s="17"/>
    </row>
    <row r="487">
      <c r="A487" s="9"/>
      <c r="B487" s="38">
        <f t="shared" si="5"/>
        <v>485</v>
      </c>
      <c r="C487" s="70"/>
      <c r="D487" s="48" t="s">
        <v>412</v>
      </c>
      <c r="E487" s="13" t="s">
        <v>201</v>
      </c>
      <c r="F487" s="13">
        <v>14.0</v>
      </c>
      <c r="G487" s="35" t="str">
        <f t="shared" ref="G487:G490" si="92">IF(C487&gt;40908,"2012",IF(C487&gt;40543,"2011",IF(C487&gt;40178,"2010",IF(C487&gt;=39814,"2009",IF(C487&gt;=39448,"2008",IF(C487&gt;39082,"2007",IF(C487&lt;38717,"Pre-2006","2006")))))))</f>
        <v>Pre-2006</v>
      </c>
      <c r="H487" s="71"/>
      <c r="I487" s="71"/>
      <c r="J487" s="61"/>
      <c r="K487" s="62"/>
      <c r="L487" s="63"/>
      <c r="M487" s="59" t="str">
        <f t="shared" si="89"/>
        <v>NA</v>
      </c>
      <c r="N487" s="17"/>
    </row>
    <row r="488">
      <c r="A488" s="9"/>
      <c r="B488" s="38">
        <f t="shared" si="5"/>
        <v>486</v>
      </c>
      <c r="C488" s="70"/>
      <c r="D488" s="48" t="s">
        <v>413</v>
      </c>
      <c r="E488" s="13" t="s">
        <v>201</v>
      </c>
      <c r="F488" s="13">
        <v>14.0</v>
      </c>
      <c r="G488" s="35" t="str">
        <f t="shared" si="92"/>
        <v>Pre-2006</v>
      </c>
      <c r="H488" s="71"/>
      <c r="I488" s="71"/>
      <c r="J488" s="61"/>
      <c r="K488" s="62"/>
      <c r="L488" s="63"/>
      <c r="M488" s="59" t="str">
        <f t="shared" si="89"/>
        <v>NA</v>
      </c>
      <c r="N488" s="17"/>
    </row>
    <row r="489">
      <c r="A489" s="9"/>
      <c r="B489" s="38">
        <f t="shared" si="5"/>
        <v>487</v>
      </c>
      <c r="C489" s="70"/>
      <c r="D489" s="48" t="s">
        <v>414</v>
      </c>
      <c r="E489" s="13" t="s">
        <v>201</v>
      </c>
      <c r="F489" s="13">
        <v>14.0</v>
      </c>
      <c r="G489" s="35" t="str">
        <f t="shared" si="92"/>
        <v>Pre-2006</v>
      </c>
      <c r="H489" s="71"/>
      <c r="I489" s="71"/>
      <c r="J489" s="61"/>
      <c r="K489" s="62"/>
      <c r="L489" s="63"/>
      <c r="M489" s="59" t="str">
        <f t="shared" si="89"/>
        <v>NA</v>
      </c>
      <c r="N489" s="17"/>
    </row>
    <row r="490">
      <c r="A490" s="9"/>
      <c r="B490" s="38">
        <f t="shared" si="5"/>
        <v>488</v>
      </c>
      <c r="C490" s="70"/>
      <c r="D490" s="48" t="s">
        <v>415</v>
      </c>
      <c r="E490" s="13" t="s">
        <v>201</v>
      </c>
      <c r="F490" s="13">
        <v>14.0</v>
      </c>
      <c r="G490" s="35" t="str">
        <f t="shared" si="92"/>
        <v>Pre-2006</v>
      </c>
      <c r="H490" s="71"/>
      <c r="I490" s="71"/>
      <c r="J490" s="61"/>
      <c r="K490" s="62"/>
      <c r="L490" s="63"/>
      <c r="M490" s="59" t="str">
        <f t="shared" si="89"/>
        <v>NA</v>
      </c>
      <c r="N490" s="17"/>
    </row>
    <row r="491">
      <c r="A491" s="9"/>
      <c r="B491" s="38">
        <f t="shared" si="5"/>
        <v>489</v>
      </c>
      <c r="C491" s="34">
        <v>41638.0</v>
      </c>
      <c r="D491" s="48" t="s">
        <v>416</v>
      </c>
      <c r="E491" s="13" t="s">
        <v>201</v>
      </c>
      <c r="F491" s="13">
        <v>14.0</v>
      </c>
      <c r="G491" s="13">
        <v>2013.0</v>
      </c>
      <c r="H491" s="13" t="s">
        <v>417</v>
      </c>
      <c r="I491" s="13" t="s">
        <v>26</v>
      </c>
      <c r="J491" s="55">
        <v>2013.0</v>
      </c>
      <c r="K491" s="56">
        <v>0.75</v>
      </c>
      <c r="L491" s="14">
        <v>179.0</v>
      </c>
      <c r="M491" s="16">
        <f t="shared" si="89"/>
        <v>0.4189944134</v>
      </c>
      <c r="N491" s="17"/>
    </row>
    <row r="492">
      <c r="A492" s="9"/>
      <c r="B492" s="38">
        <f t="shared" si="5"/>
        <v>490</v>
      </c>
      <c r="C492" s="70"/>
      <c r="D492" s="48" t="s">
        <v>418</v>
      </c>
      <c r="E492" s="13" t="s">
        <v>201</v>
      </c>
      <c r="F492" s="13">
        <v>14.0</v>
      </c>
      <c r="G492" s="35" t="str">
        <f t="shared" ref="G492:G496" si="93">IF(C492&gt;40908,"2012",IF(C492&gt;40543,"2011",IF(C492&gt;40178,"2010",IF(C492&gt;=39814,"2009",IF(C492&gt;=39448,"2008",IF(C492&gt;39082,"2007",IF(C492&lt;38717,"Pre-2006","2006")))))))</f>
        <v>Pre-2006</v>
      </c>
      <c r="H492" s="71"/>
      <c r="I492" s="71"/>
      <c r="J492" s="61"/>
      <c r="K492" s="62"/>
      <c r="L492" s="63"/>
      <c r="M492" s="59" t="str">
        <f t="shared" si="89"/>
        <v>NA</v>
      </c>
      <c r="N492" s="17"/>
    </row>
    <row r="493">
      <c r="A493" s="9"/>
      <c r="B493" s="38">
        <f t="shared" si="5"/>
        <v>491</v>
      </c>
      <c r="C493" s="70"/>
      <c r="D493" s="48" t="s">
        <v>419</v>
      </c>
      <c r="E493" s="13" t="s">
        <v>201</v>
      </c>
      <c r="F493" s="13">
        <v>14.0</v>
      </c>
      <c r="G493" s="35" t="str">
        <f t="shared" si="93"/>
        <v>Pre-2006</v>
      </c>
      <c r="H493" s="71"/>
      <c r="I493" s="71"/>
      <c r="J493" s="61"/>
      <c r="K493" s="62"/>
      <c r="L493" s="63"/>
      <c r="M493" s="59" t="str">
        <f t="shared" si="89"/>
        <v>NA</v>
      </c>
      <c r="N493" s="17"/>
    </row>
    <row r="494">
      <c r="A494" s="9"/>
      <c r="B494" s="38">
        <f t="shared" si="5"/>
        <v>492</v>
      </c>
      <c r="C494" s="70"/>
      <c r="D494" s="48" t="s">
        <v>420</v>
      </c>
      <c r="E494" s="13" t="s">
        <v>201</v>
      </c>
      <c r="F494" s="13">
        <v>14.0</v>
      </c>
      <c r="G494" s="35" t="str">
        <f t="shared" si="93"/>
        <v>Pre-2006</v>
      </c>
      <c r="H494" s="71"/>
      <c r="I494" s="71"/>
      <c r="J494" s="61"/>
      <c r="K494" s="62"/>
      <c r="L494" s="63"/>
      <c r="M494" s="59" t="str">
        <f t="shared" si="89"/>
        <v>NA</v>
      </c>
      <c r="N494" s="17"/>
    </row>
    <row r="495">
      <c r="A495" s="9"/>
      <c r="B495" s="40">
        <f t="shared" si="5"/>
        <v>493</v>
      </c>
      <c r="C495" s="41">
        <v>39472.0</v>
      </c>
      <c r="D495" s="83" t="s">
        <v>421</v>
      </c>
      <c r="E495" s="43" t="s">
        <v>422</v>
      </c>
      <c r="F495" s="43">
        <v>13.0</v>
      </c>
      <c r="G495" s="44" t="str">
        <f t="shared" si="93"/>
        <v>2008</v>
      </c>
      <c r="H495" s="43" t="s">
        <v>17</v>
      </c>
      <c r="I495" s="43" t="s">
        <v>47</v>
      </c>
      <c r="J495" s="45">
        <v>2008.0</v>
      </c>
      <c r="K495" s="46">
        <v>0.95</v>
      </c>
      <c r="L495" s="45">
        <v>113.0</v>
      </c>
      <c r="M495" s="47">
        <f t="shared" si="89"/>
        <v>0.8407079646</v>
      </c>
      <c r="N495" s="17"/>
    </row>
    <row r="496">
      <c r="A496" s="9"/>
      <c r="B496" s="38">
        <f t="shared" si="5"/>
        <v>494</v>
      </c>
      <c r="C496" s="70"/>
      <c r="D496" s="48" t="s">
        <v>423</v>
      </c>
      <c r="E496" s="13" t="s">
        <v>422</v>
      </c>
      <c r="F496" s="13">
        <v>13.0</v>
      </c>
      <c r="G496" s="35" t="str">
        <f t="shared" si="93"/>
        <v>Pre-2006</v>
      </c>
      <c r="H496" s="71"/>
      <c r="I496" s="71"/>
      <c r="J496" s="61"/>
      <c r="K496" s="62"/>
      <c r="L496" s="63"/>
      <c r="M496" s="59" t="str">
        <f t="shared" si="89"/>
        <v>NA</v>
      </c>
      <c r="N496" s="17"/>
    </row>
    <row r="497">
      <c r="A497" s="9"/>
      <c r="B497" s="38">
        <f t="shared" si="5"/>
        <v>495</v>
      </c>
      <c r="C497" s="34">
        <v>43401.0</v>
      </c>
      <c r="D497" s="12" t="str">
        <f>hyperlink("https://www.rottentomatoes.com/m/adam_sandler_100_fresh","Adam Sandler: 100% Fresh")</f>
        <v>Adam Sandler: 100% Fresh</v>
      </c>
      <c r="E497" s="33" t="s">
        <v>422</v>
      </c>
      <c r="F497" s="33">
        <v>13.0</v>
      </c>
      <c r="G497" s="36">
        <v>2018.0</v>
      </c>
      <c r="H497" s="33" t="s">
        <v>58</v>
      </c>
      <c r="I497" s="33" t="s">
        <v>77</v>
      </c>
      <c r="J497" s="37">
        <v>2018.0</v>
      </c>
      <c r="K497" s="15">
        <v>0.88</v>
      </c>
      <c r="L497" s="37">
        <v>73.0</v>
      </c>
      <c r="M497" s="59">
        <f t="shared" si="89"/>
        <v>1.205479452</v>
      </c>
      <c r="N497" s="17"/>
    </row>
    <row r="498">
      <c r="A498" s="9"/>
      <c r="B498" s="38">
        <f t="shared" si="5"/>
        <v>496</v>
      </c>
      <c r="C498" s="34">
        <v>40081.0</v>
      </c>
      <c r="D498" s="48" t="s">
        <v>424</v>
      </c>
      <c r="E498" s="13" t="s">
        <v>422</v>
      </c>
      <c r="F498" s="13">
        <v>13.0</v>
      </c>
      <c r="G498" s="35" t="str">
        <f t="shared" ref="G498:G500" si="94">IF(C498&gt;40908,"2012",IF(C498&gt;40543,"2011",IF(C498&gt;40178,"2010",IF(C498&gt;=39814,"2009",IF(C498&gt;=39448,"2008",IF(C498&gt;39082,"2007",IF(C498&lt;38717,"Pre-2006","2006")))))))</f>
        <v>2009</v>
      </c>
      <c r="H498" s="13" t="s">
        <v>27</v>
      </c>
      <c r="I498" s="13" t="s">
        <v>47</v>
      </c>
      <c r="J498" s="14">
        <v>2009.0</v>
      </c>
      <c r="K498" s="15">
        <v>0.89</v>
      </c>
      <c r="L498" s="14">
        <v>107.0</v>
      </c>
      <c r="M498" s="16">
        <f t="shared" si="89"/>
        <v>0.8317757009</v>
      </c>
      <c r="N498" s="17"/>
    </row>
    <row r="499">
      <c r="A499" s="9"/>
      <c r="B499" s="38">
        <f t="shared" si="5"/>
        <v>497</v>
      </c>
      <c r="C499" s="70"/>
      <c r="D499" s="48" t="s">
        <v>425</v>
      </c>
      <c r="E499" s="13" t="s">
        <v>422</v>
      </c>
      <c r="F499" s="13">
        <v>13.0</v>
      </c>
      <c r="G499" s="35" t="str">
        <f t="shared" si="94"/>
        <v>Pre-2006</v>
      </c>
      <c r="H499" s="71"/>
      <c r="I499" s="71"/>
      <c r="J499" s="61"/>
      <c r="K499" s="62"/>
      <c r="L499" s="63"/>
      <c r="M499" s="59" t="str">
        <f t="shared" si="89"/>
        <v>NA</v>
      </c>
      <c r="N499" s="17"/>
    </row>
    <row r="500">
      <c r="A500" s="9"/>
      <c r="B500" s="38">
        <f t="shared" si="5"/>
        <v>498</v>
      </c>
      <c r="C500" s="34">
        <v>39089.0</v>
      </c>
      <c r="D500" s="48" t="s">
        <v>426</v>
      </c>
      <c r="E500" s="13" t="s">
        <v>422</v>
      </c>
      <c r="F500" s="13">
        <v>13.0</v>
      </c>
      <c r="G500" s="35" t="str">
        <f t="shared" si="94"/>
        <v>2007</v>
      </c>
      <c r="H500" s="71"/>
      <c r="I500" s="71"/>
      <c r="J500" s="61"/>
      <c r="K500" s="62"/>
      <c r="L500" s="63"/>
      <c r="M500" s="59" t="str">
        <f t="shared" si="89"/>
        <v>NA</v>
      </c>
      <c r="N500" s="17"/>
    </row>
    <row r="501">
      <c r="A501" s="9"/>
      <c r="B501" s="38">
        <f t="shared" si="5"/>
        <v>499</v>
      </c>
      <c r="C501" s="34">
        <v>43108.0</v>
      </c>
      <c r="D501" s="12" t="str">
        <f>hyperlink("https://www.rottentomatoes.com/m/american_made_2017","American Made")</f>
        <v>American Made</v>
      </c>
      <c r="E501" s="33" t="s">
        <v>422</v>
      </c>
      <c r="F501" s="33">
        <v>13.0</v>
      </c>
      <c r="G501" s="36">
        <v>2018.0</v>
      </c>
      <c r="H501" s="33" t="s">
        <v>58</v>
      </c>
      <c r="I501" s="33" t="s">
        <v>47</v>
      </c>
      <c r="J501" s="57">
        <v>2017.0</v>
      </c>
      <c r="K501" s="58">
        <v>0.86</v>
      </c>
      <c r="L501" s="37">
        <v>115.0</v>
      </c>
      <c r="M501" s="59">
        <f t="shared" si="89"/>
        <v>0.747826087</v>
      </c>
      <c r="N501" s="17"/>
    </row>
    <row r="502">
      <c r="A502" s="9"/>
      <c r="B502" s="38">
        <f t="shared" si="5"/>
        <v>500</v>
      </c>
      <c r="C502" s="34">
        <v>39158.0</v>
      </c>
      <c r="D502" s="48" t="s">
        <v>427</v>
      </c>
      <c r="E502" s="13" t="s">
        <v>422</v>
      </c>
      <c r="F502" s="13">
        <v>13.0</v>
      </c>
      <c r="G502" s="35" t="str">
        <f>IF(C502&gt;40908,"2012",IF(C502&gt;40543,"2011",IF(C502&gt;40178,"2010",IF(C502&gt;=39814,"2009",IF(C502&gt;=39448,"2008",IF(C502&gt;39082,"2007",IF(C502&lt;38717,"Pre-2006","2006")))))))</f>
        <v>2007</v>
      </c>
      <c r="H502" s="71"/>
      <c r="I502" s="71"/>
      <c r="J502" s="61"/>
      <c r="K502" s="62"/>
      <c r="L502" s="63"/>
      <c r="M502" s="59" t="str">
        <f t="shared" si="89"/>
        <v>NA</v>
      </c>
      <c r="N502" s="17"/>
    </row>
    <row r="503">
      <c r="A503" s="9"/>
      <c r="B503" s="38">
        <f t="shared" si="5"/>
        <v>501</v>
      </c>
      <c r="C503" s="34">
        <v>43210.0</v>
      </c>
      <c r="D503" s="12" t="str">
        <f>hyperlink("https://www.rottentomatoes.com/m/andre_the_giant_2018","Andre The Giant")</f>
        <v>Andre The Giant</v>
      </c>
      <c r="E503" s="33" t="s">
        <v>422</v>
      </c>
      <c r="F503" s="33">
        <v>13.0</v>
      </c>
      <c r="G503" s="33">
        <v>2018.0</v>
      </c>
      <c r="H503" s="33" t="s">
        <v>58</v>
      </c>
      <c r="I503" s="33" t="s">
        <v>208</v>
      </c>
      <c r="J503" s="57">
        <v>2018.0</v>
      </c>
      <c r="K503" s="58">
        <v>0.92</v>
      </c>
      <c r="L503" s="37">
        <v>85.0</v>
      </c>
      <c r="M503" s="59">
        <f t="shared" si="89"/>
        <v>1.082352941</v>
      </c>
      <c r="N503" s="17"/>
    </row>
    <row r="504">
      <c r="A504" s="9"/>
      <c r="B504" s="38">
        <f t="shared" si="5"/>
        <v>502</v>
      </c>
      <c r="C504" s="34">
        <v>43519.0</v>
      </c>
      <c r="D504" s="12" t="str">
        <f>hyperlink("https://www.rottentomatoes.com/m/ant_man_and_the_wasp","Ant-Man and the Wasp")</f>
        <v>Ant-Man and the Wasp</v>
      </c>
      <c r="E504" s="33" t="s">
        <v>422</v>
      </c>
      <c r="F504" s="33">
        <v>13.0</v>
      </c>
      <c r="G504" s="33">
        <v>2019.0</v>
      </c>
      <c r="H504" s="33" t="s">
        <v>58</v>
      </c>
      <c r="I504" s="33" t="s">
        <v>77</v>
      </c>
      <c r="J504" s="57">
        <v>2018.0</v>
      </c>
      <c r="K504" s="56">
        <v>0.88</v>
      </c>
      <c r="L504" s="37">
        <v>118.0</v>
      </c>
      <c r="M504" s="59">
        <f t="shared" si="89"/>
        <v>0.7457627119</v>
      </c>
      <c r="N504" s="17"/>
    </row>
    <row r="505">
      <c r="A505" s="9"/>
      <c r="B505" s="38">
        <f t="shared" si="5"/>
        <v>503</v>
      </c>
      <c r="C505" s="34">
        <v>41805.0</v>
      </c>
      <c r="D505" s="12" t="str">
        <f>hyperlink("http://www.rottentomatoes.com/m/the_armstrong_lie_2013/","Armstrong Lie, The")</f>
        <v>Armstrong Lie, The</v>
      </c>
      <c r="E505" s="13" t="s">
        <v>422</v>
      </c>
      <c r="F505" s="13">
        <v>13.0</v>
      </c>
      <c r="G505" s="13">
        <v>2014.0</v>
      </c>
      <c r="H505" s="13" t="s">
        <v>126</v>
      </c>
      <c r="I505" s="13" t="s">
        <v>126</v>
      </c>
      <c r="J505" s="55">
        <v>2013.0</v>
      </c>
      <c r="K505" s="56">
        <v>0.84</v>
      </c>
      <c r="L505" s="14">
        <v>122.0</v>
      </c>
      <c r="M505" s="16">
        <f t="shared" si="89"/>
        <v>0.6885245902</v>
      </c>
      <c r="N505" s="17"/>
    </row>
    <row r="506">
      <c r="A506" s="9"/>
      <c r="B506" s="38">
        <f t="shared" si="5"/>
        <v>504</v>
      </c>
      <c r="C506" s="34">
        <v>39655.0</v>
      </c>
      <c r="D506" s="48" t="s">
        <v>428</v>
      </c>
      <c r="E506" s="13" t="s">
        <v>422</v>
      </c>
      <c r="F506" s="13">
        <v>13.0</v>
      </c>
      <c r="G506" s="35" t="str">
        <f t="shared" ref="G506:G507" si="95">IF(C506&gt;40908,"2012",IF(C506&gt;40543,"2011",IF(C506&gt;40178,"2010",IF(C506&gt;=39814,"2009",IF(C506&gt;=39448,"2008",IF(C506&gt;39082,"2007",IF(C506&lt;38717,"Pre-2006","2006")))))))</f>
        <v>2008</v>
      </c>
      <c r="H506" s="13" t="s">
        <v>155</v>
      </c>
      <c r="I506" s="13" t="s">
        <v>21</v>
      </c>
      <c r="J506" s="14">
        <v>2007.0</v>
      </c>
      <c r="K506" s="15">
        <v>0.75</v>
      </c>
      <c r="L506" s="14">
        <v>160.0</v>
      </c>
      <c r="M506" s="16">
        <f t="shared" si="89"/>
        <v>0.46875</v>
      </c>
      <c r="N506" s="17"/>
    </row>
    <row r="507">
      <c r="A507" s="9"/>
      <c r="B507" s="38">
        <f t="shared" si="5"/>
        <v>505</v>
      </c>
      <c r="C507" s="70"/>
      <c r="D507" s="48" t="s">
        <v>429</v>
      </c>
      <c r="E507" s="13" t="s">
        <v>422</v>
      </c>
      <c r="F507" s="13">
        <v>13.0</v>
      </c>
      <c r="G507" s="35" t="str">
        <f t="shared" si="95"/>
        <v>Pre-2006</v>
      </c>
      <c r="H507" s="71"/>
      <c r="I507" s="71"/>
      <c r="J507" s="61"/>
      <c r="K507" s="62"/>
      <c r="L507" s="63"/>
      <c r="M507" s="59" t="str">
        <f t="shared" si="89"/>
        <v>NA</v>
      </c>
      <c r="N507" s="17"/>
    </row>
    <row r="508">
      <c r="A508" s="9"/>
      <c r="B508" s="38">
        <f t="shared" si="5"/>
        <v>506</v>
      </c>
      <c r="C508" s="34">
        <v>42506.0</v>
      </c>
      <c r="D508" s="12" t="str">
        <f>hyperlink("http://www.rottentomatoes.com/m/captain_america_civil_war/","Avengers, The: Civil War")</f>
        <v>Avengers, The: Civil War</v>
      </c>
      <c r="E508" s="33" t="s">
        <v>422</v>
      </c>
      <c r="F508" s="33">
        <v>13.0</v>
      </c>
      <c r="G508" s="36">
        <v>2016.0</v>
      </c>
      <c r="H508" s="33" t="s">
        <v>25</v>
      </c>
      <c r="I508" s="33" t="s">
        <v>26</v>
      </c>
      <c r="J508" s="57">
        <v>2016.0</v>
      </c>
      <c r="K508" s="58">
        <v>0.91</v>
      </c>
      <c r="L508" s="37">
        <v>146.0</v>
      </c>
      <c r="M508" s="59">
        <f t="shared" ref="M508:M509" si="96">K508/L508*100</f>
        <v>0.6232876712</v>
      </c>
      <c r="N508" s="17"/>
    </row>
    <row r="509">
      <c r="A509" s="9"/>
      <c r="B509" s="38">
        <f t="shared" si="5"/>
        <v>507</v>
      </c>
      <c r="C509" s="34">
        <v>44672.0</v>
      </c>
      <c r="D509" s="12" t="str">
        <f>hyperlink("https://www.rottentomatoes.com/m/1032970-awakenings","Awakenings")</f>
        <v>Awakenings</v>
      </c>
      <c r="E509" s="33" t="s">
        <v>422</v>
      </c>
      <c r="F509" s="33">
        <v>13.0</v>
      </c>
      <c r="G509" s="36">
        <v>2022.0</v>
      </c>
      <c r="H509" s="33" t="s">
        <v>58</v>
      </c>
      <c r="I509" s="33" t="s">
        <v>77</v>
      </c>
      <c r="J509" s="57">
        <v>1990.0</v>
      </c>
      <c r="K509" s="58">
        <v>0.89</v>
      </c>
      <c r="L509" s="37">
        <v>121.0</v>
      </c>
      <c r="M509" s="59">
        <f t="shared" si="96"/>
        <v>0.7355371901</v>
      </c>
      <c r="N509" s="17"/>
    </row>
    <row r="510">
      <c r="A510" s="9"/>
      <c r="B510" s="38">
        <f t="shared" si="5"/>
        <v>508</v>
      </c>
      <c r="C510" s="70"/>
      <c r="D510" s="48" t="s">
        <v>430</v>
      </c>
      <c r="E510" s="13" t="s">
        <v>422</v>
      </c>
      <c r="F510" s="13">
        <v>13.0</v>
      </c>
      <c r="G510" s="35" t="str">
        <f>IF(C510&gt;40908,"2012",IF(C510&gt;40543,"2011",IF(C510&gt;40178,"2010",IF(C510&gt;=39814,"2009",IF(C510&gt;=39448,"2008",IF(C510&gt;39082,"2007",IF(C510&lt;38717,"Pre-2006","2006")))))))</f>
        <v>Pre-2006</v>
      </c>
      <c r="H510" s="71"/>
      <c r="I510" s="71"/>
      <c r="J510" s="61"/>
      <c r="K510" s="62"/>
      <c r="L510" s="63"/>
      <c r="M510" s="59" t="str">
        <f>if(iserror(K510/L510*100),"NA",K510/L510*100)</f>
        <v>NA</v>
      </c>
      <c r="N510" s="17"/>
    </row>
    <row r="511">
      <c r="A511" s="9"/>
      <c r="B511" s="38">
        <f t="shared" si="5"/>
        <v>509</v>
      </c>
      <c r="C511" s="34">
        <v>44911.0</v>
      </c>
      <c r="D511" s="12" t="str">
        <f>hyperlink("https://www.rottentomatoes.com/m/the_banshees_of_inisherin","Banshees of Inisherin, The")</f>
        <v>Banshees of Inisherin, The</v>
      </c>
      <c r="E511" s="33" t="s">
        <v>422</v>
      </c>
      <c r="F511" s="33">
        <v>13.0</v>
      </c>
      <c r="G511" s="36">
        <v>2022.0</v>
      </c>
      <c r="H511" s="33" t="s">
        <v>147</v>
      </c>
      <c r="I511" s="33" t="s">
        <v>208</v>
      </c>
      <c r="J511" s="57">
        <v>2022.0</v>
      </c>
      <c r="K511" s="58">
        <v>0.97</v>
      </c>
      <c r="L511" s="37">
        <v>109.0</v>
      </c>
      <c r="M511" s="59">
        <f>K511/L511*100</f>
        <v>0.8899082569</v>
      </c>
      <c r="N511" s="17"/>
    </row>
    <row r="512">
      <c r="A512" s="9"/>
      <c r="B512" s="38">
        <f t="shared" si="5"/>
        <v>510</v>
      </c>
      <c r="C512" s="70"/>
      <c r="D512" s="48" t="s">
        <v>431</v>
      </c>
      <c r="E512" s="13" t="s">
        <v>422</v>
      </c>
      <c r="F512" s="13">
        <v>13.0</v>
      </c>
      <c r="G512" s="35" t="str">
        <f t="shared" ref="G512:G515" si="97">IF(C512&gt;40908,"2012",IF(C512&gt;40543,"2011",IF(C512&gt;40178,"2010",IF(C512&gt;=39814,"2009",IF(C512&gt;=39448,"2008",IF(C512&gt;39082,"2007",IF(C512&lt;38717,"Pre-2006","2006")))))))</f>
        <v>Pre-2006</v>
      </c>
      <c r="H512" s="71"/>
      <c r="I512" s="71"/>
      <c r="J512" s="61"/>
      <c r="K512" s="62"/>
      <c r="L512" s="63"/>
      <c r="M512" s="59" t="str">
        <f t="shared" ref="M512:M555" si="98">if(iserror(K512/L512*100),"NA",K512/L512*100)</f>
        <v>NA</v>
      </c>
      <c r="N512" s="17"/>
    </row>
    <row r="513">
      <c r="A513" s="9"/>
      <c r="B513" s="38">
        <f t="shared" si="5"/>
        <v>511</v>
      </c>
      <c r="C513" s="70"/>
      <c r="D513" s="48" t="s">
        <v>432</v>
      </c>
      <c r="E513" s="13" t="s">
        <v>422</v>
      </c>
      <c r="F513" s="13">
        <v>13.0</v>
      </c>
      <c r="G513" s="35" t="str">
        <f t="shared" si="97"/>
        <v>Pre-2006</v>
      </c>
      <c r="H513" s="71"/>
      <c r="I513" s="71"/>
      <c r="J513" s="61"/>
      <c r="K513" s="62"/>
      <c r="L513" s="63"/>
      <c r="M513" s="59" t="str">
        <f t="shared" si="98"/>
        <v>NA</v>
      </c>
      <c r="N513" s="17"/>
    </row>
    <row r="514">
      <c r="A514" s="9"/>
      <c r="B514" s="38">
        <f t="shared" si="5"/>
        <v>512</v>
      </c>
      <c r="C514" s="70"/>
      <c r="D514" s="48" t="s">
        <v>433</v>
      </c>
      <c r="E514" s="13" t="s">
        <v>422</v>
      </c>
      <c r="F514" s="13">
        <v>13.0</v>
      </c>
      <c r="G514" s="35" t="str">
        <f t="shared" si="97"/>
        <v>Pre-2006</v>
      </c>
      <c r="H514" s="71"/>
      <c r="I514" s="71"/>
      <c r="J514" s="61"/>
      <c r="K514" s="62"/>
      <c r="L514" s="63"/>
      <c r="M514" s="59" t="str">
        <f t="shared" si="98"/>
        <v>NA</v>
      </c>
      <c r="N514" s="17"/>
    </row>
    <row r="515">
      <c r="A515" s="9"/>
      <c r="B515" s="38">
        <f t="shared" si="5"/>
        <v>513</v>
      </c>
      <c r="C515" s="70"/>
      <c r="D515" s="48" t="s">
        <v>434</v>
      </c>
      <c r="E515" s="13" t="s">
        <v>422</v>
      </c>
      <c r="F515" s="13">
        <v>13.0</v>
      </c>
      <c r="G515" s="35" t="str">
        <f t="shared" si="97"/>
        <v>Pre-2006</v>
      </c>
      <c r="H515" s="71"/>
      <c r="I515" s="71"/>
      <c r="J515" s="61"/>
      <c r="K515" s="62"/>
      <c r="L515" s="63"/>
      <c r="M515" s="59" t="str">
        <f t="shared" si="98"/>
        <v>NA</v>
      </c>
      <c r="N515" s="17"/>
    </row>
    <row r="516">
      <c r="A516" s="9"/>
      <c r="B516" s="38">
        <f t="shared" si="5"/>
        <v>514</v>
      </c>
      <c r="C516" s="34">
        <v>44002.0</v>
      </c>
      <c r="D516" s="12" t="str">
        <f>hyperlink("https://www.rottentomatoes.com/m/becoming_2020_2","Becoming")</f>
        <v>Becoming</v>
      </c>
      <c r="E516" s="33" t="s">
        <v>422</v>
      </c>
      <c r="F516" s="33">
        <v>13.0</v>
      </c>
      <c r="G516" s="36">
        <v>2020.0</v>
      </c>
      <c r="H516" s="33" t="s">
        <v>58</v>
      </c>
      <c r="I516" s="33" t="s">
        <v>77</v>
      </c>
      <c r="J516" s="37">
        <v>2020.0</v>
      </c>
      <c r="K516" s="15">
        <v>0.93</v>
      </c>
      <c r="L516" s="37">
        <v>89.0</v>
      </c>
      <c r="M516" s="59">
        <f t="shared" si="98"/>
        <v>1.04494382</v>
      </c>
      <c r="N516" s="17"/>
    </row>
    <row r="517">
      <c r="A517" s="9"/>
      <c r="B517" s="38">
        <f t="shared" si="5"/>
        <v>515</v>
      </c>
      <c r="C517" s="34">
        <v>40019.0</v>
      </c>
      <c r="D517" s="48" t="s">
        <v>435</v>
      </c>
      <c r="E517" s="13" t="s">
        <v>422</v>
      </c>
      <c r="F517" s="13">
        <v>13.0</v>
      </c>
      <c r="G517" s="35" t="str">
        <f>IF(C517&gt;40908,"2012",IF(C517&gt;40543,"2011",IF(C517&gt;40178,"2010",IF(C517&gt;=39814,"2009",IF(C517&gt;=39448,"2008",IF(C517&gt;39082,"2007",IF(C517&lt;38717,"Pre-2006","2006")))))))</f>
        <v>2009</v>
      </c>
      <c r="H517" s="13" t="s">
        <v>27</v>
      </c>
      <c r="I517" s="13" t="s">
        <v>47</v>
      </c>
      <c r="J517" s="14">
        <v>2004.0</v>
      </c>
      <c r="K517" s="15">
        <v>0.94</v>
      </c>
      <c r="L517" s="14">
        <v>80.0</v>
      </c>
      <c r="M517" s="16">
        <f t="shared" si="98"/>
        <v>1.175</v>
      </c>
      <c r="N517" s="17"/>
    </row>
    <row r="518">
      <c r="A518" s="9"/>
      <c r="B518" s="38">
        <f t="shared" si="5"/>
        <v>516</v>
      </c>
      <c r="C518" s="34">
        <v>43561.0</v>
      </c>
      <c r="D518" s="12" t="str">
        <f>hyperlink("https://www.rottentomatoes.com/m/bohemian_rhapsody","Bohemian Rhapsody")</f>
        <v>Bohemian Rhapsody</v>
      </c>
      <c r="E518" s="33" t="s">
        <v>422</v>
      </c>
      <c r="F518" s="33">
        <v>13.0</v>
      </c>
      <c r="G518" s="36">
        <v>2019.0</v>
      </c>
      <c r="H518" s="33" t="s">
        <v>58</v>
      </c>
      <c r="I518" s="13" t="s">
        <v>47</v>
      </c>
      <c r="J518" s="57">
        <v>2018.0</v>
      </c>
      <c r="K518" s="58">
        <v>0.61</v>
      </c>
      <c r="L518" s="37">
        <v>134.0</v>
      </c>
      <c r="M518" s="16">
        <f t="shared" si="98"/>
        <v>0.4552238806</v>
      </c>
      <c r="N518" s="17"/>
    </row>
    <row r="519">
      <c r="A519" s="9"/>
      <c r="B519" s="38">
        <f t="shared" si="5"/>
        <v>517</v>
      </c>
      <c r="C519" s="70"/>
      <c r="D519" s="48" t="s">
        <v>436</v>
      </c>
      <c r="E519" s="13" t="s">
        <v>422</v>
      </c>
      <c r="F519" s="13">
        <v>13.0</v>
      </c>
      <c r="G519" s="35" t="str">
        <f t="shared" ref="G519:G520" si="99">IF(C519&gt;40908,"2012",IF(C519&gt;40543,"2011",IF(C519&gt;40178,"2010",IF(C519&gt;=39814,"2009",IF(C519&gt;=39448,"2008",IF(C519&gt;39082,"2007",IF(C519&lt;38717,"Pre-2006","2006")))))))</f>
        <v>Pre-2006</v>
      </c>
      <c r="H519" s="71"/>
      <c r="I519" s="71"/>
      <c r="J519" s="61"/>
      <c r="K519" s="62"/>
      <c r="L519" s="63"/>
      <c r="M519" s="59" t="str">
        <f t="shared" si="98"/>
        <v>NA</v>
      </c>
      <c r="N519" s="17"/>
    </row>
    <row r="520">
      <c r="A520" s="9"/>
      <c r="B520" s="38">
        <f t="shared" si="5"/>
        <v>518</v>
      </c>
      <c r="C520" s="70"/>
      <c r="D520" s="48" t="s">
        <v>437</v>
      </c>
      <c r="E520" s="13" t="s">
        <v>422</v>
      </c>
      <c r="F520" s="13">
        <v>13.0</v>
      </c>
      <c r="G520" s="35" t="str">
        <f t="shared" si="99"/>
        <v>Pre-2006</v>
      </c>
      <c r="H520" s="71"/>
      <c r="I520" s="71"/>
      <c r="J520" s="61"/>
      <c r="K520" s="62"/>
      <c r="L520" s="63"/>
      <c r="M520" s="59" t="str">
        <f t="shared" si="98"/>
        <v>NA</v>
      </c>
      <c r="N520" s="17"/>
    </row>
    <row r="521">
      <c r="A521" s="9"/>
      <c r="B521" s="38">
        <f t="shared" si="5"/>
        <v>519</v>
      </c>
      <c r="C521" s="34">
        <v>43214.0</v>
      </c>
      <c r="D521" s="12" t="str">
        <f>hyperlink("https://www.rottentomatoes.com/m/black_panther_2018","Black Panther")</f>
        <v>Black Panther</v>
      </c>
      <c r="E521" s="33" t="s">
        <v>422</v>
      </c>
      <c r="F521" s="33">
        <v>13.0</v>
      </c>
      <c r="G521" s="36">
        <v>2018.0</v>
      </c>
      <c r="H521" s="33" t="s">
        <v>379</v>
      </c>
      <c r="I521" s="33" t="s">
        <v>26</v>
      </c>
      <c r="J521" s="57">
        <v>2018.0</v>
      </c>
      <c r="K521" s="58">
        <v>0.96</v>
      </c>
      <c r="L521" s="37">
        <v>135.0</v>
      </c>
      <c r="M521" s="59">
        <f t="shared" si="98"/>
        <v>0.7111111111</v>
      </c>
      <c r="N521" s="17"/>
    </row>
    <row r="522">
      <c r="A522" s="9"/>
      <c r="B522" s="38">
        <f t="shared" si="5"/>
        <v>520</v>
      </c>
      <c r="C522" s="70"/>
      <c r="D522" s="48" t="s">
        <v>438</v>
      </c>
      <c r="E522" s="13" t="s">
        <v>422</v>
      </c>
      <c r="F522" s="13">
        <v>13.0</v>
      </c>
      <c r="G522" s="35" t="str">
        <f t="shared" ref="G522:G529" si="100">IF(C522&gt;40908,"2012",IF(C522&gt;40543,"2011",IF(C522&gt;40178,"2010",IF(C522&gt;=39814,"2009",IF(C522&gt;=39448,"2008",IF(C522&gt;39082,"2007",IF(C522&lt;38717,"Pre-2006","2006")))))))</f>
        <v>Pre-2006</v>
      </c>
      <c r="H522" s="71"/>
      <c r="I522" s="71"/>
      <c r="J522" s="61"/>
      <c r="K522" s="62"/>
      <c r="L522" s="63"/>
      <c r="M522" s="59" t="str">
        <f t="shared" si="98"/>
        <v>NA</v>
      </c>
      <c r="N522" s="17"/>
    </row>
    <row r="523">
      <c r="A523" s="9"/>
      <c r="B523" s="38">
        <f t="shared" si="5"/>
        <v>521</v>
      </c>
      <c r="C523" s="70"/>
      <c r="D523" s="48" t="s">
        <v>439</v>
      </c>
      <c r="E523" s="13" t="s">
        <v>422</v>
      </c>
      <c r="F523" s="13">
        <v>13.0</v>
      </c>
      <c r="G523" s="35" t="str">
        <f t="shared" si="100"/>
        <v>Pre-2006</v>
      </c>
      <c r="H523" s="71"/>
      <c r="I523" s="71"/>
      <c r="J523" s="61"/>
      <c r="K523" s="62"/>
      <c r="L523" s="63"/>
      <c r="M523" s="59" t="str">
        <f t="shared" si="98"/>
        <v>NA</v>
      </c>
      <c r="N523" s="17"/>
    </row>
    <row r="524">
      <c r="A524" s="9"/>
      <c r="B524" s="38">
        <f t="shared" si="5"/>
        <v>522</v>
      </c>
      <c r="C524" s="34">
        <v>40173.0</v>
      </c>
      <c r="D524" s="48" t="s">
        <v>440</v>
      </c>
      <c r="E524" s="13" t="s">
        <v>422</v>
      </c>
      <c r="F524" s="13">
        <v>13.0</v>
      </c>
      <c r="G524" s="35" t="str">
        <f t="shared" si="100"/>
        <v>2009</v>
      </c>
      <c r="H524" s="13" t="s">
        <v>29</v>
      </c>
      <c r="I524" s="13" t="s">
        <v>26</v>
      </c>
      <c r="J524" s="14">
        <v>2009.0</v>
      </c>
      <c r="K524" s="15">
        <v>0.72</v>
      </c>
      <c r="L524" s="14">
        <v>128.0</v>
      </c>
      <c r="M524" s="16">
        <f t="shared" si="98"/>
        <v>0.5625</v>
      </c>
      <c r="N524" s="17"/>
    </row>
    <row r="525">
      <c r="A525" s="9"/>
      <c r="B525" s="38">
        <f t="shared" si="5"/>
        <v>523</v>
      </c>
      <c r="C525" s="70"/>
      <c r="D525" s="48" t="s">
        <v>441</v>
      </c>
      <c r="E525" s="13" t="s">
        <v>422</v>
      </c>
      <c r="F525" s="13">
        <v>13.0</v>
      </c>
      <c r="G525" s="35" t="str">
        <f t="shared" si="100"/>
        <v>Pre-2006</v>
      </c>
      <c r="H525" s="71"/>
      <c r="I525" s="71"/>
      <c r="J525" s="61"/>
      <c r="K525" s="62"/>
      <c r="L525" s="63"/>
      <c r="M525" s="59" t="str">
        <f t="shared" si="98"/>
        <v>NA</v>
      </c>
      <c r="N525" s="17"/>
    </row>
    <row r="526">
      <c r="A526" s="9"/>
      <c r="B526" s="38">
        <f t="shared" si="5"/>
        <v>524</v>
      </c>
      <c r="C526" s="70"/>
      <c r="D526" s="48" t="s">
        <v>442</v>
      </c>
      <c r="E526" s="13" t="s">
        <v>422</v>
      </c>
      <c r="F526" s="13">
        <v>13.0</v>
      </c>
      <c r="G526" s="35" t="str">
        <f t="shared" si="100"/>
        <v>Pre-2006</v>
      </c>
      <c r="H526" s="71"/>
      <c r="I526" s="71"/>
      <c r="J526" s="61"/>
      <c r="K526" s="62"/>
      <c r="L526" s="63"/>
      <c r="M526" s="59" t="str">
        <f t="shared" si="98"/>
        <v>NA</v>
      </c>
      <c r="N526" s="17"/>
    </row>
    <row r="527">
      <c r="A527" s="9"/>
      <c r="B527" s="38">
        <f t="shared" si="5"/>
        <v>525</v>
      </c>
      <c r="C527" s="70"/>
      <c r="D527" s="48" t="s">
        <v>443</v>
      </c>
      <c r="E527" s="13" t="s">
        <v>422</v>
      </c>
      <c r="F527" s="13">
        <v>13.0</v>
      </c>
      <c r="G527" s="35" t="str">
        <f t="shared" si="100"/>
        <v>Pre-2006</v>
      </c>
      <c r="H527" s="71"/>
      <c r="I527" s="71"/>
      <c r="J527" s="61"/>
      <c r="K527" s="62"/>
      <c r="L527" s="63"/>
      <c r="M527" s="59" t="str">
        <f t="shared" si="98"/>
        <v>NA</v>
      </c>
      <c r="N527" s="17"/>
    </row>
    <row r="528">
      <c r="A528" s="9"/>
      <c r="B528" s="38">
        <f t="shared" si="5"/>
        <v>526</v>
      </c>
      <c r="C528" s="34">
        <v>39129.0</v>
      </c>
      <c r="D528" s="48" t="s">
        <v>444</v>
      </c>
      <c r="E528" s="13" t="s">
        <v>422</v>
      </c>
      <c r="F528" s="13">
        <v>13.0</v>
      </c>
      <c r="G528" s="35" t="str">
        <f t="shared" si="100"/>
        <v>2007</v>
      </c>
      <c r="H528" s="71"/>
      <c r="I528" s="71"/>
      <c r="J528" s="61"/>
      <c r="K528" s="62"/>
      <c r="L528" s="63"/>
      <c r="M528" s="59" t="str">
        <f t="shared" si="98"/>
        <v>NA</v>
      </c>
      <c r="N528" s="17"/>
    </row>
    <row r="529">
      <c r="A529" s="9"/>
      <c r="B529" s="38">
        <f t="shared" si="5"/>
        <v>527</v>
      </c>
      <c r="C529" s="34">
        <v>39131.0</v>
      </c>
      <c r="D529" s="48" t="s">
        <v>445</v>
      </c>
      <c r="E529" s="13" t="s">
        <v>422</v>
      </c>
      <c r="F529" s="13">
        <v>13.0</v>
      </c>
      <c r="G529" s="35" t="str">
        <f t="shared" si="100"/>
        <v>2007</v>
      </c>
      <c r="H529" s="71"/>
      <c r="I529" s="71"/>
      <c r="J529" s="61"/>
      <c r="K529" s="62"/>
      <c r="L529" s="63"/>
      <c r="M529" s="59" t="str">
        <f t="shared" si="98"/>
        <v>NA</v>
      </c>
      <c r="N529" s="17"/>
    </row>
    <row r="530">
      <c r="A530" s="9"/>
      <c r="B530" s="38">
        <f t="shared" si="5"/>
        <v>528</v>
      </c>
      <c r="C530" s="34">
        <v>41745.0</v>
      </c>
      <c r="D530" s="12" t="str">
        <f>hyperlink("http://www.rottentomatoes.com/m/captain_america_the_winter_soldier_2014/","Captain America: The Winter Soldier")</f>
        <v>Captain America: The Winter Soldier</v>
      </c>
      <c r="E530" s="13" t="s">
        <v>422</v>
      </c>
      <c r="F530" s="13">
        <v>13.0</v>
      </c>
      <c r="G530" s="13">
        <v>2014.0</v>
      </c>
      <c r="H530" s="13" t="s">
        <v>446</v>
      </c>
      <c r="I530" s="13" t="s">
        <v>26</v>
      </c>
      <c r="J530" s="55">
        <v>2014.0</v>
      </c>
      <c r="K530" s="56">
        <v>0.89</v>
      </c>
      <c r="L530" s="14">
        <v>136.0</v>
      </c>
      <c r="M530" s="16">
        <f t="shared" si="98"/>
        <v>0.6544117647</v>
      </c>
      <c r="N530" s="17"/>
    </row>
    <row r="531">
      <c r="A531" s="9"/>
      <c r="B531" s="38">
        <f t="shared" si="5"/>
        <v>529</v>
      </c>
      <c r="C531" s="34">
        <v>39315.0</v>
      </c>
      <c r="D531" s="48" t="s">
        <v>447</v>
      </c>
      <c r="E531" s="13" t="s">
        <v>422</v>
      </c>
      <c r="F531" s="13">
        <v>13.0</v>
      </c>
      <c r="G531" s="35" t="str">
        <f>IF(C531&gt;40908,"2012",IF(C531&gt;40543,"2011",IF(C531&gt;40178,"2010",IF(C531&gt;=39814,"2009",IF(C531&gt;=39448,"2008",IF(C531&gt;39082,"2007",IF(C531&lt;38717,"Pre-2006","2006")))))))</f>
        <v>2007</v>
      </c>
      <c r="H531" s="13" t="s">
        <v>15</v>
      </c>
      <c r="I531" s="13" t="s">
        <v>21</v>
      </c>
      <c r="J531" s="61"/>
      <c r="K531" s="62"/>
      <c r="L531" s="63"/>
      <c r="M531" s="59" t="str">
        <f t="shared" si="98"/>
        <v>NA</v>
      </c>
      <c r="N531" s="17"/>
    </row>
    <row r="532">
      <c r="A532" s="9"/>
      <c r="B532" s="38">
        <f t="shared" si="5"/>
        <v>530</v>
      </c>
      <c r="C532" s="34">
        <v>42238.0</v>
      </c>
      <c r="D532" s="12" t="str">
        <f>hyperlink("http://www.rottentomatoes.com/m/casting_by/","Casting By")</f>
        <v>Casting By</v>
      </c>
      <c r="E532" s="33" t="s">
        <v>422</v>
      </c>
      <c r="F532" s="33">
        <v>13.0</v>
      </c>
      <c r="G532" s="36">
        <v>2015.0</v>
      </c>
      <c r="H532" s="33" t="s">
        <v>58</v>
      </c>
      <c r="I532" s="33" t="s">
        <v>77</v>
      </c>
      <c r="J532" s="57">
        <v>2013.0</v>
      </c>
      <c r="K532" s="58">
        <v>0.93</v>
      </c>
      <c r="L532" s="37">
        <v>89.0</v>
      </c>
      <c r="M532" s="59">
        <f t="shared" si="98"/>
        <v>1.04494382</v>
      </c>
      <c r="N532" s="17"/>
    </row>
    <row r="533">
      <c r="A533" s="9"/>
      <c r="B533" s="38">
        <f t="shared" si="5"/>
        <v>531</v>
      </c>
      <c r="C533" s="34">
        <v>42171.0</v>
      </c>
      <c r="D533" s="12" t="str">
        <f>hyperlink("http://www.rottentomatoes.com/m/champs/","Champs")</f>
        <v>Champs</v>
      </c>
      <c r="E533" s="33" t="s">
        <v>422</v>
      </c>
      <c r="F533" s="33">
        <v>13.0</v>
      </c>
      <c r="G533" s="36">
        <v>2015.0</v>
      </c>
      <c r="H533" s="33" t="s">
        <v>448</v>
      </c>
      <c r="I533" s="33" t="s">
        <v>77</v>
      </c>
      <c r="J533" s="57">
        <v>2015.0</v>
      </c>
      <c r="K533" s="58">
        <v>0.56</v>
      </c>
      <c r="L533" s="37">
        <v>85.0</v>
      </c>
      <c r="M533" s="59">
        <f t="shared" si="98"/>
        <v>0.6588235294</v>
      </c>
      <c r="N533" s="17"/>
    </row>
    <row r="534">
      <c r="A534" s="9"/>
      <c r="B534" s="38">
        <f t="shared" si="5"/>
        <v>532</v>
      </c>
      <c r="C534" s="34">
        <v>39097.0</v>
      </c>
      <c r="D534" s="48" t="s">
        <v>449</v>
      </c>
      <c r="E534" s="13" t="s">
        <v>422</v>
      </c>
      <c r="F534" s="13">
        <v>13.0</v>
      </c>
      <c r="G534" s="35" t="str">
        <f t="shared" ref="G534:G541" si="101">IF(C534&gt;40908,"2012",IF(C534&gt;40543,"2011",IF(C534&gt;40178,"2010",IF(C534&gt;=39814,"2009",IF(C534&gt;=39448,"2008",IF(C534&gt;39082,"2007",IF(C534&lt;38717,"Pre-2006","2006")))))))</f>
        <v>2007</v>
      </c>
      <c r="H534" s="71"/>
      <c r="I534" s="71"/>
      <c r="J534" s="61"/>
      <c r="K534" s="62"/>
      <c r="L534" s="63"/>
      <c r="M534" s="59" t="str">
        <f t="shared" si="98"/>
        <v>NA</v>
      </c>
      <c r="N534" s="17"/>
    </row>
    <row r="535">
      <c r="A535" s="9"/>
      <c r="B535" s="38">
        <f t="shared" si="5"/>
        <v>533</v>
      </c>
      <c r="C535" s="70"/>
      <c r="D535" s="48" t="s">
        <v>450</v>
      </c>
      <c r="E535" s="13" t="s">
        <v>422</v>
      </c>
      <c r="F535" s="13">
        <v>13.0</v>
      </c>
      <c r="G535" s="35" t="str">
        <f t="shared" si="101"/>
        <v>Pre-2006</v>
      </c>
      <c r="H535" s="71"/>
      <c r="I535" s="71"/>
      <c r="J535" s="61"/>
      <c r="K535" s="62"/>
      <c r="L535" s="63"/>
      <c r="M535" s="59" t="str">
        <f t="shared" si="98"/>
        <v>NA</v>
      </c>
      <c r="N535" s="17"/>
    </row>
    <row r="536">
      <c r="A536" s="9"/>
      <c r="B536" s="38">
        <f t="shared" si="5"/>
        <v>534</v>
      </c>
      <c r="C536" s="70"/>
      <c r="D536" s="48" t="s">
        <v>451</v>
      </c>
      <c r="E536" s="13" t="s">
        <v>422</v>
      </c>
      <c r="F536" s="13">
        <v>13.0</v>
      </c>
      <c r="G536" s="35" t="str">
        <f t="shared" si="101"/>
        <v>Pre-2006</v>
      </c>
      <c r="H536" s="71"/>
      <c r="I536" s="71"/>
      <c r="J536" s="61"/>
      <c r="K536" s="62"/>
      <c r="L536" s="63"/>
      <c r="M536" s="59" t="str">
        <f t="shared" si="98"/>
        <v>NA</v>
      </c>
      <c r="N536" s="17"/>
    </row>
    <row r="537">
      <c r="A537" s="9"/>
      <c r="B537" s="38">
        <f t="shared" si="5"/>
        <v>535</v>
      </c>
      <c r="C537" s="70"/>
      <c r="D537" s="48" t="s">
        <v>452</v>
      </c>
      <c r="E537" s="13" t="s">
        <v>422</v>
      </c>
      <c r="F537" s="13">
        <v>13.0</v>
      </c>
      <c r="G537" s="35" t="str">
        <f t="shared" si="101"/>
        <v>Pre-2006</v>
      </c>
      <c r="H537" s="71"/>
      <c r="I537" s="71"/>
      <c r="J537" s="61"/>
      <c r="K537" s="62"/>
      <c r="L537" s="63"/>
      <c r="M537" s="59" t="str">
        <f t="shared" si="98"/>
        <v>NA</v>
      </c>
      <c r="N537" s="17"/>
    </row>
    <row r="538">
      <c r="A538" s="9"/>
      <c r="B538" s="38">
        <f t="shared" si="5"/>
        <v>536</v>
      </c>
      <c r="C538" s="70"/>
      <c r="D538" s="48" t="s">
        <v>453</v>
      </c>
      <c r="E538" s="13" t="s">
        <v>422</v>
      </c>
      <c r="F538" s="13">
        <v>13.0</v>
      </c>
      <c r="G538" s="35" t="str">
        <f t="shared" si="101"/>
        <v>Pre-2006</v>
      </c>
      <c r="H538" s="71"/>
      <c r="I538" s="71"/>
      <c r="J538" s="61"/>
      <c r="K538" s="62"/>
      <c r="L538" s="63"/>
      <c r="M538" s="59" t="str">
        <f t="shared" si="98"/>
        <v>NA</v>
      </c>
      <c r="N538" s="17"/>
    </row>
    <row r="539">
      <c r="A539" s="9"/>
      <c r="B539" s="38">
        <f t="shared" si="5"/>
        <v>537</v>
      </c>
      <c r="C539" s="70"/>
      <c r="D539" s="48" t="s">
        <v>454</v>
      </c>
      <c r="E539" s="13" t="s">
        <v>422</v>
      </c>
      <c r="F539" s="13">
        <v>13.0</v>
      </c>
      <c r="G539" s="35" t="str">
        <f t="shared" si="101"/>
        <v>Pre-2006</v>
      </c>
      <c r="H539" s="71"/>
      <c r="I539" s="71"/>
      <c r="J539" s="61"/>
      <c r="K539" s="62"/>
      <c r="L539" s="63"/>
      <c r="M539" s="59" t="str">
        <f t="shared" si="98"/>
        <v>NA</v>
      </c>
      <c r="N539" s="17"/>
    </row>
    <row r="540">
      <c r="A540" s="9"/>
      <c r="B540" s="38">
        <f t="shared" si="5"/>
        <v>538</v>
      </c>
      <c r="C540" s="34">
        <v>39520.0</v>
      </c>
      <c r="D540" s="48" t="s">
        <v>455</v>
      </c>
      <c r="E540" s="13" t="s">
        <v>422</v>
      </c>
      <c r="F540" s="13">
        <v>13.0</v>
      </c>
      <c r="G540" s="35" t="str">
        <f t="shared" si="101"/>
        <v>2008</v>
      </c>
      <c r="H540" s="13" t="s">
        <v>17</v>
      </c>
      <c r="I540" s="13" t="s">
        <v>47</v>
      </c>
      <c r="J540" s="14">
        <v>2006.0</v>
      </c>
      <c r="K540" s="15">
        <v>0.7</v>
      </c>
      <c r="L540" s="14">
        <v>118.0</v>
      </c>
      <c r="M540" s="16">
        <f t="shared" si="98"/>
        <v>0.593220339</v>
      </c>
      <c r="N540" s="17"/>
    </row>
    <row r="541">
      <c r="A541" s="9"/>
      <c r="B541" s="38">
        <f t="shared" si="5"/>
        <v>539</v>
      </c>
      <c r="C541" s="70"/>
      <c r="D541" s="48" t="s">
        <v>456</v>
      </c>
      <c r="E541" s="13" t="s">
        <v>422</v>
      </c>
      <c r="F541" s="13">
        <v>13.0</v>
      </c>
      <c r="G541" s="35" t="str">
        <f t="shared" si="101"/>
        <v>Pre-2006</v>
      </c>
      <c r="H541" s="71"/>
      <c r="I541" s="71"/>
      <c r="J541" s="61"/>
      <c r="K541" s="62"/>
      <c r="L541" s="63"/>
      <c r="M541" s="59" t="str">
        <f t="shared" si="98"/>
        <v>NA</v>
      </c>
      <c r="N541" s="17"/>
    </row>
    <row r="542">
      <c r="A542" s="9"/>
      <c r="B542" s="38">
        <f t="shared" si="5"/>
        <v>540</v>
      </c>
      <c r="C542" s="34">
        <v>44860.0</v>
      </c>
      <c r="D542" s="12" t="str">
        <f>hyperlink("https://www.rottentomatoes.com/m/confess_fletch","Confess, Fletch")</f>
        <v>Confess, Fletch</v>
      </c>
      <c r="E542" s="33" t="s">
        <v>422</v>
      </c>
      <c r="F542" s="33">
        <v>13.0</v>
      </c>
      <c r="G542" s="36">
        <v>2022.0</v>
      </c>
      <c r="H542" s="33" t="s">
        <v>126</v>
      </c>
      <c r="I542" s="33" t="s">
        <v>399</v>
      </c>
      <c r="J542" s="57">
        <v>2022.0</v>
      </c>
      <c r="K542" s="58">
        <v>0.86</v>
      </c>
      <c r="L542" s="37">
        <v>98.0</v>
      </c>
      <c r="M542" s="16">
        <f t="shared" si="98"/>
        <v>0.8775510204</v>
      </c>
      <c r="N542" s="17"/>
    </row>
    <row r="543">
      <c r="A543" s="9"/>
      <c r="B543" s="38">
        <f t="shared" si="5"/>
        <v>541</v>
      </c>
      <c r="C543" s="34">
        <v>40862.0</v>
      </c>
      <c r="D543" s="48" t="s">
        <v>457</v>
      </c>
      <c r="E543" s="13" t="s">
        <v>422</v>
      </c>
      <c r="F543" s="13">
        <v>13.0</v>
      </c>
      <c r="G543" s="35" t="str">
        <f t="shared" ref="G543:G546" si="102">IF(C543&gt;40908,"2012",IF(C543&gt;40543,"2011",IF(C543&gt;40178,"2010",IF(C543&gt;=39814,"2009",IF(C543&gt;=39448,"2008",IF(C543&gt;39082,"2007",IF(C543&lt;38717,"Pre-2006","2006")))))))</f>
        <v>2011</v>
      </c>
      <c r="H543" s="13" t="s">
        <v>25</v>
      </c>
      <c r="I543" s="13" t="s">
        <v>399</v>
      </c>
      <c r="J543" s="14">
        <v>2011.0</v>
      </c>
      <c r="K543" s="15">
        <v>0.78</v>
      </c>
      <c r="L543" s="14">
        <v>117.0</v>
      </c>
      <c r="M543" s="16">
        <f t="shared" si="98"/>
        <v>0.6666666667</v>
      </c>
      <c r="N543" s="17"/>
    </row>
    <row r="544">
      <c r="A544" s="9"/>
      <c r="B544" s="38">
        <f t="shared" si="5"/>
        <v>542</v>
      </c>
      <c r="C544" s="70"/>
      <c r="D544" s="48" t="s">
        <v>458</v>
      </c>
      <c r="E544" s="13" t="s">
        <v>422</v>
      </c>
      <c r="F544" s="13">
        <v>13.0</v>
      </c>
      <c r="G544" s="35" t="str">
        <f t="shared" si="102"/>
        <v>Pre-2006</v>
      </c>
      <c r="H544" s="71"/>
      <c r="I544" s="71"/>
      <c r="J544" s="61"/>
      <c r="K544" s="62"/>
      <c r="L544" s="63"/>
      <c r="M544" s="59" t="str">
        <f t="shared" si="98"/>
        <v>NA</v>
      </c>
      <c r="N544" s="17"/>
    </row>
    <row r="545">
      <c r="A545" s="9"/>
      <c r="B545" s="38">
        <f t="shared" si="5"/>
        <v>543</v>
      </c>
      <c r="C545" s="34">
        <v>39824.0</v>
      </c>
      <c r="D545" s="48" t="s">
        <v>459</v>
      </c>
      <c r="E545" s="13" t="s">
        <v>422</v>
      </c>
      <c r="F545" s="13">
        <v>13.0</v>
      </c>
      <c r="G545" s="35" t="str">
        <f t="shared" si="102"/>
        <v>2009</v>
      </c>
      <c r="H545" s="13" t="s">
        <v>27</v>
      </c>
      <c r="I545" s="13" t="s">
        <v>26</v>
      </c>
      <c r="J545" s="14">
        <v>2008.0</v>
      </c>
      <c r="K545" s="15">
        <v>0.72</v>
      </c>
      <c r="L545" s="14">
        <v>166.0</v>
      </c>
      <c r="M545" s="16">
        <f t="shared" si="98"/>
        <v>0.4337349398</v>
      </c>
      <c r="N545" s="17"/>
    </row>
    <row r="546">
      <c r="A546" s="9"/>
      <c r="B546" s="38">
        <f t="shared" si="5"/>
        <v>544</v>
      </c>
      <c r="C546" s="70"/>
      <c r="D546" s="48" t="s">
        <v>460</v>
      </c>
      <c r="E546" s="13" t="s">
        <v>422</v>
      </c>
      <c r="F546" s="13">
        <v>13.0</v>
      </c>
      <c r="G546" s="35" t="str">
        <f t="shared" si="102"/>
        <v>Pre-2006</v>
      </c>
      <c r="H546" s="71"/>
      <c r="I546" s="71"/>
      <c r="J546" s="61"/>
      <c r="K546" s="62"/>
      <c r="L546" s="63"/>
      <c r="M546" s="59" t="str">
        <f t="shared" si="98"/>
        <v>NA</v>
      </c>
      <c r="N546" s="17"/>
    </row>
    <row r="547">
      <c r="A547" s="9"/>
      <c r="B547" s="38">
        <f t="shared" si="5"/>
        <v>545</v>
      </c>
      <c r="C547" s="34">
        <v>41114.0</v>
      </c>
      <c r="D547" s="48" t="s">
        <v>461</v>
      </c>
      <c r="E547" s="13" t="s">
        <v>422</v>
      </c>
      <c r="F547" s="13">
        <v>13.0</v>
      </c>
      <c r="G547" s="13">
        <v>2012.0</v>
      </c>
      <c r="H547" s="13" t="s">
        <v>143</v>
      </c>
      <c r="I547" s="13" t="s">
        <v>26</v>
      </c>
      <c r="J547" s="55">
        <v>2012.0</v>
      </c>
      <c r="K547" s="56">
        <v>0.87</v>
      </c>
      <c r="L547" s="14">
        <v>165.0</v>
      </c>
      <c r="M547" s="16">
        <f t="shared" si="98"/>
        <v>0.5272727273</v>
      </c>
      <c r="N547" s="17"/>
    </row>
    <row r="548">
      <c r="A548" s="9"/>
      <c r="B548" s="38">
        <f t="shared" si="5"/>
        <v>546</v>
      </c>
      <c r="C548" s="70"/>
      <c r="D548" s="48" t="s">
        <v>462</v>
      </c>
      <c r="E548" s="13" t="s">
        <v>422</v>
      </c>
      <c r="F548" s="13">
        <v>13.0</v>
      </c>
      <c r="G548" s="35" t="str">
        <f t="shared" ref="G548:G551" si="103">IF(C548&gt;40908,"2012",IF(C548&gt;40543,"2011",IF(C548&gt;40178,"2010",IF(C548&gt;=39814,"2009",IF(C548&gt;=39448,"2008",IF(C548&gt;39082,"2007",IF(C548&lt;38717,"Pre-2006","2006")))))))</f>
        <v>Pre-2006</v>
      </c>
      <c r="H548" s="71"/>
      <c r="I548" s="71"/>
      <c r="J548" s="61"/>
      <c r="K548" s="62"/>
      <c r="L548" s="63"/>
      <c r="M548" s="59" t="str">
        <f t="shared" si="98"/>
        <v>NA</v>
      </c>
      <c r="N548" s="17"/>
    </row>
    <row r="549">
      <c r="A549" s="9"/>
      <c r="B549" s="38">
        <f t="shared" si="5"/>
        <v>547</v>
      </c>
      <c r="C549" s="70"/>
      <c r="D549" s="48" t="s">
        <v>463</v>
      </c>
      <c r="E549" s="13" t="s">
        <v>422</v>
      </c>
      <c r="F549" s="13">
        <v>13.0</v>
      </c>
      <c r="G549" s="35" t="str">
        <f t="shared" si="103"/>
        <v>Pre-2006</v>
      </c>
      <c r="H549" s="71"/>
      <c r="I549" s="71"/>
      <c r="J549" s="61"/>
      <c r="K549" s="62"/>
      <c r="L549" s="63"/>
      <c r="M549" s="59" t="str">
        <f t="shared" si="98"/>
        <v>NA</v>
      </c>
      <c r="N549" s="17"/>
    </row>
    <row r="550">
      <c r="A550" s="9"/>
      <c r="B550" s="38">
        <f t="shared" si="5"/>
        <v>548</v>
      </c>
      <c r="C550" s="70"/>
      <c r="D550" s="48" t="s">
        <v>464</v>
      </c>
      <c r="E550" s="13" t="s">
        <v>422</v>
      </c>
      <c r="F550" s="13">
        <v>13.0</v>
      </c>
      <c r="G550" s="35" t="str">
        <f t="shared" si="103"/>
        <v>Pre-2006</v>
      </c>
      <c r="H550" s="71"/>
      <c r="I550" s="71"/>
      <c r="J550" s="61"/>
      <c r="K550" s="62"/>
      <c r="L550" s="63"/>
      <c r="M550" s="59" t="str">
        <f t="shared" si="98"/>
        <v>NA</v>
      </c>
      <c r="N550" s="17"/>
    </row>
    <row r="551">
      <c r="A551" s="9"/>
      <c r="B551" s="38">
        <f t="shared" si="5"/>
        <v>549</v>
      </c>
      <c r="C551" s="34">
        <v>39496.0</v>
      </c>
      <c r="D551" s="48" t="s">
        <v>465</v>
      </c>
      <c r="E551" s="13" t="s">
        <v>422</v>
      </c>
      <c r="F551" s="13">
        <v>13.0</v>
      </c>
      <c r="G551" s="35" t="str">
        <f t="shared" si="103"/>
        <v>2008</v>
      </c>
      <c r="H551" s="13" t="s">
        <v>17</v>
      </c>
      <c r="I551" s="13" t="s">
        <v>26</v>
      </c>
      <c r="J551" s="14">
        <v>2007.0</v>
      </c>
      <c r="K551" s="15">
        <v>0.93</v>
      </c>
      <c r="L551" s="14">
        <v>112.0</v>
      </c>
      <c r="M551" s="16">
        <f t="shared" si="98"/>
        <v>0.8303571429</v>
      </c>
      <c r="N551" s="17"/>
    </row>
    <row r="552">
      <c r="A552" s="9"/>
      <c r="B552" s="38">
        <f t="shared" si="5"/>
        <v>550</v>
      </c>
      <c r="C552" s="34">
        <v>41271.0</v>
      </c>
      <c r="D552" s="48" t="s">
        <v>466</v>
      </c>
      <c r="E552" s="13" t="s">
        <v>422</v>
      </c>
      <c r="F552" s="13">
        <v>13.0</v>
      </c>
      <c r="G552" s="13">
        <v>2012.0</v>
      </c>
      <c r="H552" s="13" t="s">
        <v>467</v>
      </c>
      <c r="I552" s="13" t="s">
        <v>26</v>
      </c>
      <c r="J552" s="14">
        <v>2012.0</v>
      </c>
      <c r="K552" s="15">
        <v>0.89</v>
      </c>
      <c r="L552" s="14">
        <v>166.0</v>
      </c>
      <c r="M552" s="16">
        <f t="shared" si="98"/>
        <v>0.5361445783</v>
      </c>
      <c r="N552" s="17"/>
    </row>
    <row r="553">
      <c r="A553" s="9"/>
      <c r="B553" s="38">
        <f t="shared" si="5"/>
        <v>551</v>
      </c>
      <c r="C553" s="34">
        <v>39456.0</v>
      </c>
      <c r="D553" s="48" t="s">
        <v>468</v>
      </c>
      <c r="E553" s="13" t="s">
        <v>422</v>
      </c>
      <c r="F553" s="13">
        <v>13.0</v>
      </c>
      <c r="G553" s="35" t="str">
        <f t="shared" ref="G553:G554" si="104">IF(C553&gt;40908,"2012",IF(C553&gt;40543,"2011",IF(C553&gt;40178,"2010",IF(C553&gt;=39814,"2009",IF(C553&gt;=39448,"2008",IF(C553&gt;39082,"2007",IF(C553&lt;38717,"Pre-2006","2006")))))))</f>
        <v>2008</v>
      </c>
      <c r="H553" s="13" t="s">
        <v>17</v>
      </c>
      <c r="I553" s="13" t="s">
        <v>47</v>
      </c>
      <c r="J553" s="14">
        <v>2004.0</v>
      </c>
      <c r="K553" s="15">
        <v>0.69</v>
      </c>
      <c r="L553" s="14">
        <v>96.0</v>
      </c>
      <c r="M553" s="16">
        <f t="shared" si="98"/>
        <v>0.71875</v>
      </c>
      <c r="N553" s="17"/>
    </row>
    <row r="554">
      <c r="A554" s="9"/>
      <c r="B554" s="38">
        <f t="shared" si="5"/>
        <v>552</v>
      </c>
      <c r="C554" s="34">
        <v>39331.0</v>
      </c>
      <c r="D554" s="48" t="s">
        <v>469</v>
      </c>
      <c r="E554" s="13" t="s">
        <v>422</v>
      </c>
      <c r="F554" s="13">
        <v>13.0</v>
      </c>
      <c r="G554" s="35" t="str">
        <f t="shared" si="104"/>
        <v>2007</v>
      </c>
      <c r="H554" s="13" t="s">
        <v>17</v>
      </c>
      <c r="I554" s="13" t="s">
        <v>47</v>
      </c>
      <c r="J554" s="61"/>
      <c r="K554" s="62"/>
      <c r="L554" s="63"/>
      <c r="M554" s="59" t="str">
        <f t="shared" si="98"/>
        <v>NA</v>
      </c>
      <c r="N554" s="17"/>
    </row>
    <row r="555">
      <c r="A555" s="9"/>
      <c r="B555" s="38">
        <f t="shared" si="5"/>
        <v>553</v>
      </c>
      <c r="C555" s="34">
        <v>41671.0</v>
      </c>
      <c r="D555" s="12" t="str">
        <f>hyperlink("http://www.rottentomatoes.com/m/don_jon/","Don Jon")</f>
        <v>Don Jon</v>
      </c>
      <c r="E555" s="13" t="s">
        <v>422</v>
      </c>
      <c r="F555" s="13">
        <v>13.0</v>
      </c>
      <c r="G555" s="13">
        <v>2014.0</v>
      </c>
      <c r="H555" s="13" t="s">
        <v>25</v>
      </c>
      <c r="I555" s="13" t="s">
        <v>47</v>
      </c>
      <c r="J555" s="55">
        <v>2013.0</v>
      </c>
      <c r="K555" s="56">
        <v>0.81</v>
      </c>
      <c r="L555" s="14">
        <v>90.0</v>
      </c>
      <c r="M555" s="16">
        <f t="shared" si="98"/>
        <v>0.9</v>
      </c>
      <c r="N555" s="17"/>
    </row>
    <row r="556">
      <c r="A556" s="9"/>
      <c r="B556" s="38">
        <f t="shared" si="5"/>
        <v>554</v>
      </c>
      <c r="C556" s="34">
        <v>42699.0</v>
      </c>
      <c r="D556" s="74" t="str">
        <f>hyperlink("https://www.rottentomatoes.com/m/dont_think_twice","Don't Think Twice")</f>
        <v>Don't Think Twice</v>
      </c>
      <c r="E556" s="33" t="s">
        <v>422</v>
      </c>
      <c r="F556" s="33">
        <v>13.0</v>
      </c>
      <c r="G556" s="36">
        <v>2016.0</v>
      </c>
      <c r="H556" s="33" t="s">
        <v>58</v>
      </c>
      <c r="I556" s="33" t="s">
        <v>47</v>
      </c>
      <c r="J556" s="57">
        <v>2016.0</v>
      </c>
      <c r="K556" s="58">
        <v>0.99</v>
      </c>
      <c r="L556" s="37">
        <v>92.0</v>
      </c>
      <c r="M556" s="16">
        <f>K556/L556*100</f>
        <v>1.076086957</v>
      </c>
      <c r="N556" s="17"/>
    </row>
    <row r="557">
      <c r="A557" s="9"/>
      <c r="B557" s="38">
        <f t="shared" si="5"/>
        <v>555</v>
      </c>
      <c r="C557" s="34"/>
      <c r="D557" s="48" t="s">
        <v>470</v>
      </c>
      <c r="E557" s="13" t="s">
        <v>422</v>
      </c>
      <c r="F557" s="13">
        <v>13.0</v>
      </c>
      <c r="G557" s="35" t="str">
        <f>IF(C557&gt;40908,"2012",IF(C557&gt;40543,"2011",IF(C557&gt;40178,"2010",IF(C557&gt;=39814,"2009",IF(C557&gt;=39448,"2008",IF(C557&gt;39082,"2007",IF(C557&lt;38717,"Pre-2006","2006")))))))</f>
        <v>Pre-2006</v>
      </c>
      <c r="H557" s="71"/>
      <c r="I557" s="71"/>
      <c r="J557" s="61"/>
      <c r="K557" s="62"/>
      <c r="L557" s="63"/>
      <c r="M557" s="59" t="str">
        <f t="shared" ref="M557:M566" si="105">if(iserror(K557/L557*100),"NA",K557/L557*100)</f>
        <v>NA</v>
      </c>
      <c r="N557" s="17"/>
    </row>
    <row r="558">
      <c r="A558" s="9"/>
      <c r="B558" s="38">
        <f t="shared" si="5"/>
        <v>556</v>
      </c>
      <c r="C558" s="34">
        <v>42083.0</v>
      </c>
      <c r="D558" s="12" t="str">
        <f>hyperlink("http://www.rottentomatoes.com/m/the_drop/","Drop, The")</f>
        <v>Drop, The</v>
      </c>
      <c r="E558" s="33" t="s">
        <v>422</v>
      </c>
      <c r="F558" s="33">
        <v>13.0</v>
      </c>
      <c r="G558" s="36">
        <v>2015.0</v>
      </c>
      <c r="H558" s="33" t="s">
        <v>25</v>
      </c>
      <c r="I558" s="33" t="s">
        <v>47</v>
      </c>
      <c r="J558" s="57">
        <v>2014.0</v>
      </c>
      <c r="K558" s="58">
        <v>0.89</v>
      </c>
      <c r="L558" s="37">
        <v>106.0</v>
      </c>
      <c r="M558" s="59">
        <f t="shared" si="105"/>
        <v>0.8396226415</v>
      </c>
      <c r="N558" s="17"/>
    </row>
    <row r="559">
      <c r="A559" s="9"/>
      <c r="B559" s="38">
        <f t="shared" si="5"/>
        <v>557</v>
      </c>
      <c r="C559" s="34">
        <v>44669.0</v>
      </c>
      <c r="D559" s="12" t="str">
        <f>hyperlink("https://www.rottentomatoes.com/m/dune_2021","Dune")</f>
        <v>Dune</v>
      </c>
      <c r="E559" s="33" t="s">
        <v>422</v>
      </c>
      <c r="F559" s="33">
        <v>13.0</v>
      </c>
      <c r="G559" s="36">
        <v>2022.0</v>
      </c>
      <c r="H559" s="33" t="s">
        <v>58</v>
      </c>
      <c r="I559" s="33" t="s">
        <v>471</v>
      </c>
      <c r="J559" s="57">
        <v>2021.0</v>
      </c>
      <c r="K559" s="58">
        <v>0.83</v>
      </c>
      <c r="L559" s="37">
        <v>135.0</v>
      </c>
      <c r="M559" s="59">
        <f t="shared" si="105"/>
        <v>0.6148148148</v>
      </c>
      <c r="N559" s="17"/>
    </row>
    <row r="560">
      <c r="A560" s="9"/>
      <c r="B560" s="38">
        <f t="shared" si="5"/>
        <v>558</v>
      </c>
      <c r="C560" s="34"/>
      <c r="D560" s="84" t="s">
        <v>472</v>
      </c>
      <c r="E560" s="13" t="s">
        <v>422</v>
      </c>
      <c r="F560" s="13">
        <v>13.0</v>
      </c>
      <c r="G560" s="35" t="str">
        <f>IF(C560&gt;40908,"2012",IF(C560&gt;40543,"2011",IF(C560&gt;40178,"2010",IF(C560&gt;=39814,"2009",IF(C560&gt;=39448,"2008",IF(C560&gt;39082,"2007",IF(C560&lt;38717,"Pre-2006","2006")))))))</f>
        <v>Pre-2006</v>
      </c>
      <c r="H560" s="71"/>
      <c r="I560" s="71"/>
      <c r="J560" s="61"/>
      <c r="K560" s="62"/>
      <c r="L560" s="63"/>
      <c r="M560" s="59" t="str">
        <f t="shared" si="105"/>
        <v>NA</v>
      </c>
      <c r="N560" s="17"/>
    </row>
    <row r="561">
      <c r="A561" s="9"/>
      <c r="B561" s="38">
        <f t="shared" si="5"/>
        <v>559</v>
      </c>
      <c r="C561" s="34">
        <v>43429.0</v>
      </c>
      <c r="D561" s="12" t="str">
        <f>hyperlink("https://www.rottentomatoes.com/m/eighth_grade","Eight Grade")</f>
        <v>Eight Grade</v>
      </c>
      <c r="E561" s="33" t="s">
        <v>422</v>
      </c>
      <c r="F561" s="33">
        <v>13.0</v>
      </c>
      <c r="G561" s="36">
        <v>2018.0</v>
      </c>
      <c r="H561" s="33" t="s">
        <v>58</v>
      </c>
      <c r="I561" s="33" t="s">
        <v>47</v>
      </c>
      <c r="J561" s="57">
        <v>2018.0</v>
      </c>
      <c r="K561" s="58">
        <v>0.99</v>
      </c>
      <c r="L561" s="37">
        <v>94.0</v>
      </c>
      <c r="M561" s="59">
        <f t="shared" si="105"/>
        <v>1.053191489</v>
      </c>
      <c r="N561" s="17"/>
    </row>
    <row r="562">
      <c r="A562" s="9"/>
      <c r="B562" s="38">
        <f t="shared" si="5"/>
        <v>560</v>
      </c>
      <c r="C562" s="34">
        <v>43753.0</v>
      </c>
      <c r="D562" s="12" t="str">
        <f>hyperlink("https://rottentomatoes.com/m/el_camino_a_breaking_bad_movie","El Camino: A Breaking Bad movie")</f>
        <v>El Camino: A Breaking Bad movie</v>
      </c>
      <c r="E562" s="33" t="s">
        <v>422</v>
      </c>
      <c r="F562" s="33">
        <v>13.0</v>
      </c>
      <c r="G562" s="36">
        <v>2019.0</v>
      </c>
      <c r="H562" s="33" t="s">
        <v>58</v>
      </c>
      <c r="I562" s="33" t="s">
        <v>77</v>
      </c>
      <c r="J562" s="57">
        <v>2019.0</v>
      </c>
      <c r="K562" s="58">
        <v>0.91</v>
      </c>
      <c r="L562" s="37">
        <v>122.0</v>
      </c>
      <c r="M562" s="59">
        <f t="shared" si="105"/>
        <v>0.7459016393</v>
      </c>
      <c r="N562" s="17"/>
    </row>
    <row r="563">
      <c r="A563" s="9"/>
      <c r="B563" s="38">
        <f t="shared" si="5"/>
        <v>561</v>
      </c>
      <c r="C563" s="34">
        <v>45184.0</v>
      </c>
      <c r="D563" s="12" t="str">
        <f>hyperlink("https://www.rottentomatoes.com/m/the_equalizer_3","Equalizer 3, The")</f>
        <v>Equalizer 3, The</v>
      </c>
      <c r="E563" s="33" t="s">
        <v>422</v>
      </c>
      <c r="F563" s="33">
        <v>13.0</v>
      </c>
      <c r="G563" s="36">
        <v>2023.0</v>
      </c>
      <c r="H563" s="33" t="s">
        <v>379</v>
      </c>
      <c r="I563" s="33" t="s">
        <v>26</v>
      </c>
      <c r="J563" s="57">
        <v>2023.0</v>
      </c>
      <c r="K563" s="58">
        <v>0.75</v>
      </c>
      <c r="L563" s="37">
        <v>109.0</v>
      </c>
      <c r="M563" s="59">
        <f t="shared" si="105"/>
        <v>0.6880733945</v>
      </c>
      <c r="N563" s="17"/>
    </row>
    <row r="564">
      <c r="A564" s="9"/>
      <c r="B564" s="38">
        <f t="shared" si="5"/>
        <v>562</v>
      </c>
      <c r="C564" s="34"/>
      <c r="D564" s="84" t="s">
        <v>473</v>
      </c>
      <c r="E564" s="13" t="s">
        <v>422</v>
      </c>
      <c r="F564" s="13">
        <v>13.0</v>
      </c>
      <c r="G564" s="35" t="str">
        <f>IF(C564&gt;40908,"2012",IF(C564&gt;40543,"2011",IF(C564&gt;40178,"2010",IF(C564&gt;=39814,"2009",IF(C564&gt;=39448,"2008",IF(C564&gt;39082,"2007",IF(C564&lt;38717,"Pre-2006","2006")))))))</f>
        <v>Pre-2006</v>
      </c>
      <c r="H564" s="71"/>
      <c r="I564" s="71"/>
      <c r="J564" s="61"/>
      <c r="K564" s="62"/>
      <c r="L564" s="63"/>
      <c r="M564" s="59" t="str">
        <f t="shared" si="105"/>
        <v>NA</v>
      </c>
      <c r="N564" s="17"/>
    </row>
    <row r="565">
      <c r="A565" s="9"/>
      <c r="B565" s="38">
        <f t="shared" si="5"/>
        <v>563</v>
      </c>
      <c r="C565" s="34">
        <v>44386.0</v>
      </c>
      <c r="D565" s="85" t="s">
        <v>474</v>
      </c>
      <c r="E565" s="33" t="s">
        <v>422</v>
      </c>
      <c r="F565" s="33">
        <v>13.0</v>
      </c>
      <c r="G565" s="36">
        <v>2021.0</v>
      </c>
      <c r="H565" s="33" t="s">
        <v>475</v>
      </c>
      <c r="I565" s="33" t="s">
        <v>26</v>
      </c>
      <c r="J565" s="37">
        <v>2021.0</v>
      </c>
      <c r="K565" s="80">
        <v>0.59</v>
      </c>
      <c r="L565" s="37">
        <v>145.0</v>
      </c>
      <c r="M565" s="59">
        <f t="shared" si="105"/>
        <v>0.4068965517</v>
      </c>
      <c r="N565" s="17"/>
    </row>
    <row r="566">
      <c r="A566" s="9"/>
      <c r="B566" s="38">
        <f t="shared" si="5"/>
        <v>564</v>
      </c>
      <c r="C566" s="34">
        <v>45416.0</v>
      </c>
      <c r="D566" s="85" t="str">
        <f>hyperlink("https://www.rottentomatoes.com/m/the_fall_guy_2024","Fall Guy, The")</f>
        <v>Fall Guy, The</v>
      </c>
      <c r="E566" s="33" t="s">
        <v>422</v>
      </c>
      <c r="F566" s="33">
        <v>13.0</v>
      </c>
      <c r="G566" s="36">
        <v>2024.0</v>
      </c>
      <c r="H566" s="33" t="s">
        <v>143</v>
      </c>
      <c r="I566" s="33" t="s">
        <v>26</v>
      </c>
      <c r="J566" s="37">
        <v>2024.0</v>
      </c>
      <c r="K566" s="80">
        <v>0.81</v>
      </c>
      <c r="L566" s="37">
        <v>126.0</v>
      </c>
      <c r="M566" s="59">
        <f t="shared" si="105"/>
        <v>0.6428571429</v>
      </c>
      <c r="N566" s="17"/>
    </row>
    <row r="567">
      <c r="A567" s="9"/>
      <c r="B567" s="38">
        <f t="shared" si="5"/>
        <v>565</v>
      </c>
      <c r="C567" s="34">
        <v>42488.0</v>
      </c>
      <c r="D567" s="64" t="s">
        <v>476</v>
      </c>
      <c r="E567" s="33" t="s">
        <v>422</v>
      </c>
      <c r="F567" s="33">
        <v>13.0</v>
      </c>
      <c r="G567" s="36">
        <v>2016.0</v>
      </c>
      <c r="H567" s="33" t="s">
        <v>58</v>
      </c>
      <c r="I567" s="33" t="s">
        <v>47</v>
      </c>
      <c r="J567" s="37" t="s">
        <v>169</v>
      </c>
      <c r="K567" s="86" t="s">
        <v>169</v>
      </c>
      <c r="L567" s="37" t="s">
        <v>169</v>
      </c>
      <c r="M567" s="72" t="s">
        <v>169</v>
      </c>
      <c r="N567" s="17"/>
    </row>
    <row r="568">
      <c r="A568" s="9"/>
      <c r="B568" s="38">
        <f t="shared" si="5"/>
        <v>566</v>
      </c>
      <c r="C568" s="34">
        <v>40143.0</v>
      </c>
      <c r="D568" s="84" t="s">
        <v>477</v>
      </c>
      <c r="E568" s="13" t="s">
        <v>422</v>
      </c>
      <c r="F568" s="13">
        <v>13.0</v>
      </c>
      <c r="G568" s="35" t="str">
        <f t="shared" ref="G568:G569" si="106">IF(C568&gt;40908,"2012",IF(C568&gt;40543,"2011",IF(C568&gt;40178,"2010",IF(C568&gt;=39814,"2009",IF(C568&gt;=39448,"2008",IF(C568&gt;39082,"2007",IF(C568&lt;38717,"Pre-2006","2006")))))))</f>
        <v>2009</v>
      </c>
      <c r="H568" s="13" t="s">
        <v>17</v>
      </c>
      <c r="I568" s="13" t="s">
        <v>26</v>
      </c>
      <c r="J568" s="14">
        <v>2009.0</v>
      </c>
      <c r="K568" s="15">
        <v>0.92</v>
      </c>
      <c r="L568" s="14">
        <v>93.0</v>
      </c>
      <c r="M568" s="16">
        <f t="shared" ref="M568:M578" si="107">if(iserror(K568/L568*100),"NA",K568/L568*100)</f>
        <v>0.9892473118</v>
      </c>
      <c r="N568" s="17"/>
    </row>
    <row r="569">
      <c r="A569" s="9"/>
      <c r="B569" s="38">
        <f t="shared" si="5"/>
        <v>567</v>
      </c>
      <c r="C569" s="70"/>
      <c r="D569" s="48" t="s">
        <v>478</v>
      </c>
      <c r="E569" s="13" t="s">
        <v>422</v>
      </c>
      <c r="F569" s="13">
        <v>13.0</v>
      </c>
      <c r="G569" s="35" t="str">
        <f t="shared" si="106"/>
        <v>Pre-2006</v>
      </c>
      <c r="H569" s="71"/>
      <c r="I569" s="71"/>
      <c r="J569" s="61"/>
      <c r="K569" s="62"/>
      <c r="L569" s="63"/>
      <c r="M569" s="59" t="str">
        <f t="shared" si="107"/>
        <v>NA</v>
      </c>
      <c r="N569" s="17"/>
    </row>
    <row r="570">
      <c r="A570" s="9"/>
      <c r="B570" s="38">
        <f t="shared" si="5"/>
        <v>568</v>
      </c>
      <c r="C570" s="34">
        <v>41640.0</v>
      </c>
      <c r="D570" s="48" t="s">
        <v>479</v>
      </c>
      <c r="E570" s="13" t="s">
        <v>422</v>
      </c>
      <c r="F570" s="13">
        <v>13.0</v>
      </c>
      <c r="G570" s="13">
        <v>2014.0</v>
      </c>
      <c r="H570" s="13" t="s">
        <v>25</v>
      </c>
      <c r="I570" s="13" t="s">
        <v>47</v>
      </c>
      <c r="J570" s="55">
        <v>2013.0</v>
      </c>
      <c r="K570" s="56">
        <v>0.7</v>
      </c>
      <c r="L570" s="14">
        <v>130.0</v>
      </c>
      <c r="M570" s="16">
        <f t="shared" si="107"/>
        <v>0.5384615385</v>
      </c>
      <c r="N570" s="17"/>
    </row>
    <row r="571">
      <c r="A571" s="9"/>
      <c r="B571" s="38">
        <f t="shared" si="5"/>
        <v>569</v>
      </c>
      <c r="C571" s="34">
        <v>41797.0</v>
      </c>
      <c r="D571" s="12" t="str">
        <f>hyperlink("http://www.rottentomatoes.com/m/the_fault_in_our_stars/","Fault In Our Stars, The")</f>
        <v>Fault In Our Stars, The</v>
      </c>
      <c r="E571" s="13" t="s">
        <v>422</v>
      </c>
      <c r="F571" s="13">
        <v>13.0</v>
      </c>
      <c r="G571" s="13">
        <v>2014.0</v>
      </c>
      <c r="H571" s="13" t="s">
        <v>143</v>
      </c>
      <c r="I571" s="13" t="s">
        <v>26</v>
      </c>
      <c r="J571" s="55">
        <v>2014.0</v>
      </c>
      <c r="K571" s="56">
        <v>0.82</v>
      </c>
      <c r="L571" s="14">
        <v>125.0</v>
      </c>
      <c r="M571" s="16">
        <f t="shared" si="107"/>
        <v>0.656</v>
      </c>
      <c r="N571" s="17"/>
    </row>
    <row r="572">
      <c r="A572" s="9"/>
      <c r="B572" s="38">
        <f t="shared" si="5"/>
        <v>570</v>
      </c>
      <c r="C572" s="70"/>
      <c r="D572" s="48" t="s">
        <v>480</v>
      </c>
      <c r="E572" s="13" t="s">
        <v>422</v>
      </c>
      <c r="F572" s="13">
        <v>13.0</v>
      </c>
      <c r="G572" s="35" t="str">
        <f t="shared" ref="G572:G573" si="108">IF(C572&gt;40908,"2012",IF(C572&gt;40543,"2011",IF(C572&gt;40178,"2010",IF(C572&gt;=39814,"2009",IF(C572&gt;=39448,"2008",IF(C572&gt;39082,"2007",IF(C572&lt;38717,"Pre-2006","2006")))))))</f>
        <v>Pre-2006</v>
      </c>
      <c r="H572" s="71"/>
      <c r="I572" s="71"/>
      <c r="J572" s="61"/>
      <c r="K572" s="62"/>
      <c r="L572" s="63"/>
      <c r="M572" s="59" t="str">
        <f t="shared" si="107"/>
        <v>NA</v>
      </c>
      <c r="N572" s="17"/>
    </row>
    <row r="573">
      <c r="A573" s="9"/>
      <c r="B573" s="38">
        <f t="shared" si="5"/>
        <v>571</v>
      </c>
      <c r="C573" s="70"/>
      <c r="D573" s="48" t="s">
        <v>481</v>
      </c>
      <c r="E573" s="13" t="s">
        <v>422</v>
      </c>
      <c r="F573" s="13">
        <v>13.0</v>
      </c>
      <c r="G573" s="35" t="str">
        <f t="shared" si="108"/>
        <v>Pre-2006</v>
      </c>
      <c r="H573" s="71"/>
      <c r="I573" s="71"/>
      <c r="J573" s="61"/>
      <c r="K573" s="62"/>
      <c r="L573" s="63"/>
      <c r="M573" s="59" t="str">
        <f t="shared" si="107"/>
        <v>NA</v>
      </c>
      <c r="N573" s="17"/>
    </row>
    <row r="574">
      <c r="A574" s="9"/>
      <c r="B574" s="38">
        <f t="shared" si="5"/>
        <v>572</v>
      </c>
      <c r="C574" s="34">
        <v>42735.0</v>
      </c>
      <c r="D574" s="12" t="str">
        <f>hyperlink("https://www.rottentomatoes.com/m/finding_traction","Finding Traction")</f>
        <v>Finding Traction</v>
      </c>
      <c r="E574" s="33" t="s">
        <v>422</v>
      </c>
      <c r="F574" s="33">
        <v>13.0</v>
      </c>
      <c r="G574" s="36">
        <v>2016.0</v>
      </c>
      <c r="H574" s="33" t="s">
        <v>58</v>
      </c>
      <c r="I574" s="33" t="s">
        <v>482</v>
      </c>
      <c r="J574" s="57">
        <v>2014.0</v>
      </c>
      <c r="K574" s="82" t="s">
        <v>169</v>
      </c>
      <c r="L574" s="37">
        <v>60.0</v>
      </c>
      <c r="M574" s="72" t="str">
        <f t="shared" si="107"/>
        <v>NA</v>
      </c>
      <c r="N574" s="17"/>
    </row>
    <row r="575">
      <c r="A575" s="9"/>
      <c r="B575" s="38">
        <f t="shared" si="5"/>
        <v>573</v>
      </c>
      <c r="C575" s="70"/>
      <c r="D575" s="48" t="s">
        <v>483</v>
      </c>
      <c r="E575" s="13" t="s">
        <v>422</v>
      </c>
      <c r="F575" s="13">
        <v>13.0</v>
      </c>
      <c r="G575" s="35" t="str">
        <f t="shared" ref="G575:G577" si="109">IF(C575&gt;40908,"2012",IF(C575&gt;40543,"2011",IF(C575&gt;40178,"2010",IF(C575&gt;=39814,"2009",IF(C575&gt;=39448,"2008",IF(C575&gt;39082,"2007",IF(C575&lt;38717,"Pre-2006","2006")))))))</f>
        <v>Pre-2006</v>
      </c>
      <c r="H575" s="71"/>
      <c r="I575" s="71"/>
      <c r="J575" s="61"/>
      <c r="K575" s="62"/>
      <c r="L575" s="63"/>
      <c r="M575" s="59" t="str">
        <f t="shared" si="107"/>
        <v>NA</v>
      </c>
      <c r="N575" s="17"/>
    </row>
    <row r="576">
      <c r="A576" s="9"/>
      <c r="B576" s="38">
        <f t="shared" si="5"/>
        <v>574</v>
      </c>
      <c r="C576" s="34">
        <v>39267.0</v>
      </c>
      <c r="D576" s="48" t="s">
        <v>484</v>
      </c>
      <c r="E576" s="13" t="s">
        <v>422</v>
      </c>
      <c r="F576" s="13">
        <v>13.0</v>
      </c>
      <c r="G576" s="35" t="str">
        <f t="shared" si="109"/>
        <v>2007</v>
      </c>
      <c r="H576" s="71"/>
      <c r="I576" s="71"/>
      <c r="J576" s="61"/>
      <c r="K576" s="62"/>
      <c r="L576" s="63"/>
      <c r="M576" s="59" t="str">
        <f t="shared" si="107"/>
        <v>NA</v>
      </c>
      <c r="N576" s="17"/>
    </row>
    <row r="577">
      <c r="A577" s="9"/>
      <c r="B577" s="38">
        <f t="shared" si="5"/>
        <v>575</v>
      </c>
      <c r="C577" s="34">
        <v>39557.0</v>
      </c>
      <c r="D577" s="48" t="s">
        <v>485</v>
      </c>
      <c r="E577" s="13" t="s">
        <v>422</v>
      </c>
      <c r="F577" s="13">
        <v>13.0</v>
      </c>
      <c r="G577" s="35" t="str">
        <f t="shared" si="109"/>
        <v>2008</v>
      </c>
      <c r="H577" s="13" t="s">
        <v>17</v>
      </c>
      <c r="I577" s="13" t="s">
        <v>26</v>
      </c>
      <c r="J577" s="14">
        <v>2008.0</v>
      </c>
      <c r="K577" s="15">
        <v>0.85</v>
      </c>
      <c r="L577" s="14">
        <v>112.0</v>
      </c>
      <c r="M577" s="16">
        <f t="shared" si="107"/>
        <v>0.7589285714</v>
      </c>
      <c r="N577" s="17"/>
    </row>
    <row r="578">
      <c r="A578" s="9"/>
      <c r="B578" s="38">
        <f t="shared" si="5"/>
        <v>576</v>
      </c>
      <c r="C578" s="34">
        <v>42975.0</v>
      </c>
      <c r="D578" s="12" t="str">
        <f>HYPERLINK("https://www.rottentomatoes.com/m/the_founder","Founder, The")</f>
        <v>Founder, The</v>
      </c>
      <c r="E578" s="33" t="s">
        <v>422</v>
      </c>
      <c r="F578" s="33">
        <v>13.0</v>
      </c>
      <c r="G578" s="36">
        <v>2017.0</v>
      </c>
      <c r="H578" s="33" t="s">
        <v>199</v>
      </c>
      <c r="I578" s="33" t="s">
        <v>77</v>
      </c>
      <c r="J578" s="37">
        <v>2017.0</v>
      </c>
      <c r="K578" s="15">
        <v>0.84</v>
      </c>
      <c r="L578" s="37">
        <v>115.0</v>
      </c>
      <c r="M578" s="16">
        <f t="shared" si="107"/>
        <v>0.7304347826</v>
      </c>
      <c r="N578" s="17"/>
    </row>
    <row r="579">
      <c r="A579" s="9"/>
      <c r="B579" s="38">
        <f t="shared" si="5"/>
        <v>577</v>
      </c>
      <c r="C579" s="34">
        <v>42484.0</v>
      </c>
      <c r="D579" s="12" t="str">
        <f>hyperlink("http://www.rottentomatoes.com/m/team_foxcatcher/?search=team%20foxca","Team Foxcatcher")</f>
        <v>Team Foxcatcher</v>
      </c>
      <c r="E579" s="33" t="s">
        <v>422</v>
      </c>
      <c r="F579" s="33">
        <v>13.0</v>
      </c>
      <c r="G579" s="36">
        <v>2016.0</v>
      </c>
      <c r="H579" s="33" t="s">
        <v>58</v>
      </c>
      <c r="I579" s="33" t="s">
        <v>47</v>
      </c>
      <c r="J579" s="37">
        <v>2016.0</v>
      </c>
      <c r="K579" s="86" t="s">
        <v>169</v>
      </c>
      <c r="L579" s="37">
        <v>90.0</v>
      </c>
      <c r="M579" s="72" t="s">
        <v>169</v>
      </c>
      <c r="N579" s="17"/>
    </row>
    <row r="580">
      <c r="A580" s="9"/>
      <c r="B580" s="38">
        <f t="shared" si="5"/>
        <v>578</v>
      </c>
      <c r="C580" s="34">
        <v>43098.0</v>
      </c>
      <c r="D580" s="12" t="str">
        <f>hyperlink("https://www.rottentomatoes.com/m/foxcatcher","Foxcatcher")</f>
        <v>Foxcatcher</v>
      </c>
      <c r="E580" s="33" t="s">
        <v>422</v>
      </c>
      <c r="F580" s="33">
        <v>13.0</v>
      </c>
      <c r="G580" s="33">
        <v>2017.0</v>
      </c>
      <c r="H580" s="33" t="s">
        <v>58</v>
      </c>
      <c r="I580" s="33" t="s">
        <v>47</v>
      </c>
      <c r="J580" s="57">
        <v>2014.0</v>
      </c>
      <c r="K580" s="56">
        <v>0.88</v>
      </c>
      <c r="L580" s="37">
        <v>130.0</v>
      </c>
      <c r="M580" s="16">
        <f t="shared" ref="M580:M608" si="110">if(iserror(K580/L580*100),"NA",K580/L580*100)</f>
        <v>0.6769230769</v>
      </c>
      <c r="N580" s="17"/>
    </row>
    <row r="581">
      <c r="A581" s="9"/>
      <c r="B581" s="38">
        <f t="shared" si="5"/>
        <v>579</v>
      </c>
      <c r="C581" s="34">
        <v>40882.0</v>
      </c>
      <c r="D581" s="48" t="s">
        <v>486</v>
      </c>
      <c r="E581" s="13" t="s">
        <v>422</v>
      </c>
      <c r="F581" s="13">
        <v>13.0</v>
      </c>
      <c r="G581" s="13">
        <v>2011.0</v>
      </c>
      <c r="H581" s="13" t="s">
        <v>58</v>
      </c>
      <c r="I581" s="13" t="s">
        <v>47</v>
      </c>
      <c r="J581" s="55">
        <v>2011.0</v>
      </c>
      <c r="K581" s="56">
        <v>0.71</v>
      </c>
      <c r="L581" s="14">
        <v>107.0</v>
      </c>
      <c r="M581" s="16">
        <f t="shared" si="110"/>
        <v>0.6635514019</v>
      </c>
      <c r="N581" s="17"/>
    </row>
    <row r="582">
      <c r="A582" s="9"/>
      <c r="B582" s="38">
        <f t="shared" si="5"/>
        <v>580</v>
      </c>
      <c r="C582" s="34">
        <v>42865.0</v>
      </c>
      <c r="D582" s="12" t="str">
        <f>hyperlink("https://www.rottentomatoes.com/m/furious_7","Furious 7")</f>
        <v>Furious 7</v>
      </c>
      <c r="E582" s="13" t="s">
        <v>422</v>
      </c>
      <c r="F582" s="13">
        <v>13.0</v>
      </c>
      <c r="G582" s="33">
        <v>2017.0</v>
      </c>
      <c r="H582" s="33" t="s">
        <v>58</v>
      </c>
      <c r="I582" s="13" t="s">
        <v>47</v>
      </c>
      <c r="J582" s="57">
        <v>2015.0</v>
      </c>
      <c r="K582" s="56">
        <v>0.79</v>
      </c>
      <c r="L582" s="37">
        <v>140.0</v>
      </c>
      <c r="M582" s="16">
        <f t="shared" si="110"/>
        <v>0.5642857143</v>
      </c>
      <c r="N582" s="17"/>
    </row>
    <row r="583">
      <c r="A583" s="9"/>
      <c r="B583" s="38">
        <f t="shared" si="5"/>
        <v>581</v>
      </c>
      <c r="C583" s="34">
        <v>42241.0</v>
      </c>
      <c r="D583" s="12" t="str">
        <f>hyperlink("http://www.rottentomatoes.com/m/fury_2015/","Fury")</f>
        <v>Fury</v>
      </c>
      <c r="E583" s="33" t="s">
        <v>422</v>
      </c>
      <c r="F583" s="33">
        <v>13.0</v>
      </c>
      <c r="G583" s="33">
        <v>2015.0</v>
      </c>
      <c r="H583" s="33" t="s">
        <v>58</v>
      </c>
      <c r="I583" s="33" t="s">
        <v>47</v>
      </c>
      <c r="J583" s="57">
        <v>2014.0</v>
      </c>
      <c r="K583" s="56">
        <v>0.77</v>
      </c>
      <c r="L583" s="37">
        <v>135.0</v>
      </c>
      <c r="M583" s="16">
        <f t="shared" si="110"/>
        <v>0.5703703704</v>
      </c>
      <c r="N583" s="17"/>
    </row>
    <row r="584">
      <c r="A584" s="9"/>
      <c r="B584" s="38">
        <f t="shared" si="5"/>
        <v>582</v>
      </c>
      <c r="C584" s="70"/>
      <c r="D584" s="48" t="s">
        <v>487</v>
      </c>
      <c r="E584" s="13" t="s">
        <v>422</v>
      </c>
      <c r="F584" s="13">
        <v>13.0</v>
      </c>
      <c r="G584" s="35" t="str">
        <f>IF(C584&gt;40908,"2012",IF(C584&gt;40543,"2011",IF(C584&gt;40178,"2010",IF(C584&gt;=39814,"2009",IF(C584&gt;=39448,"2008",IF(C584&gt;39082,"2007",IF(C584&lt;38717,"Pre-2006","2006")))))))</f>
        <v>Pre-2006</v>
      </c>
      <c r="H584" s="71"/>
      <c r="I584" s="71"/>
      <c r="J584" s="61"/>
      <c r="K584" s="62"/>
      <c r="L584" s="63"/>
      <c r="M584" s="59" t="str">
        <f t="shared" si="110"/>
        <v>NA</v>
      </c>
      <c r="N584" s="17"/>
    </row>
    <row r="585">
      <c r="A585" s="9"/>
      <c r="B585" s="38">
        <f t="shared" si="5"/>
        <v>583</v>
      </c>
      <c r="C585" s="75">
        <v>43876.0</v>
      </c>
      <c r="D585" s="12" t="str">
        <f>hyperlink("https://www.rottentomatoes.com/m/the_gentlemen","Gentlemen,The")</f>
        <v>Gentlemen,The</v>
      </c>
      <c r="E585" s="33" t="s">
        <v>422</v>
      </c>
      <c r="F585" s="33">
        <v>13.0</v>
      </c>
      <c r="G585" s="36">
        <v>2020.0</v>
      </c>
      <c r="H585" s="33" t="s">
        <v>143</v>
      </c>
      <c r="I585" s="33" t="s">
        <v>26</v>
      </c>
      <c r="J585" s="57">
        <v>2020.0</v>
      </c>
      <c r="K585" s="58">
        <v>0.74</v>
      </c>
      <c r="L585" s="37">
        <v>103.0</v>
      </c>
      <c r="M585" s="16">
        <f t="shared" si="110"/>
        <v>0.7184466019</v>
      </c>
      <c r="N585" s="17"/>
    </row>
    <row r="586">
      <c r="A586" s="9"/>
      <c r="B586" s="38">
        <f t="shared" si="5"/>
        <v>584</v>
      </c>
      <c r="C586" s="70"/>
      <c r="D586" s="48" t="s">
        <v>488</v>
      </c>
      <c r="E586" s="13" t="s">
        <v>422</v>
      </c>
      <c r="F586" s="13">
        <v>13.0</v>
      </c>
      <c r="G586" s="35" t="str">
        <f t="shared" ref="G586:G590" si="111">IF(C586&gt;40908,"2012",IF(C586&gt;40543,"2011",IF(C586&gt;40178,"2010",IF(C586&gt;=39814,"2009",IF(C586&gt;=39448,"2008",IF(C586&gt;39082,"2007",IF(C586&lt;38717,"Pre-2006","2006")))))))</f>
        <v>Pre-2006</v>
      </c>
      <c r="H586" s="71"/>
      <c r="I586" s="71"/>
      <c r="J586" s="61"/>
      <c r="K586" s="62"/>
      <c r="L586" s="63"/>
      <c r="M586" s="59" t="str">
        <f t="shared" si="110"/>
        <v>NA</v>
      </c>
      <c r="N586" s="17"/>
    </row>
    <row r="587">
      <c r="A587" s="9"/>
      <c r="B587" s="38">
        <f t="shared" si="5"/>
        <v>585</v>
      </c>
      <c r="C587" s="70"/>
      <c r="D587" s="48" t="s">
        <v>489</v>
      </c>
      <c r="E587" s="13" t="s">
        <v>422</v>
      </c>
      <c r="F587" s="13">
        <v>13.0</v>
      </c>
      <c r="G587" s="35" t="str">
        <f t="shared" si="111"/>
        <v>Pre-2006</v>
      </c>
      <c r="H587" s="71"/>
      <c r="I587" s="71"/>
      <c r="J587" s="61"/>
      <c r="K587" s="62"/>
      <c r="L587" s="63"/>
      <c r="M587" s="59" t="str">
        <f t="shared" si="110"/>
        <v>NA</v>
      </c>
      <c r="N587" s="17"/>
    </row>
    <row r="588">
      <c r="A588" s="9"/>
      <c r="B588" s="38">
        <f t="shared" si="5"/>
        <v>586</v>
      </c>
      <c r="C588" s="34">
        <v>40053.0</v>
      </c>
      <c r="D588" s="48" t="s">
        <v>490</v>
      </c>
      <c r="E588" s="13" t="s">
        <v>422</v>
      </c>
      <c r="F588" s="13">
        <v>13.0</v>
      </c>
      <c r="G588" s="35" t="str">
        <f t="shared" si="111"/>
        <v>2009</v>
      </c>
      <c r="H588" s="13" t="s">
        <v>126</v>
      </c>
      <c r="I588" s="13" t="s">
        <v>47</v>
      </c>
      <c r="J588" s="14">
        <v>1992.0</v>
      </c>
      <c r="K588" s="15">
        <v>0.98</v>
      </c>
      <c r="L588" s="14">
        <v>100.0</v>
      </c>
      <c r="M588" s="16">
        <f t="shared" si="110"/>
        <v>0.98</v>
      </c>
      <c r="N588" s="17"/>
    </row>
    <row r="589">
      <c r="A589" s="9"/>
      <c r="B589" s="38">
        <f t="shared" si="5"/>
        <v>587</v>
      </c>
      <c r="C589" s="70"/>
      <c r="D589" s="48" t="s">
        <v>491</v>
      </c>
      <c r="E589" s="13" t="s">
        <v>422</v>
      </c>
      <c r="F589" s="13">
        <v>13.0</v>
      </c>
      <c r="G589" s="35" t="str">
        <f t="shared" si="111"/>
        <v>Pre-2006</v>
      </c>
      <c r="H589" s="71"/>
      <c r="I589" s="71"/>
      <c r="J589" s="61"/>
      <c r="K589" s="62"/>
      <c r="L589" s="63"/>
      <c r="M589" s="59" t="str">
        <f t="shared" si="110"/>
        <v>NA</v>
      </c>
      <c r="N589" s="17"/>
    </row>
    <row r="590">
      <c r="A590" s="9"/>
      <c r="B590" s="38">
        <f t="shared" si="5"/>
        <v>588</v>
      </c>
      <c r="C590" s="34">
        <v>35013.0</v>
      </c>
      <c r="D590" s="48" t="s">
        <v>492</v>
      </c>
      <c r="E590" s="13" t="s">
        <v>422</v>
      </c>
      <c r="F590" s="13">
        <v>13.0</v>
      </c>
      <c r="G590" s="35" t="str">
        <f t="shared" si="111"/>
        <v>Pre-2006</v>
      </c>
      <c r="H590" s="71"/>
      <c r="I590" s="71"/>
      <c r="J590" s="61"/>
      <c r="K590" s="62"/>
      <c r="L590" s="63"/>
      <c r="M590" s="59" t="str">
        <f t="shared" si="110"/>
        <v>NA</v>
      </c>
      <c r="N590" s="17"/>
    </row>
    <row r="591">
      <c r="A591" s="9"/>
      <c r="B591" s="38">
        <f t="shared" si="5"/>
        <v>589</v>
      </c>
      <c r="C591" s="34">
        <v>44860.0</v>
      </c>
      <c r="D591" s="12" t="str">
        <f>hyperlink("http://www.rottentomatoes.com/m/gone_girl","Gone Girl")</f>
        <v>Gone Girl</v>
      </c>
      <c r="E591" s="13" t="s">
        <v>422</v>
      </c>
      <c r="F591" s="13">
        <v>13.0</v>
      </c>
      <c r="G591" s="13">
        <v>2015.0</v>
      </c>
      <c r="H591" s="13" t="s">
        <v>58</v>
      </c>
      <c r="I591" s="13" t="s">
        <v>47</v>
      </c>
      <c r="J591" s="55">
        <v>2014.0</v>
      </c>
      <c r="K591" s="56">
        <v>0.88</v>
      </c>
      <c r="L591" s="14">
        <v>145.0</v>
      </c>
      <c r="M591" s="16">
        <f t="shared" si="110"/>
        <v>0.6068965517</v>
      </c>
      <c r="N591" s="17"/>
    </row>
    <row r="592">
      <c r="A592" s="9"/>
      <c r="B592" s="38">
        <f t="shared" si="5"/>
        <v>590</v>
      </c>
      <c r="C592" s="34">
        <v>44860.0</v>
      </c>
      <c r="D592" s="12" t="str">
        <f>hyperlink("https://www.rottentomatoes.com/m/gosford_park","Gosford Park")</f>
        <v>Gosford Park</v>
      </c>
      <c r="E592" s="33" t="s">
        <v>422</v>
      </c>
      <c r="F592" s="33">
        <v>13.0</v>
      </c>
      <c r="G592" s="36">
        <v>2022.0</v>
      </c>
      <c r="H592" s="33" t="s">
        <v>126</v>
      </c>
      <c r="I592" s="33" t="s">
        <v>47</v>
      </c>
      <c r="J592" s="57">
        <v>2001.0</v>
      </c>
      <c r="K592" s="58">
        <v>0.87</v>
      </c>
      <c r="L592" s="37">
        <v>137.0</v>
      </c>
      <c r="M592" s="16">
        <f t="shared" si="110"/>
        <v>0.6350364964</v>
      </c>
      <c r="N592" s="17"/>
    </row>
    <row r="593">
      <c r="A593" s="9"/>
      <c r="B593" s="38">
        <f t="shared" si="5"/>
        <v>591</v>
      </c>
      <c r="C593" s="70"/>
      <c r="D593" s="48" t="s">
        <v>493</v>
      </c>
      <c r="E593" s="13" t="s">
        <v>422</v>
      </c>
      <c r="F593" s="13">
        <v>13.0</v>
      </c>
      <c r="G593" s="35" t="str">
        <f t="shared" ref="G593:G594" si="112">IF(C593&gt;40908,"2012",IF(C593&gt;40543,"2011",IF(C593&gt;40178,"2010",IF(C593&gt;=39814,"2009",IF(C593&gt;=39448,"2008",IF(C593&gt;39082,"2007",IF(C593&lt;38717,"Pre-2006","2006")))))))</f>
        <v>Pre-2006</v>
      </c>
      <c r="H593" s="71"/>
      <c r="I593" s="71"/>
      <c r="J593" s="61"/>
      <c r="K593" s="62"/>
      <c r="L593" s="63"/>
      <c r="M593" s="59" t="str">
        <f t="shared" si="110"/>
        <v>NA</v>
      </c>
      <c r="N593" s="17"/>
    </row>
    <row r="594">
      <c r="A594" s="9"/>
      <c r="B594" s="38">
        <f t="shared" si="5"/>
        <v>592</v>
      </c>
      <c r="C594" s="70"/>
      <c r="D594" s="48" t="s">
        <v>494</v>
      </c>
      <c r="E594" s="13" t="s">
        <v>422</v>
      </c>
      <c r="F594" s="13">
        <v>13.0</v>
      </c>
      <c r="G594" s="35" t="str">
        <f t="shared" si="112"/>
        <v>Pre-2006</v>
      </c>
      <c r="H594" s="71"/>
      <c r="I594" s="71"/>
      <c r="J594" s="61"/>
      <c r="K594" s="62"/>
      <c r="L594" s="63"/>
      <c r="M594" s="59" t="str">
        <f t="shared" si="110"/>
        <v>NA</v>
      </c>
      <c r="N594" s="17"/>
    </row>
    <row r="595">
      <c r="A595" s="9"/>
      <c r="B595" s="38">
        <f t="shared" si="5"/>
        <v>593</v>
      </c>
      <c r="C595" s="34">
        <v>41861.0</v>
      </c>
      <c r="D595" s="12" t="str">
        <f>hyperlink("http://www.rottentomatoes.com/m/guardians_of_the_galaxy/","Guardian of the Galaxy")</f>
        <v>Guardian of the Galaxy</v>
      </c>
      <c r="E595" s="13" t="s">
        <v>422</v>
      </c>
      <c r="F595" s="13">
        <v>13.0</v>
      </c>
      <c r="G595" s="13">
        <v>2014.0</v>
      </c>
      <c r="H595" s="13" t="s">
        <v>143</v>
      </c>
      <c r="I595" s="13" t="s">
        <v>26</v>
      </c>
      <c r="J595" s="55">
        <v>2014.0</v>
      </c>
      <c r="K595" s="56">
        <v>0.92</v>
      </c>
      <c r="L595" s="14">
        <v>121.0</v>
      </c>
      <c r="M595" s="16">
        <f t="shared" si="110"/>
        <v>0.7603305785</v>
      </c>
      <c r="N595" s="17"/>
    </row>
    <row r="596">
      <c r="A596" s="9"/>
      <c r="B596" s="38">
        <f t="shared" si="5"/>
        <v>594</v>
      </c>
      <c r="C596" s="70"/>
      <c r="D596" s="48" t="s">
        <v>495</v>
      </c>
      <c r="E596" s="13" t="s">
        <v>422</v>
      </c>
      <c r="F596" s="13">
        <v>13.0</v>
      </c>
      <c r="G596" s="35" t="str">
        <f t="shared" ref="G596:G601" si="113">IF(C596&gt;40908,"2012",IF(C596&gt;40543,"2011",IF(C596&gt;40178,"2010",IF(C596&gt;=39814,"2009",IF(C596&gt;=39448,"2008",IF(C596&gt;39082,"2007",IF(C596&lt;38717,"Pre-2006","2006")))))))</f>
        <v>Pre-2006</v>
      </c>
      <c r="H596" s="71"/>
      <c r="I596" s="71"/>
      <c r="J596" s="61"/>
      <c r="K596" s="62"/>
      <c r="L596" s="63"/>
      <c r="M596" s="59" t="str">
        <f t="shared" si="110"/>
        <v>NA</v>
      </c>
      <c r="N596" s="17"/>
    </row>
    <row r="597">
      <c r="A597" s="9"/>
      <c r="B597" s="38">
        <f t="shared" si="5"/>
        <v>595</v>
      </c>
      <c r="C597" s="70"/>
      <c r="D597" s="48" t="s">
        <v>496</v>
      </c>
      <c r="E597" s="13" t="s">
        <v>422</v>
      </c>
      <c r="F597" s="13">
        <v>13.0</v>
      </c>
      <c r="G597" s="35" t="str">
        <f t="shared" si="113"/>
        <v>Pre-2006</v>
      </c>
      <c r="H597" s="71"/>
      <c r="I597" s="71"/>
      <c r="J597" s="61"/>
      <c r="K597" s="62"/>
      <c r="L597" s="63"/>
      <c r="M597" s="59" t="str">
        <f t="shared" si="110"/>
        <v>NA</v>
      </c>
      <c r="N597" s="17"/>
    </row>
    <row r="598">
      <c r="A598" s="9"/>
      <c r="B598" s="38">
        <f t="shared" si="5"/>
        <v>596</v>
      </c>
      <c r="C598" s="70"/>
      <c r="D598" s="48" t="s">
        <v>497</v>
      </c>
      <c r="E598" s="13" t="s">
        <v>422</v>
      </c>
      <c r="F598" s="13">
        <v>13.0</v>
      </c>
      <c r="G598" s="35" t="str">
        <f t="shared" si="113"/>
        <v>Pre-2006</v>
      </c>
      <c r="H598" s="71"/>
      <c r="I598" s="71"/>
      <c r="J598" s="61"/>
      <c r="K598" s="62"/>
      <c r="L598" s="63"/>
      <c r="M598" s="59" t="str">
        <f t="shared" si="110"/>
        <v>NA</v>
      </c>
      <c r="N598" s="17"/>
    </row>
    <row r="599">
      <c r="A599" s="9"/>
      <c r="B599" s="38">
        <f t="shared" si="5"/>
        <v>597</v>
      </c>
      <c r="C599" s="70"/>
      <c r="D599" s="48" t="s">
        <v>498</v>
      </c>
      <c r="E599" s="13" t="s">
        <v>422</v>
      </c>
      <c r="F599" s="13">
        <v>13.0</v>
      </c>
      <c r="G599" s="35" t="str">
        <f t="shared" si="113"/>
        <v>Pre-2006</v>
      </c>
      <c r="H599" s="71"/>
      <c r="I599" s="71"/>
      <c r="J599" s="61"/>
      <c r="K599" s="62"/>
      <c r="L599" s="63"/>
      <c r="M599" s="59" t="str">
        <f t="shared" si="110"/>
        <v>NA</v>
      </c>
      <c r="N599" s="17"/>
    </row>
    <row r="600">
      <c r="A600" s="9"/>
      <c r="B600" s="38">
        <f t="shared" si="5"/>
        <v>598</v>
      </c>
      <c r="C600" s="70"/>
      <c r="D600" s="48" t="s">
        <v>499</v>
      </c>
      <c r="E600" s="13" t="s">
        <v>422</v>
      </c>
      <c r="F600" s="13">
        <v>13.0</v>
      </c>
      <c r="G600" s="35" t="str">
        <f t="shared" si="113"/>
        <v>Pre-2006</v>
      </c>
      <c r="H600" s="71"/>
      <c r="I600" s="71"/>
      <c r="J600" s="61"/>
      <c r="K600" s="62"/>
      <c r="L600" s="63"/>
      <c r="M600" s="59" t="str">
        <f t="shared" si="110"/>
        <v>NA</v>
      </c>
      <c r="N600" s="17"/>
    </row>
    <row r="601">
      <c r="A601" s="9"/>
      <c r="B601" s="38">
        <f t="shared" si="5"/>
        <v>599</v>
      </c>
      <c r="C601" s="70"/>
      <c r="D601" s="48" t="s">
        <v>500</v>
      </c>
      <c r="E601" s="13" t="s">
        <v>422</v>
      </c>
      <c r="F601" s="13">
        <v>13.0</v>
      </c>
      <c r="G601" s="35" t="str">
        <f t="shared" si="113"/>
        <v>Pre-2006</v>
      </c>
      <c r="H601" s="71"/>
      <c r="I601" s="71"/>
      <c r="J601" s="61"/>
      <c r="K601" s="62"/>
      <c r="L601" s="63"/>
      <c r="M601" s="59" t="str">
        <f t="shared" si="110"/>
        <v>NA</v>
      </c>
      <c r="N601" s="17"/>
    </row>
    <row r="602">
      <c r="A602" s="9"/>
      <c r="B602" s="38">
        <f t="shared" si="5"/>
        <v>600</v>
      </c>
      <c r="C602" s="34">
        <v>45465.0</v>
      </c>
      <c r="D602" s="12" t="str">
        <f>hyperlink("https://www.rottentomatoes.com/m/hit_man_2023","Hit Man")</f>
        <v>Hit Man</v>
      </c>
      <c r="E602" s="33" t="s">
        <v>422</v>
      </c>
      <c r="F602" s="33">
        <v>13.0</v>
      </c>
      <c r="G602" s="36">
        <v>2024.0</v>
      </c>
      <c r="H602" s="33" t="s">
        <v>58</v>
      </c>
      <c r="I602" s="33" t="s">
        <v>77</v>
      </c>
      <c r="J602" s="37">
        <v>2024.0</v>
      </c>
      <c r="K602" s="15">
        <v>0.95</v>
      </c>
      <c r="L602" s="37">
        <v>113.0</v>
      </c>
      <c r="M602" s="16">
        <f t="shared" si="110"/>
        <v>0.8407079646</v>
      </c>
      <c r="N602" s="17"/>
    </row>
    <row r="603">
      <c r="A603" s="9"/>
      <c r="B603" s="38">
        <f t="shared" si="5"/>
        <v>601</v>
      </c>
      <c r="C603" s="34">
        <v>39766.0</v>
      </c>
      <c r="D603" s="48" t="s">
        <v>501</v>
      </c>
      <c r="E603" s="13" t="s">
        <v>422</v>
      </c>
      <c r="F603" s="13">
        <v>13.0</v>
      </c>
      <c r="G603" s="35" t="str">
        <f>IF(C603&gt;40908,"2012",IF(C603&gt;40543,"2011",IF(C603&gt;40178,"2010",IF(C603&gt;=39814,"2009",IF(C603&gt;=39448,"2008",IF(C603&gt;39082,"2007",IF(C603&lt;38717,"Pre-2006","2006")))))))</f>
        <v>2008</v>
      </c>
      <c r="H603" s="13" t="s">
        <v>27</v>
      </c>
      <c r="I603" s="13" t="s">
        <v>277</v>
      </c>
      <c r="J603" s="14">
        <v>2007.0</v>
      </c>
      <c r="K603" s="15">
        <v>0.85</v>
      </c>
      <c r="L603" s="14">
        <v>115.0</v>
      </c>
      <c r="M603" s="16">
        <f t="shared" si="110"/>
        <v>0.7391304348</v>
      </c>
      <c r="N603" s="17"/>
    </row>
    <row r="604">
      <c r="A604" s="9"/>
      <c r="B604" s="38">
        <f t="shared" si="5"/>
        <v>602</v>
      </c>
      <c r="C604" s="34">
        <v>42236.0</v>
      </c>
      <c r="D604" s="12" t="str">
        <f>hyperlink("http://www.rottentomatoes.com/m/an_honest_liar/?search=honest%20liar","An Honest Liar")</f>
        <v>An Honest Liar</v>
      </c>
      <c r="E604" s="33" t="s">
        <v>422</v>
      </c>
      <c r="F604" s="33">
        <v>13.0</v>
      </c>
      <c r="G604" s="36">
        <v>2015.0</v>
      </c>
      <c r="H604" s="33" t="s">
        <v>58</v>
      </c>
      <c r="I604" s="33" t="s">
        <v>77</v>
      </c>
      <c r="J604" s="57">
        <v>2015.0</v>
      </c>
      <c r="K604" s="58">
        <v>0.97</v>
      </c>
      <c r="L604" s="37">
        <v>90.0</v>
      </c>
      <c r="M604" s="16">
        <f t="shared" si="110"/>
        <v>1.077777778</v>
      </c>
      <c r="N604" s="17"/>
    </row>
    <row r="605">
      <c r="A605" s="9"/>
      <c r="B605" s="38">
        <f t="shared" si="5"/>
        <v>603</v>
      </c>
      <c r="C605" s="34"/>
      <c r="D605" s="48" t="s">
        <v>502</v>
      </c>
      <c r="E605" s="13" t="s">
        <v>422</v>
      </c>
      <c r="F605" s="13">
        <v>13.0</v>
      </c>
      <c r="G605" s="35" t="str">
        <f t="shared" ref="G605:G606" si="114">IF(C605&gt;40908,"2012",IF(C605&gt;40543,"2011",IF(C605&gt;40178,"2010",IF(C605&gt;=39814,"2009",IF(C605&gt;=39448,"2008",IF(C605&gt;39082,"2007",IF(C605&lt;38717,"Pre-2006","2006")))))))</f>
        <v>Pre-2006</v>
      </c>
      <c r="H605" s="71"/>
      <c r="I605" s="71"/>
      <c r="J605" s="61"/>
      <c r="K605" s="62"/>
      <c r="L605" s="63"/>
      <c r="M605" s="59" t="str">
        <f t="shared" si="110"/>
        <v>NA</v>
      </c>
      <c r="N605" s="17"/>
    </row>
    <row r="606">
      <c r="A606" s="9"/>
      <c r="B606" s="38">
        <f t="shared" si="5"/>
        <v>604</v>
      </c>
      <c r="C606" s="34"/>
      <c r="D606" s="48" t="s">
        <v>503</v>
      </c>
      <c r="E606" s="13" t="s">
        <v>422</v>
      </c>
      <c r="F606" s="13">
        <v>13.0</v>
      </c>
      <c r="G606" s="35" t="str">
        <f t="shared" si="114"/>
        <v>Pre-2006</v>
      </c>
      <c r="H606" s="71"/>
      <c r="I606" s="71"/>
      <c r="J606" s="61"/>
      <c r="K606" s="62"/>
      <c r="L606" s="63"/>
      <c r="M606" s="59" t="str">
        <f t="shared" si="110"/>
        <v>NA</v>
      </c>
      <c r="N606" s="17"/>
    </row>
    <row r="607">
      <c r="A607" s="9"/>
      <c r="B607" s="38">
        <f t="shared" si="5"/>
        <v>605</v>
      </c>
      <c r="C607" s="34">
        <v>45528.0</v>
      </c>
      <c r="D607" s="12" t="str">
        <f>hyperlink("https://www.rottentomatoes.com/m/1073037-hunchback_of_notre_dame","Hunchback of Notre Dame, The")</f>
        <v>Hunchback of Notre Dame, The</v>
      </c>
      <c r="E607" s="33" t="s">
        <v>422</v>
      </c>
      <c r="F607" s="33">
        <v>13.0</v>
      </c>
      <c r="G607" s="36">
        <v>2024.0</v>
      </c>
      <c r="H607" s="33" t="s">
        <v>58</v>
      </c>
      <c r="I607" s="33" t="s">
        <v>230</v>
      </c>
      <c r="J607" s="57">
        <v>1996.0</v>
      </c>
      <c r="K607" s="58">
        <v>0.72</v>
      </c>
      <c r="L607" s="37">
        <v>86.0</v>
      </c>
      <c r="M607" s="16">
        <f t="shared" si="110"/>
        <v>0.8372093023</v>
      </c>
      <c r="N607" s="17"/>
    </row>
    <row r="608">
      <c r="A608" s="9"/>
      <c r="B608" s="38">
        <f t="shared" si="5"/>
        <v>606</v>
      </c>
      <c r="C608" s="34">
        <v>42573.0</v>
      </c>
      <c r="D608" s="12" t="str">
        <f>hyperlink("https://www.rottentomatoes.com/m/the_hunter_2012/?search=the%20hunter","Hunter, The")</f>
        <v>Hunter, The</v>
      </c>
      <c r="E608" s="33" t="s">
        <v>422</v>
      </c>
      <c r="F608" s="33">
        <v>13.0</v>
      </c>
      <c r="G608" s="36">
        <v>2016.0</v>
      </c>
      <c r="H608" s="33" t="s">
        <v>58</v>
      </c>
      <c r="I608" s="33" t="s">
        <v>77</v>
      </c>
      <c r="J608" s="57">
        <v>2012.0</v>
      </c>
      <c r="K608" s="58">
        <v>0.7</v>
      </c>
      <c r="L608" s="37">
        <v>101.0</v>
      </c>
      <c r="M608" s="16">
        <f t="shared" si="110"/>
        <v>0.6930693069</v>
      </c>
      <c r="N608" s="17"/>
    </row>
    <row r="609">
      <c r="A609" s="9"/>
      <c r="B609" s="38">
        <f t="shared" si="5"/>
        <v>607</v>
      </c>
      <c r="C609" s="34">
        <v>44725.0</v>
      </c>
      <c r="D609" s="12" t="str">
        <f>hyperlink("https://www.rottentomatoes.com/m/hustle_2022","Hustle")</f>
        <v>Hustle</v>
      </c>
      <c r="E609" s="33" t="s">
        <v>422</v>
      </c>
      <c r="F609" s="33">
        <v>13.0</v>
      </c>
      <c r="G609" s="36">
        <v>2022.0</v>
      </c>
      <c r="H609" s="33" t="s">
        <v>58</v>
      </c>
      <c r="I609" s="33" t="s">
        <v>77</v>
      </c>
      <c r="J609" s="57">
        <v>2022.0</v>
      </c>
      <c r="K609" s="58">
        <v>0.92</v>
      </c>
      <c r="L609" s="37">
        <v>118.0</v>
      </c>
      <c r="M609" s="59">
        <f>K609/L609*100</f>
        <v>0.7796610169</v>
      </c>
      <c r="N609" s="17"/>
    </row>
    <row r="610">
      <c r="A610" s="9"/>
      <c r="B610" s="38">
        <f t="shared" si="5"/>
        <v>608</v>
      </c>
      <c r="C610" s="70"/>
      <c r="D610" s="48" t="s">
        <v>504</v>
      </c>
      <c r="E610" s="13" t="s">
        <v>422</v>
      </c>
      <c r="F610" s="13">
        <v>13.0</v>
      </c>
      <c r="G610" s="35" t="str">
        <f>IF(C610&gt;40908,"2012",IF(C610&gt;40543,"2011",IF(C610&gt;40178,"2010",IF(C610&gt;=39814,"2009",IF(C610&gt;=39448,"2008",IF(C610&gt;39082,"2007",IF(C610&lt;38717,"Pre-2006","2006")))))))</f>
        <v>Pre-2006</v>
      </c>
      <c r="H610" s="71"/>
      <c r="I610" s="71"/>
      <c r="J610" s="61"/>
      <c r="K610" s="62"/>
      <c r="L610" s="63"/>
      <c r="M610" s="59" t="str">
        <f>if(iserror(K610/L610*100),"NA",K610/L610*100)</f>
        <v>NA</v>
      </c>
      <c r="N610" s="17"/>
    </row>
    <row r="611">
      <c r="A611" s="9"/>
      <c r="B611" s="38">
        <f t="shared" si="5"/>
        <v>609</v>
      </c>
      <c r="C611" s="34">
        <v>42733.0</v>
      </c>
      <c r="D611" s="12" t="str">
        <f>hyperlink("https://www.rottentomatoes.com/m/the_iceman_2013","Iceman, The")</f>
        <v>Iceman, The</v>
      </c>
      <c r="E611" s="33" t="s">
        <v>422</v>
      </c>
      <c r="F611" s="33">
        <v>13.0</v>
      </c>
      <c r="G611" s="36">
        <v>2016.0</v>
      </c>
      <c r="H611" s="33" t="s">
        <v>58</v>
      </c>
      <c r="I611" s="33" t="s">
        <v>77</v>
      </c>
      <c r="J611" s="57">
        <v>2013.0</v>
      </c>
      <c r="K611" s="58">
        <v>0.66</v>
      </c>
      <c r="L611" s="37">
        <v>105.0</v>
      </c>
      <c r="M611" s="59">
        <f>K611/L611*100</f>
        <v>0.6285714286</v>
      </c>
      <c r="N611" s="17"/>
    </row>
    <row r="612">
      <c r="A612" s="9"/>
      <c r="B612" s="38">
        <f t="shared" si="5"/>
        <v>610</v>
      </c>
      <c r="C612" s="34">
        <v>39097.0</v>
      </c>
      <c r="D612" s="48" t="s">
        <v>505</v>
      </c>
      <c r="E612" s="13" t="s">
        <v>422</v>
      </c>
      <c r="F612" s="13">
        <v>13.0</v>
      </c>
      <c r="G612" s="35" t="str">
        <f>IF(C612&gt;40908,"2012",IF(C612&gt;40543,"2011",IF(C612&gt;40178,"2010",IF(C612&gt;=39814,"2009",IF(C612&gt;=39448,"2008",IF(C612&gt;39082,"2007",IF(C612&lt;38717,"Pre-2006","2006")))))))</f>
        <v>2007</v>
      </c>
      <c r="H612" s="71"/>
      <c r="I612" s="71"/>
      <c r="J612" s="61"/>
      <c r="K612" s="62"/>
      <c r="L612" s="63"/>
      <c r="M612" s="59" t="str">
        <f t="shared" ref="M612:M615" si="115">if(iserror(K612/L612*100),"NA",K612/L612*100)</f>
        <v>NA</v>
      </c>
      <c r="N612" s="17"/>
    </row>
    <row r="613">
      <c r="A613" s="9"/>
      <c r="B613" s="38">
        <f t="shared" si="5"/>
        <v>611</v>
      </c>
      <c r="C613" s="87">
        <f>4/19/2015</f>
        <v>0.0001044795612</v>
      </c>
      <c r="D613" s="12" t="str">
        <f>hyperlink("http://www.rottentomatoes.com/m/the_imitation_game","Imitation Game, The")</f>
        <v>Imitation Game, The</v>
      </c>
      <c r="E613" s="13" t="s">
        <v>422</v>
      </c>
      <c r="F613" s="13">
        <v>13.0</v>
      </c>
      <c r="G613" s="13">
        <v>2014.0</v>
      </c>
      <c r="H613" s="13" t="s">
        <v>58</v>
      </c>
      <c r="I613" s="13" t="s">
        <v>47</v>
      </c>
      <c r="J613" s="55">
        <v>2014.0</v>
      </c>
      <c r="K613" s="56">
        <v>0.92</v>
      </c>
      <c r="L613" s="14">
        <v>114.0</v>
      </c>
      <c r="M613" s="16">
        <f t="shared" si="115"/>
        <v>0.8070175439</v>
      </c>
      <c r="N613" s="17"/>
    </row>
    <row r="614">
      <c r="A614" s="9"/>
      <c r="B614" s="38">
        <f t="shared" si="5"/>
        <v>612</v>
      </c>
      <c r="C614" s="70"/>
      <c r="D614" s="48" t="s">
        <v>506</v>
      </c>
      <c r="E614" s="13" t="s">
        <v>422</v>
      </c>
      <c r="F614" s="13">
        <v>13.0</v>
      </c>
      <c r="G614" s="35" t="str">
        <f>IF(C614&gt;40908,"2012",IF(C614&gt;40543,"2011",IF(C614&gt;40178,"2010",IF(C614&gt;=39814,"2009",IF(C614&gt;=39448,"2008",IF(C614&gt;39082,"2007",IF(C614&lt;38717,"Pre-2006","2006")))))))</f>
        <v>Pre-2006</v>
      </c>
      <c r="H614" s="71"/>
      <c r="I614" s="71"/>
      <c r="J614" s="61"/>
      <c r="K614" s="62"/>
      <c r="L614" s="63"/>
      <c r="M614" s="59" t="str">
        <f t="shared" si="115"/>
        <v>NA</v>
      </c>
      <c r="N614" s="17"/>
    </row>
    <row r="615">
      <c r="A615" s="9"/>
      <c r="B615" s="38">
        <f t="shared" si="5"/>
        <v>613</v>
      </c>
      <c r="C615" s="87">
        <v>44858.0</v>
      </c>
      <c r="D615" s="12" t="str">
        <f>hyperlink("https://www.rottentomatoes.com/m/in_the_loop","In the Loop")</f>
        <v>In the Loop</v>
      </c>
      <c r="E615" s="33" t="s">
        <v>422</v>
      </c>
      <c r="F615" s="33">
        <v>13.0</v>
      </c>
      <c r="G615" s="36">
        <v>2022.0</v>
      </c>
      <c r="H615" s="33" t="s">
        <v>411</v>
      </c>
      <c r="I615" s="33" t="s">
        <v>47</v>
      </c>
      <c r="J615" s="57">
        <v>2009.0</v>
      </c>
      <c r="K615" s="58">
        <v>0.94</v>
      </c>
      <c r="L615" s="37">
        <v>106.0</v>
      </c>
      <c r="M615" s="16">
        <f t="shared" si="115"/>
        <v>0.8867924528</v>
      </c>
      <c r="N615" s="17"/>
    </row>
    <row r="616">
      <c r="A616" s="9"/>
      <c r="B616" s="38">
        <f t="shared" si="5"/>
        <v>614</v>
      </c>
      <c r="C616" s="87">
        <v>42483.0</v>
      </c>
      <c r="D616" s="12" t="str">
        <f>hyperlink("http://www.rottentomatoes.com/m/inspired_to_ride/?search=inspired%20to%20ride","Inspired to Ride")</f>
        <v>Inspired to Ride</v>
      </c>
      <c r="E616" s="33" t="s">
        <v>422</v>
      </c>
      <c r="F616" s="33">
        <v>13.0</v>
      </c>
      <c r="G616" s="36">
        <v>2016.0</v>
      </c>
      <c r="H616" s="33" t="s">
        <v>58</v>
      </c>
      <c r="I616" s="33" t="s">
        <v>47</v>
      </c>
      <c r="J616" s="57">
        <v>2015.0</v>
      </c>
      <c r="K616" s="82" t="s">
        <v>169</v>
      </c>
      <c r="L616" s="37">
        <v>88.0</v>
      </c>
      <c r="M616" s="72" t="s">
        <v>169</v>
      </c>
      <c r="N616" s="17"/>
    </row>
    <row r="617" ht="12.75" customHeight="1">
      <c r="A617" s="9"/>
      <c r="B617" s="38">
        <f t="shared" si="5"/>
        <v>615</v>
      </c>
      <c r="C617" s="87">
        <v>43797.0</v>
      </c>
      <c r="D617" s="12" t="str">
        <f>HYPERLINK("https://rottentomatoes.com/m/the_irishman","Irishman, The")</f>
        <v>Irishman, The</v>
      </c>
      <c r="E617" s="33" t="s">
        <v>422</v>
      </c>
      <c r="F617" s="33">
        <v>13.0</v>
      </c>
      <c r="G617" s="36">
        <v>2019.0</v>
      </c>
      <c r="H617" s="33" t="s">
        <v>507</v>
      </c>
      <c r="I617" s="33" t="s">
        <v>77</v>
      </c>
      <c r="J617" s="57">
        <v>2019.0</v>
      </c>
      <c r="K617" s="58">
        <v>0.96</v>
      </c>
      <c r="L617" s="37">
        <v>209.0</v>
      </c>
      <c r="M617" s="72" t="s">
        <v>169</v>
      </c>
      <c r="N617" s="17"/>
    </row>
    <row r="618">
      <c r="A618" s="9"/>
      <c r="B618" s="38">
        <f t="shared" si="5"/>
        <v>616</v>
      </c>
      <c r="C618" s="70"/>
      <c r="D618" s="48" t="s">
        <v>508</v>
      </c>
      <c r="E618" s="13" t="s">
        <v>422</v>
      </c>
      <c r="F618" s="13">
        <v>13.0</v>
      </c>
      <c r="G618" s="35" t="str">
        <f>IF(C618&gt;40908,"2012",IF(C618&gt;40543,"2011",IF(C618&gt;40178,"2010",IF(C618&gt;=39814,"2009",IF(C618&gt;=39448,"2008",IF(C618&gt;39082,"2007",IF(C618&lt;38717,"Pre-2006","2006")))))))</f>
        <v>Pre-2006</v>
      </c>
      <c r="H618" s="71"/>
      <c r="I618" s="71"/>
      <c r="J618" s="61"/>
      <c r="K618" s="62"/>
      <c r="L618" s="63"/>
      <c r="M618" s="59" t="str">
        <f t="shared" ref="M618:M620" si="116">if(iserror(K618/L618*100),"NA",K618/L618*100)</f>
        <v>NA</v>
      </c>
      <c r="N618" s="17"/>
    </row>
    <row r="619">
      <c r="A619" s="9"/>
      <c r="B619" s="38">
        <f t="shared" si="5"/>
        <v>617</v>
      </c>
      <c r="C619" s="34">
        <v>43062.0</v>
      </c>
      <c r="D619" s="12" t="str">
        <f>hyperlink("https://www.rottentomatoes.com/m/jim_and_andy_the_great_beyond_featuring_a_very_special_contractually_obligated_mention_of_tony_clifton","Jim and Andy: The Great Beyond")</f>
        <v>Jim and Andy: The Great Beyond</v>
      </c>
      <c r="E619" s="33" t="s">
        <v>422</v>
      </c>
      <c r="F619" s="33">
        <v>13.0</v>
      </c>
      <c r="G619" s="36">
        <v>2017.0</v>
      </c>
      <c r="H619" s="33" t="s">
        <v>58</v>
      </c>
      <c r="I619" s="33" t="s">
        <v>77</v>
      </c>
      <c r="J619" s="57">
        <v>2017.0</v>
      </c>
      <c r="K619" s="58">
        <v>1.0</v>
      </c>
      <c r="L619" s="37">
        <v>94.0</v>
      </c>
      <c r="M619" s="59">
        <f t="shared" si="116"/>
        <v>1.063829787</v>
      </c>
      <c r="N619" s="17"/>
    </row>
    <row r="620">
      <c r="A620" s="9"/>
      <c r="B620" s="38">
        <f t="shared" si="5"/>
        <v>618</v>
      </c>
      <c r="C620" s="34">
        <v>39434.0</v>
      </c>
      <c r="D620" s="48" t="s">
        <v>509</v>
      </c>
      <c r="E620" s="13" t="s">
        <v>422</v>
      </c>
      <c r="F620" s="13">
        <v>13.0</v>
      </c>
      <c r="G620" s="35" t="str">
        <f>IF(C620&gt;40908,"2012",IF(C620&gt;40543,"2011",IF(C620&gt;40178,"2010",IF(C620&gt;=39814,"2009",IF(C620&gt;=39448,"2008",IF(C620&gt;39082,"2007",IF(C620&lt;38717,"Pre-2006","2006")))))))</f>
        <v>2007</v>
      </c>
      <c r="H620" s="13" t="s">
        <v>27</v>
      </c>
      <c r="I620" s="13" t="s">
        <v>26</v>
      </c>
      <c r="J620" s="61"/>
      <c r="K620" s="62"/>
      <c r="L620" s="63"/>
      <c r="M620" s="59" t="str">
        <f t="shared" si="116"/>
        <v>NA</v>
      </c>
      <c r="N620" s="17"/>
    </row>
    <row r="621">
      <c r="A621" s="9"/>
      <c r="B621" s="38">
        <f t="shared" si="5"/>
        <v>619</v>
      </c>
      <c r="C621" s="87">
        <v>42555.0</v>
      </c>
      <c r="D621" s="12" t="str">
        <f>hyperlink("https://www.rottentomatoes.com/m/king_jack/","King Jack")</f>
        <v>King Jack</v>
      </c>
      <c r="E621" s="33" t="s">
        <v>422</v>
      </c>
      <c r="F621" s="33">
        <v>13.0</v>
      </c>
      <c r="G621" s="36">
        <v>2016.0</v>
      </c>
      <c r="H621" s="33" t="s">
        <v>58</v>
      </c>
      <c r="I621" s="33" t="s">
        <v>77</v>
      </c>
      <c r="J621" s="57">
        <v>2016.0</v>
      </c>
      <c r="K621" s="58">
        <v>0.97</v>
      </c>
      <c r="L621" s="37">
        <v>80.0</v>
      </c>
      <c r="M621" s="59">
        <f>K621/L621*100</f>
        <v>1.2125</v>
      </c>
      <c r="N621" s="17"/>
    </row>
    <row r="622">
      <c r="A622" s="9"/>
      <c r="B622" s="38">
        <f t="shared" si="5"/>
        <v>620</v>
      </c>
      <c r="C622" s="70"/>
      <c r="D622" s="48" t="s">
        <v>510</v>
      </c>
      <c r="E622" s="13" t="s">
        <v>422</v>
      </c>
      <c r="F622" s="13">
        <v>13.0</v>
      </c>
      <c r="G622" s="35" t="str">
        <f>IF(C622&gt;40908,"2012",IF(C622&gt;40543,"2011",IF(C622&gt;40178,"2010",IF(C622&gt;=39814,"2009",IF(C622&gt;=39448,"2008",IF(C622&gt;39082,"2007",IF(C622&lt;38717,"Pre-2006","2006")))))))</f>
        <v>Pre-2006</v>
      </c>
      <c r="H622" s="13" t="s">
        <v>27</v>
      </c>
      <c r="I622" s="13" t="s">
        <v>511</v>
      </c>
      <c r="J622" s="61"/>
      <c r="K622" s="62"/>
      <c r="L622" s="63"/>
      <c r="M622" s="59" t="str">
        <f t="shared" ref="M622:M649" si="117">if(iserror(K622/L622*100),"NA",K622/L622*100)</f>
        <v>NA</v>
      </c>
      <c r="N622" s="17"/>
    </row>
    <row r="623">
      <c r="A623" s="9"/>
      <c r="B623" s="38">
        <f t="shared" si="5"/>
        <v>621</v>
      </c>
      <c r="C623" s="34">
        <v>43826.0</v>
      </c>
      <c r="D623" s="12" t="str">
        <f>hyperlink("https://www.rottentomatoes.com/m/knives_out","Knives Out")</f>
        <v>Knives Out</v>
      </c>
      <c r="E623" s="33" t="s">
        <v>422</v>
      </c>
      <c r="F623" s="33">
        <v>13.0</v>
      </c>
      <c r="G623" s="33">
        <v>2019.0</v>
      </c>
      <c r="H623" s="33" t="s">
        <v>20</v>
      </c>
      <c r="I623" s="33" t="s">
        <v>26</v>
      </c>
      <c r="J623" s="57">
        <v>2019.0</v>
      </c>
      <c r="K623" s="56">
        <v>0.97</v>
      </c>
      <c r="L623" s="37">
        <v>130.0</v>
      </c>
      <c r="M623" s="59">
        <f t="shared" si="117"/>
        <v>0.7461538462</v>
      </c>
      <c r="N623" s="17"/>
    </row>
    <row r="624">
      <c r="A624" s="9"/>
      <c r="B624" s="38">
        <f t="shared" si="5"/>
        <v>622</v>
      </c>
      <c r="C624" s="34">
        <v>44672.0</v>
      </c>
      <c r="D624" s="12" t="str">
        <f>hyperlink("https://www.rottentomatoes.com/m/kodachrome_2018","Kodachrome")</f>
        <v>Kodachrome</v>
      </c>
      <c r="E624" s="33" t="s">
        <v>422</v>
      </c>
      <c r="F624" s="33">
        <v>13.0</v>
      </c>
      <c r="G624" s="33">
        <v>2022.0</v>
      </c>
      <c r="H624" s="33" t="s">
        <v>58</v>
      </c>
      <c r="I624" s="33" t="s">
        <v>77</v>
      </c>
      <c r="J624" s="57">
        <v>2022.0</v>
      </c>
      <c r="K624" s="56">
        <v>0.71</v>
      </c>
      <c r="L624" s="37">
        <v>100.0</v>
      </c>
      <c r="M624" s="59">
        <f t="shared" si="117"/>
        <v>0.71</v>
      </c>
      <c r="N624" s="17"/>
    </row>
    <row r="625">
      <c r="A625" s="9"/>
      <c r="B625" s="38">
        <f t="shared" si="5"/>
        <v>623</v>
      </c>
      <c r="C625" s="34">
        <v>41270.0</v>
      </c>
      <c r="D625" s="48" t="s">
        <v>512</v>
      </c>
      <c r="E625" s="13" t="s">
        <v>422</v>
      </c>
      <c r="F625" s="13">
        <v>13.0</v>
      </c>
      <c r="G625" s="13">
        <v>2012.0</v>
      </c>
      <c r="H625" s="13" t="s">
        <v>467</v>
      </c>
      <c r="I625" s="13" t="s">
        <v>26</v>
      </c>
      <c r="J625" s="55">
        <v>2012.0</v>
      </c>
      <c r="K625" s="56">
        <v>0.71</v>
      </c>
      <c r="L625" s="14">
        <v>158.0</v>
      </c>
      <c r="M625" s="16">
        <f t="shared" si="117"/>
        <v>0.4493670886</v>
      </c>
      <c r="N625" s="17"/>
    </row>
    <row r="626">
      <c r="A626" s="9"/>
      <c r="B626" s="38">
        <f t="shared" si="5"/>
        <v>624</v>
      </c>
      <c r="C626" s="70"/>
      <c r="D626" s="48" t="s">
        <v>513</v>
      </c>
      <c r="E626" s="13" t="s">
        <v>422</v>
      </c>
      <c r="F626" s="13">
        <v>13.0</v>
      </c>
      <c r="G626" s="35" t="str">
        <f t="shared" ref="G626:G631" si="118">IF(C626&gt;40908,"2012",IF(C626&gt;40543,"2011",IF(C626&gt;40178,"2010",IF(C626&gt;=39814,"2009",IF(C626&gt;=39448,"2008",IF(C626&gt;39082,"2007",IF(C626&lt;38717,"Pre-2006","2006")))))))</f>
        <v>Pre-2006</v>
      </c>
      <c r="H626" s="71"/>
      <c r="I626" s="71"/>
      <c r="J626" s="61"/>
      <c r="K626" s="62"/>
      <c r="L626" s="63"/>
      <c r="M626" s="59" t="str">
        <f t="shared" si="117"/>
        <v>NA</v>
      </c>
      <c r="N626" s="17"/>
    </row>
    <row r="627">
      <c r="A627" s="9"/>
      <c r="B627" s="38">
        <f t="shared" si="5"/>
        <v>625</v>
      </c>
      <c r="C627" s="70"/>
      <c r="D627" s="48" t="s">
        <v>514</v>
      </c>
      <c r="E627" s="13" t="s">
        <v>422</v>
      </c>
      <c r="F627" s="13">
        <v>13.0</v>
      </c>
      <c r="G627" s="35" t="str">
        <f t="shared" si="118"/>
        <v>Pre-2006</v>
      </c>
      <c r="H627" s="71"/>
      <c r="I627" s="71"/>
      <c r="J627" s="61"/>
      <c r="K627" s="62"/>
      <c r="L627" s="63"/>
      <c r="M627" s="59" t="str">
        <f t="shared" si="117"/>
        <v>NA</v>
      </c>
      <c r="N627" s="17"/>
    </row>
    <row r="628">
      <c r="A628" s="9"/>
      <c r="B628" s="38">
        <f t="shared" si="5"/>
        <v>626</v>
      </c>
      <c r="C628" s="34">
        <v>39119.0</v>
      </c>
      <c r="D628" s="48" t="s">
        <v>515</v>
      </c>
      <c r="E628" s="13" t="s">
        <v>422</v>
      </c>
      <c r="F628" s="13">
        <v>13.0</v>
      </c>
      <c r="G628" s="35" t="str">
        <f t="shared" si="118"/>
        <v>2007</v>
      </c>
      <c r="H628" s="71"/>
      <c r="I628" s="71"/>
      <c r="J628" s="61"/>
      <c r="K628" s="62"/>
      <c r="L628" s="63"/>
      <c r="M628" s="59" t="str">
        <f t="shared" si="117"/>
        <v>NA</v>
      </c>
      <c r="N628" s="17"/>
    </row>
    <row r="629">
      <c r="A629" s="9"/>
      <c r="B629" s="38">
        <f t="shared" si="5"/>
        <v>627</v>
      </c>
      <c r="C629" s="70"/>
      <c r="D629" s="48" t="s">
        <v>516</v>
      </c>
      <c r="E629" s="13" t="s">
        <v>422</v>
      </c>
      <c r="F629" s="13">
        <v>13.0</v>
      </c>
      <c r="G629" s="35" t="str">
        <f t="shared" si="118"/>
        <v>Pre-2006</v>
      </c>
      <c r="H629" s="71"/>
      <c r="I629" s="71"/>
      <c r="J629" s="61"/>
      <c r="K629" s="62"/>
      <c r="L629" s="63"/>
      <c r="M629" s="59" t="str">
        <f t="shared" si="117"/>
        <v>NA</v>
      </c>
      <c r="N629" s="17"/>
    </row>
    <row r="630">
      <c r="A630" s="9"/>
      <c r="B630" s="38">
        <f t="shared" si="5"/>
        <v>628</v>
      </c>
      <c r="C630" s="70"/>
      <c r="D630" s="48" t="s">
        <v>517</v>
      </c>
      <c r="E630" s="13" t="s">
        <v>422</v>
      </c>
      <c r="F630" s="13">
        <v>13.0</v>
      </c>
      <c r="G630" s="35" t="str">
        <f t="shared" si="118"/>
        <v>Pre-2006</v>
      </c>
      <c r="H630" s="71"/>
      <c r="I630" s="71"/>
      <c r="J630" s="61"/>
      <c r="K630" s="62"/>
      <c r="L630" s="63"/>
      <c r="M630" s="59" t="str">
        <f t="shared" si="117"/>
        <v>NA</v>
      </c>
      <c r="N630" s="17"/>
    </row>
    <row r="631">
      <c r="A631" s="9"/>
      <c r="B631" s="38">
        <f t="shared" si="5"/>
        <v>629</v>
      </c>
      <c r="C631" s="70"/>
      <c r="D631" s="48" t="s">
        <v>518</v>
      </c>
      <c r="E631" s="13" t="s">
        <v>422</v>
      </c>
      <c r="F631" s="13">
        <v>13.0</v>
      </c>
      <c r="G631" s="35" t="str">
        <f t="shared" si="118"/>
        <v>Pre-2006</v>
      </c>
      <c r="H631" s="71"/>
      <c r="I631" s="71"/>
      <c r="J631" s="61"/>
      <c r="K631" s="62"/>
      <c r="L631" s="63"/>
      <c r="M631" s="59" t="str">
        <f t="shared" si="117"/>
        <v>NA</v>
      </c>
      <c r="N631" s="17"/>
    </row>
    <row r="632">
      <c r="A632" s="9"/>
      <c r="B632" s="38">
        <f t="shared" si="5"/>
        <v>630</v>
      </c>
      <c r="C632" s="34">
        <v>44862.0</v>
      </c>
      <c r="D632" s="12" t="str">
        <f>hyperlink("https://www.rottentomatoes.com/m/magnolia","Magnolia")</f>
        <v>Magnolia</v>
      </c>
      <c r="E632" s="33" t="s">
        <v>422</v>
      </c>
      <c r="F632" s="33">
        <v>13.0</v>
      </c>
      <c r="G632" s="36">
        <v>2022.0</v>
      </c>
      <c r="H632" s="33" t="s">
        <v>58</v>
      </c>
      <c r="I632" s="33" t="s">
        <v>47</v>
      </c>
      <c r="J632" s="57">
        <v>1999.0</v>
      </c>
      <c r="K632" s="58">
        <v>0.83</v>
      </c>
      <c r="L632" s="37">
        <v>188.0</v>
      </c>
      <c r="M632" s="16">
        <f t="shared" si="117"/>
        <v>0.4414893617</v>
      </c>
      <c r="N632" s="17"/>
    </row>
    <row r="633">
      <c r="A633" s="9"/>
      <c r="B633" s="38">
        <f t="shared" si="5"/>
        <v>631</v>
      </c>
      <c r="C633" s="70"/>
      <c r="D633" s="48" t="s">
        <v>519</v>
      </c>
      <c r="E633" s="13" t="s">
        <v>422</v>
      </c>
      <c r="F633" s="13">
        <v>13.0</v>
      </c>
      <c r="G633" s="35" t="str">
        <f t="shared" ref="G633:G634" si="119">IF(C633&gt;40908,"2012",IF(C633&gt;40543,"2011",IF(C633&gt;40178,"2010",IF(C633&gt;=39814,"2009",IF(C633&gt;=39448,"2008",IF(C633&gt;39082,"2007",IF(C633&lt;38717,"Pre-2006","2006")))))))</f>
        <v>Pre-2006</v>
      </c>
      <c r="H633" s="71"/>
      <c r="I633" s="71"/>
      <c r="J633" s="61"/>
      <c r="K633" s="62"/>
      <c r="L633" s="63"/>
      <c r="M633" s="59" t="str">
        <f t="shared" si="117"/>
        <v>NA</v>
      </c>
      <c r="N633" s="17"/>
    </row>
    <row r="634">
      <c r="A634" s="9"/>
      <c r="B634" s="38">
        <f t="shared" si="5"/>
        <v>632</v>
      </c>
      <c r="C634" s="70"/>
      <c r="D634" s="48" t="s">
        <v>520</v>
      </c>
      <c r="E634" s="13" t="s">
        <v>422</v>
      </c>
      <c r="F634" s="13">
        <v>13.0</v>
      </c>
      <c r="G634" s="35" t="str">
        <f t="shared" si="119"/>
        <v>Pre-2006</v>
      </c>
      <c r="H634" s="71"/>
      <c r="I634" s="71"/>
      <c r="J634" s="61"/>
      <c r="K634" s="62"/>
      <c r="L634" s="63"/>
      <c r="M634" s="59" t="str">
        <f t="shared" si="117"/>
        <v>NA</v>
      </c>
      <c r="N634" s="17"/>
    </row>
    <row r="635">
      <c r="A635" s="9"/>
      <c r="B635" s="38">
        <f t="shared" si="5"/>
        <v>633</v>
      </c>
      <c r="C635" s="34">
        <v>44681.0</v>
      </c>
      <c r="D635" s="12" t="str">
        <f>hyperlink("https://www.rottentomatoes.com/m/marriage_story_2019","Marriage Story")</f>
        <v>Marriage Story</v>
      </c>
      <c r="E635" s="33" t="s">
        <v>422</v>
      </c>
      <c r="F635" s="33">
        <v>13.0</v>
      </c>
      <c r="G635" s="36">
        <v>2022.0</v>
      </c>
      <c r="H635" s="33" t="s">
        <v>58</v>
      </c>
      <c r="I635" s="33" t="s">
        <v>77</v>
      </c>
      <c r="J635" s="57">
        <v>2019.0</v>
      </c>
      <c r="K635" s="58">
        <v>0.94</v>
      </c>
      <c r="L635" s="37">
        <v>136.0</v>
      </c>
      <c r="M635" s="16">
        <f t="shared" si="117"/>
        <v>0.6911764706</v>
      </c>
      <c r="N635" s="17"/>
    </row>
    <row r="636">
      <c r="A636" s="9"/>
      <c r="B636" s="38">
        <f t="shared" si="5"/>
        <v>634</v>
      </c>
      <c r="C636" s="70"/>
      <c r="D636" s="48" t="s">
        <v>521</v>
      </c>
      <c r="E636" s="13" t="s">
        <v>422</v>
      </c>
      <c r="F636" s="13">
        <v>13.0</v>
      </c>
      <c r="G636" s="35" t="str">
        <f t="shared" ref="G636:G639" si="120">IF(C636&gt;40908,"2012",IF(C636&gt;40543,"2011",IF(C636&gt;40178,"2010",IF(C636&gt;=39814,"2009",IF(C636&gt;=39448,"2008",IF(C636&gt;39082,"2007",IF(C636&lt;38717,"Pre-2006","2006")))))))</f>
        <v>Pre-2006</v>
      </c>
      <c r="H636" s="71"/>
      <c r="I636" s="71"/>
      <c r="J636" s="61"/>
      <c r="K636" s="62"/>
      <c r="L636" s="63"/>
      <c r="M636" s="59" t="str">
        <f t="shared" si="117"/>
        <v>NA</v>
      </c>
      <c r="N636" s="17"/>
    </row>
    <row r="637">
      <c r="A637" s="9"/>
      <c r="B637" s="38">
        <f t="shared" si="5"/>
        <v>635</v>
      </c>
      <c r="C637" s="70"/>
      <c r="D637" s="48" t="s">
        <v>522</v>
      </c>
      <c r="E637" s="13" t="s">
        <v>422</v>
      </c>
      <c r="F637" s="13">
        <v>13.0</v>
      </c>
      <c r="G637" s="35" t="str">
        <f t="shared" si="120"/>
        <v>Pre-2006</v>
      </c>
      <c r="H637" s="71"/>
      <c r="I637" s="71"/>
      <c r="J637" s="61"/>
      <c r="K637" s="62"/>
      <c r="L637" s="63"/>
      <c r="M637" s="59" t="str">
        <f t="shared" si="117"/>
        <v>NA</v>
      </c>
      <c r="N637" s="17"/>
    </row>
    <row r="638">
      <c r="A638" s="9"/>
      <c r="B638" s="38">
        <f t="shared" si="5"/>
        <v>636</v>
      </c>
      <c r="C638" s="70"/>
      <c r="D638" s="48" t="s">
        <v>523</v>
      </c>
      <c r="E638" s="13" t="s">
        <v>422</v>
      </c>
      <c r="F638" s="13">
        <v>13.0</v>
      </c>
      <c r="G638" s="35" t="str">
        <f t="shared" si="120"/>
        <v>Pre-2006</v>
      </c>
      <c r="H638" s="71"/>
      <c r="I638" s="71"/>
      <c r="J638" s="61"/>
      <c r="K638" s="62"/>
      <c r="L638" s="63"/>
      <c r="M638" s="59" t="str">
        <f t="shared" si="117"/>
        <v>NA</v>
      </c>
      <c r="N638" s="17"/>
    </row>
    <row r="639">
      <c r="A639" s="9"/>
      <c r="B639" s="38">
        <f t="shared" si="5"/>
        <v>637</v>
      </c>
      <c r="C639" s="70"/>
      <c r="D639" s="48" t="s">
        <v>524</v>
      </c>
      <c r="E639" s="13" t="s">
        <v>422</v>
      </c>
      <c r="F639" s="13">
        <v>13.0</v>
      </c>
      <c r="G639" s="35" t="str">
        <f t="shared" si="120"/>
        <v>Pre-2006</v>
      </c>
      <c r="H639" s="71"/>
      <c r="I639" s="71"/>
      <c r="J639" s="61"/>
      <c r="K639" s="62"/>
      <c r="L639" s="63"/>
      <c r="M639" s="59" t="str">
        <f t="shared" si="117"/>
        <v>NA</v>
      </c>
      <c r="N639" s="17"/>
    </row>
    <row r="640">
      <c r="A640" s="9"/>
      <c r="B640" s="38">
        <f t="shared" si="5"/>
        <v>638</v>
      </c>
      <c r="C640" s="34">
        <v>42931.0</v>
      </c>
      <c r="D640" s="74" t="str">
        <f>hyperlink("https://www.rottentomatoes.com/m/midnight_in_paris","Midnight in Paris")</f>
        <v>Midnight in Paris</v>
      </c>
      <c r="E640" s="33" t="s">
        <v>422</v>
      </c>
      <c r="F640" s="33">
        <v>13.0</v>
      </c>
      <c r="G640" s="36">
        <v>2017.0</v>
      </c>
      <c r="H640" s="33" t="s">
        <v>58</v>
      </c>
      <c r="I640" s="33" t="s">
        <v>77</v>
      </c>
      <c r="J640" s="37">
        <v>2011.0</v>
      </c>
      <c r="K640" s="15">
        <v>0.93</v>
      </c>
      <c r="L640" s="37">
        <v>94.0</v>
      </c>
      <c r="M640" s="59">
        <f t="shared" si="117"/>
        <v>0.9893617021</v>
      </c>
      <c r="N640" s="17"/>
    </row>
    <row r="641">
      <c r="A641" s="9"/>
      <c r="B641" s="38">
        <f t="shared" si="5"/>
        <v>639</v>
      </c>
      <c r="C641" s="34">
        <v>39696.0</v>
      </c>
      <c r="D641" s="48" t="s">
        <v>525</v>
      </c>
      <c r="E641" s="13" t="s">
        <v>422</v>
      </c>
      <c r="F641" s="13">
        <v>13.0</v>
      </c>
      <c r="G641" s="35" t="str">
        <f t="shared" ref="G641:G645" si="121">IF(C641&gt;40908,"2012",IF(C641&gt;40543,"2011",IF(C641&gt;40178,"2010",IF(C641&gt;=39814,"2009",IF(C641&gt;=39448,"2008",IF(C641&gt;39082,"2007",IF(C641&lt;38717,"Pre-2006","2006")))))))</f>
        <v>2008</v>
      </c>
      <c r="H641" s="13" t="s">
        <v>35</v>
      </c>
      <c r="I641" s="13" t="s">
        <v>47</v>
      </c>
      <c r="J641" s="14">
        <v>1988.0</v>
      </c>
      <c r="K641" s="15">
        <v>1.0</v>
      </c>
      <c r="L641" s="14">
        <v>126.0</v>
      </c>
      <c r="M641" s="16">
        <f t="shared" si="117"/>
        <v>0.7936507937</v>
      </c>
      <c r="N641" s="17"/>
    </row>
    <row r="642">
      <c r="A642" s="9"/>
      <c r="B642" s="38">
        <f t="shared" si="5"/>
        <v>640</v>
      </c>
      <c r="C642" s="70"/>
      <c r="D642" s="48" t="s">
        <v>526</v>
      </c>
      <c r="E642" s="13" t="s">
        <v>422</v>
      </c>
      <c r="F642" s="13">
        <v>13.0</v>
      </c>
      <c r="G642" s="35" t="str">
        <f t="shared" si="121"/>
        <v>Pre-2006</v>
      </c>
      <c r="H642" s="71"/>
      <c r="I642" s="71"/>
      <c r="J642" s="61"/>
      <c r="K642" s="62"/>
      <c r="L642" s="63"/>
      <c r="M642" s="59" t="str">
        <f t="shared" si="117"/>
        <v>NA</v>
      </c>
      <c r="N642" s="17"/>
    </row>
    <row r="643">
      <c r="A643" s="9"/>
      <c r="B643" s="38">
        <f t="shared" si="5"/>
        <v>641</v>
      </c>
      <c r="C643" s="70"/>
      <c r="D643" s="48" t="s">
        <v>527</v>
      </c>
      <c r="E643" s="13" t="s">
        <v>422</v>
      </c>
      <c r="F643" s="13">
        <v>13.0</v>
      </c>
      <c r="G643" s="35" t="str">
        <f t="shared" si="121"/>
        <v>Pre-2006</v>
      </c>
      <c r="H643" s="71"/>
      <c r="I643" s="71"/>
      <c r="J643" s="61"/>
      <c r="K643" s="62"/>
      <c r="L643" s="63"/>
      <c r="M643" s="59" t="str">
        <f t="shared" si="117"/>
        <v>NA</v>
      </c>
      <c r="N643" s="17"/>
    </row>
    <row r="644">
      <c r="A644" s="9"/>
      <c r="B644" s="38">
        <f t="shared" si="5"/>
        <v>642</v>
      </c>
      <c r="C644" s="70"/>
      <c r="D644" s="48" t="s">
        <v>528</v>
      </c>
      <c r="E644" s="13" t="s">
        <v>422</v>
      </c>
      <c r="F644" s="13">
        <v>13.0</v>
      </c>
      <c r="G644" s="35" t="str">
        <f t="shared" si="121"/>
        <v>Pre-2006</v>
      </c>
      <c r="H644" s="71"/>
      <c r="I644" s="71"/>
      <c r="J644" s="61"/>
      <c r="K644" s="62"/>
      <c r="L644" s="63"/>
      <c r="M644" s="59" t="str">
        <f t="shared" si="117"/>
        <v>NA</v>
      </c>
      <c r="N644" s="17"/>
    </row>
    <row r="645">
      <c r="A645" s="9"/>
      <c r="B645" s="38">
        <f t="shared" si="5"/>
        <v>643</v>
      </c>
      <c r="C645" s="34">
        <v>40904.0</v>
      </c>
      <c r="D645" s="48" t="s">
        <v>529</v>
      </c>
      <c r="E645" s="13" t="s">
        <v>422</v>
      </c>
      <c r="F645" s="13">
        <v>13.0</v>
      </c>
      <c r="G645" s="35" t="str">
        <f t="shared" si="121"/>
        <v>2011</v>
      </c>
      <c r="H645" s="13" t="s">
        <v>29</v>
      </c>
      <c r="I645" s="13" t="s">
        <v>26</v>
      </c>
      <c r="J645" s="14">
        <v>2011.0</v>
      </c>
      <c r="K645" s="15">
        <v>0.93</v>
      </c>
      <c r="L645" s="14">
        <v>133.0</v>
      </c>
      <c r="M645" s="16">
        <f t="shared" si="117"/>
        <v>0.6992481203</v>
      </c>
      <c r="N645" s="17"/>
    </row>
    <row r="646">
      <c r="A646" s="9"/>
      <c r="B646" s="38">
        <f t="shared" si="5"/>
        <v>644</v>
      </c>
      <c r="C646" s="34">
        <v>43946.0</v>
      </c>
      <c r="D646" s="12" t="str">
        <f>hyperlink("https://www.rottentomatoes.com/m/moana_2016","Moana")</f>
        <v>Moana</v>
      </c>
      <c r="E646" s="33" t="s">
        <v>422</v>
      </c>
      <c r="F646" s="33">
        <v>13.0</v>
      </c>
      <c r="G646" s="36">
        <v>2020.0</v>
      </c>
      <c r="H646" s="33" t="s">
        <v>58</v>
      </c>
      <c r="I646" s="33" t="s">
        <v>47</v>
      </c>
      <c r="J646" s="57">
        <v>2017.0</v>
      </c>
      <c r="K646" s="58">
        <v>0.95</v>
      </c>
      <c r="L646" s="37">
        <v>113.0</v>
      </c>
      <c r="M646" s="16">
        <f t="shared" si="117"/>
        <v>0.8407079646</v>
      </c>
      <c r="N646" s="17"/>
    </row>
    <row r="647">
      <c r="A647" s="9"/>
      <c r="B647" s="38">
        <f t="shared" si="5"/>
        <v>645</v>
      </c>
      <c r="C647" s="34">
        <v>43099.0</v>
      </c>
      <c r="D647" s="74" t="str">
        <f>hyperlink("https://www.rottentomatoes.com/m/mollys_game_2017","Molly's Game")</f>
        <v>Molly's Game</v>
      </c>
      <c r="E647" s="33" t="s">
        <v>422</v>
      </c>
      <c r="F647" s="33">
        <v>13.0</v>
      </c>
      <c r="G647" s="36">
        <v>2017.0</v>
      </c>
      <c r="H647" s="33" t="s">
        <v>379</v>
      </c>
      <c r="I647" s="33" t="s">
        <v>26</v>
      </c>
      <c r="J647" s="57">
        <v>2017.0</v>
      </c>
      <c r="K647" s="58">
        <v>0.81</v>
      </c>
      <c r="L647" s="37">
        <v>140.0</v>
      </c>
      <c r="M647" s="16">
        <f t="shared" si="117"/>
        <v>0.5785714286</v>
      </c>
      <c r="N647" s="17"/>
    </row>
    <row r="648">
      <c r="A648" s="9"/>
      <c r="B648" s="38">
        <f t="shared" si="5"/>
        <v>646</v>
      </c>
      <c r="C648" s="70"/>
      <c r="D648" s="48" t="s">
        <v>530</v>
      </c>
      <c r="E648" s="13" t="s">
        <v>422</v>
      </c>
      <c r="F648" s="13">
        <v>13.0</v>
      </c>
      <c r="G648" s="35" t="str">
        <f t="shared" ref="G648:G649" si="122">IF(C648&gt;40908,"2012",IF(C648&gt;40543,"2011",IF(C648&gt;40178,"2010",IF(C648&gt;=39814,"2009",IF(C648&gt;=39448,"2008",IF(C648&gt;39082,"2007",IF(C648&lt;38717,"Pre-2006","2006")))))))</f>
        <v>Pre-2006</v>
      </c>
      <c r="H648" s="71"/>
      <c r="I648" s="71"/>
      <c r="J648" s="61"/>
      <c r="K648" s="62"/>
      <c r="L648" s="63"/>
      <c r="M648" s="59" t="str">
        <f t="shared" si="117"/>
        <v>NA</v>
      </c>
      <c r="N648" s="17"/>
    </row>
    <row r="649">
      <c r="A649" s="9"/>
      <c r="B649" s="38">
        <f t="shared" si="5"/>
        <v>647</v>
      </c>
      <c r="C649" s="70"/>
      <c r="D649" s="48" t="s">
        <v>531</v>
      </c>
      <c r="E649" s="13" t="s">
        <v>422</v>
      </c>
      <c r="F649" s="13">
        <v>13.0</v>
      </c>
      <c r="G649" s="35" t="str">
        <f t="shared" si="122"/>
        <v>Pre-2006</v>
      </c>
      <c r="H649" s="71"/>
      <c r="I649" s="71"/>
      <c r="J649" s="61"/>
      <c r="K649" s="62"/>
      <c r="L649" s="63"/>
      <c r="M649" s="59" t="str">
        <f t="shared" si="117"/>
        <v>NA</v>
      </c>
      <c r="N649" s="17"/>
    </row>
    <row r="650">
      <c r="A650" s="9"/>
      <c r="B650" s="38">
        <f t="shared" si="5"/>
        <v>648</v>
      </c>
      <c r="C650" s="34">
        <v>44546.0</v>
      </c>
      <c r="D650" s="85" t="s">
        <v>532</v>
      </c>
      <c r="E650" s="33" t="s">
        <v>422</v>
      </c>
      <c r="F650" s="33">
        <v>13.0</v>
      </c>
      <c r="G650" s="36">
        <v>2021.0</v>
      </c>
      <c r="H650" s="33" t="s">
        <v>58</v>
      </c>
      <c r="I650" s="33" t="s">
        <v>471</v>
      </c>
      <c r="J650" s="57">
        <v>2021.0</v>
      </c>
      <c r="K650" s="82" t="s">
        <v>169</v>
      </c>
      <c r="L650" s="37">
        <v>80.0</v>
      </c>
      <c r="M650" s="72" t="s">
        <v>169</v>
      </c>
      <c r="N650" s="17"/>
    </row>
    <row r="651">
      <c r="A651" s="9"/>
      <c r="B651" s="38">
        <f t="shared" si="5"/>
        <v>649</v>
      </c>
      <c r="C651" s="34">
        <v>42493.0</v>
      </c>
      <c r="D651" s="74" t="str">
        <f>hyperlink("http://www.rottentomatoes.com/m/my_beautiful_broken_brain/?search=my%20beautiful%20broken","My Beautiful Broken Brain")</f>
        <v>My Beautiful Broken Brain</v>
      </c>
      <c r="E651" s="33" t="s">
        <v>422</v>
      </c>
      <c r="F651" s="33">
        <v>13.0</v>
      </c>
      <c r="G651" s="36">
        <v>2016.0</v>
      </c>
      <c r="H651" s="33" t="s">
        <v>25</v>
      </c>
      <c r="I651" s="33" t="s">
        <v>47</v>
      </c>
      <c r="J651" s="57">
        <v>2016.0</v>
      </c>
      <c r="K651" s="82" t="s">
        <v>169</v>
      </c>
      <c r="L651" s="37" t="s">
        <v>169</v>
      </c>
      <c r="M651" s="72" t="s">
        <v>169</v>
      </c>
      <c r="N651" s="17"/>
    </row>
    <row r="652">
      <c r="A652" s="9"/>
      <c r="B652" s="38">
        <f t="shared" si="5"/>
        <v>650</v>
      </c>
      <c r="C652" s="70"/>
      <c r="D652" s="48" t="s">
        <v>533</v>
      </c>
      <c r="E652" s="13" t="s">
        <v>422</v>
      </c>
      <c r="F652" s="13">
        <v>13.0</v>
      </c>
      <c r="G652" s="35" t="str">
        <f t="shared" ref="G652:G659" si="123">IF(C652&gt;40908,"2012",IF(C652&gt;40543,"2011",IF(C652&gt;40178,"2010",IF(C652&gt;=39814,"2009",IF(C652&gt;=39448,"2008",IF(C652&gt;39082,"2007",IF(C652&lt;38717,"Pre-2006","2006")))))))</f>
        <v>Pre-2006</v>
      </c>
      <c r="H652" s="71"/>
      <c r="I652" s="71"/>
      <c r="J652" s="61"/>
      <c r="K652" s="62"/>
      <c r="L652" s="63"/>
      <c r="M652" s="59" t="str">
        <f t="shared" ref="M652:M726" si="124">if(iserror(K652/L652*100),"NA",K652/L652*100)</f>
        <v>NA</v>
      </c>
      <c r="N652" s="17"/>
    </row>
    <row r="653">
      <c r="A653" s="9"/>
      <c r="B653" s="38">
        <f t="shared" si="5"/>
        <v>651</v>
      </c>
      <c r="C653" s="34">
        <v>39549.0</v>
      </c>
      <c r="D653" s="48" t="s">
        <v>534</v>
      </c>
      <c r="E653" s="13" t="s">
        <v>422</v>
      </c>
      <c r="F653" s="13">
        <v>13.0</v>
      </c>
      <c r="G653" s="35" t="str">
        <f t="shared" si="123"/>
        <v>2008</v>
      </c>
      <c r="H653" s="13" t="s">
        <v>17</v>
      </c>
      <c r="I653" s="13" t="s">
        <v>21</v>
      </c>
      <c r="J653" s="14">
        <v>2007.0</v>
      </c>
      <c r="K653" s="15">
        <v>0.93</v>
      </c>
      <c r="L653" s="14">
        <v>83.0</v>
      </c>
      <c r="M653" s="16">
        <f t="shared" si="124"/>
        <v>1.120481928</v>
      </c>
      <c r="N653" s="17"/>
    </row>
    <row r="654">
      <c r="A654" s="9"/>
      <c r="B654" s="38">
        <f t="shared" si="5"/>
        <v>652</v>
      </c>
      <c r="C654" s="70"/>
      <c r="D654" s="48" t="s">
        <v>535</v>
      </c>
      <c r="E654" s="13" t="s">
        <v>422</v>
      </c>
      <c r="F654" s="13">
        <v>13.0</v>
      </c>
      <c r="G654" s="35" t="str">
        <f t="shared" si="123"/>
        <v>Pre-2006</v>
      </c>
      <c r="H654" s="71"/>
      <c r="I654" s="71"/>
      <c r="J654" s="61"/>
      <c r="K654" s="62"/>
      <c r="L654" s="63"/>
      <c r="M654" s="59" t="str">
        <f t="shared" si="124"/>
        <v>NA</v>
      </c>
      <c r="N654" s="17"/>
    </row>
    <row r="655">
      <c r="A655" s="9"/>
      <c r="B655" s="38">
        <f t="shared" si="5"/>
        <v>653</v>
      </c>
      <c r="C655" s="70"/>
      <c r="D655" s="48" t="s">
        <v>536</v>
      </c>
      <c r="E655" s="13" t="s">
        <v>422</v>
      </c>
      <c r="F655" s="13">
        <v>13.0</v>
      </c>
      <c r="G655" s="35" t="str">
        <f t="shared" si="123"/>
        <v>Pre-2006</v>
      </c>
      <c r="H655" s="71"/>
      <c r="I655" s="71"/>
      <c r="J655" s="61"/>
      <c r="K655" s="62"/>
      <c r="L655" s="63"/>
      <c r="M655" s="59" t="str">
        <f t="shared" si="124"/>
        <v>NA</v>
      </c>
      <c r="N655" s="17"/>
    </row>
    <row r="656">
      <c r="A656" s="9"/>
      <c r="B656" s="38">
        <f t="shared" si="5"/>
        <v>654</v>
      </c>
      <c r="C656" s="70"/>
      <c r="D656" s="48" t="s">
        <v>537</v>
      </c>
      <c r="E656" s="13" t="s">
        <v>422</v>
      </c>
      <c r="F656" s="13">
        <v>13.0</v>
      </c>
      <c r="G656" s="35" t="str">
        <f t="shared" si="123"/>
        <v>Pre-2006</v>
      </c>
      <c r="H656" s="71"/>
      <c r="I656" s="71"/>
      <c r="J656" s="61"/>
      <c r="K656" s="62"/>
      <c r="L656" s="63"/>
      <c r="M656" s="59" t="str">
        <f t="shared" si="124"/>
        <v>NA</v>
      </c>
      <c r="N656" s="17"/>
    </row>
    <row r="657">
      <c r="A657" s="9"/>
      <c r="B657" s="38">
        <f t="shared" si="5"/>
        <v>655</v>
      </c>
      <c r="C657" s="70"/>
      <c r="D657" s="48" t="s">
        <v>538</v>
      </c>
      <c r="E657" s="13" t="s">
        <v>422</v>
      </c>
      <c r="F657" s="13">
        <v>13.0</v>
      </c>
      <c r="G657" s="35" t="str">
        <f t="shared" si="123"/>
        <v>Pre-2006</v>
      </c>
      <c r="H657" s="71"/>
      <c r="I657" s="71"/>
      <c r="J657" s="61"/>
      <c r="K657" s="62"/>
      <c r="L657" s="63"/>
      <c r="M657" s="59" t="str">
        <f t="shared" si="124"/>
        <v>NA</v>
      </c>
      <c r="N657" s="17"/>
    </row>
    <row r="658">
      <c r="A658" s="9"/>
      <c r="B658" s="38">
        <f t="shared" si="5"/>
        <v>656</v>
      </c>
      <c r="C658" s="70"/>
      <c r="D658" s="48" t="s">
        <v>539</v>
      </c>
      <c r="E658" s="13" t="s">
        <v>422</v>
      </c>
      <c r="F658" s="13">
        <v>13.0</v>
      </c>
      <c r="G658" s="35" t="str">
        <f t="shared" si="123"/>
        <v>Pre-2006</v>
      </c>
      <c r="H658" s="71"/>
      <c r="I658" s="71"/>
      <c r="J658" s="61"/>
      <c r="K658" s="62"/>
      <c r="L658" s="63"/>
      <c r="M658" s="59" t="str">
        <f t="shared" si="124"/>
        <v>NA</v>
      </c>
      <c r="N658" s="17"/>
    </row>
    <row r="659">
      <c r="A659" s="9"/>
      <c r="B659" s="38">
        <f t="shared" si="5"/>
        <v>657</v>
      </c>
      <c r="C659" s="34">
        <v>38940.0</v>
      </c>
      <c r="D659" s="48" t="s">
        <v>540</v>
      </c>
      <c r="E659" s="13" t="s">
        <v>422</v>
      </c>
      <c r="F659" s="13">
        <v>13.0</v>
      </c>
      <c r="G659" s="35" t="str">
        <f t="shared" si="123"/>
        <v>2006</v>
      </c>
      <c r="H659" s="71"/>
      <c r="I659" s="71"/>
      <c r="J659" s="61"/>
      <c r="K659" s="62"/>
      <c r="L659" s="63"/>
      <c r="M659" s="59" t="str">
        <f t="shared" si="124"/>
        <v>NA</v>
      </c>
      <c r="N659" s="17"/>
    </row>
    <row r="660">
      <c r="A660" s="9"/>
      <c r="B660" s="38">
        <f t="shared" si="5"/>
        <v>658</v>
      </c>
      <c r="C660" s="34">
        <v>41850.0</v>
      </c>
      <c r="D660" s="48" t="s">
        <v>541</v>
      </c>
      <c r="E660" s="13" t="s">
        <v>422</v>
      </c>
      <c r="F660" s="13">
        <v>13.0</v>
      </c>
      <c r="G660" s="13">
        <v>2014.0</v>
      </c>
      <c r="H660" s="13" t="s">
        <v>373</v>
      </c>
      <c r="I660" s="13" t="s">
        <v>47</v>
      </c>
      <c r="J660" s="55" t="s">
        <v>169</v>
      </c>
      <c r="K660" s="88" t="s">
        <v>169</v>
      </c>
      <c r="L660" s="14">
        <v>80.0</v>
      </c>
      <c r="M660" s="89" t="str">
        <f t="shared" si="124"/>
        <v>NA</v>
      </c>
      <c r="N660" s="17"/>
    </row>
    <row r="661">
      <c r="A661" s="9"/>
      <c r="B661" s="38">
        <f t="shared" si="5"/>
        <v>659</v>
      </c>
      <c r="C661" s="70"/>
      <c r="D661" s="48" t="s">
        <v>542</v>
      </c>
      <c r="E661" s="13" t="s">
        <v>422</v>
      </c>
      <c r="F661" s="13">
        <v>13.0</v>
      </c>
      <c r="G661" s="35" t="str">
        <f>IF(C661&gt;40908,"2012",IF(C661&gt;40543,"2011",IF(C661&gt;40178,"2010",IF(C661&gt;=39814,"2009",IF(C661&gt;=39448,"2008",IF(C661&gt;39082,"2007",IF(C661&lt;38717,"Pre-2006","2006")))))))</f>
        <v>Pre-2006</v>
      </c>
      <c r="H661" s="71"/>
      <c r="I661" s="71"/>
      <c r="J661" s="61"/>
      <c r="K661" s="62"/>
      <c r="L661" s="63"/>
      <c r="M661" s="59" t="str">
        <f t="shared" si="124"/>
        <v>NA</v>
      </c>
      <c r="N661" s="17"/>
    </row>
    <row r="662">
      <c r="A662" s="9"/>
      <c r="B662" s="38">
        <f t="shared" si="5"/>
        <v>660</v>
      </c>
      <c r="C662" s="34">
        <v>43071.0</v>
      </c>
      <c r="D662" s="74" t="str">
        <f>hyperlink("https://www.rottentomatoes.com/m/the_overnight_2015","Overnight, The")</f>
        <v>Overnight, The</v>
      </c>
      <c r="E662" s="33" t="s">
        <v>422</v>
      </c>
      <c r="F662" s="33">
        <v>13.0</v>
      </c>
      <c r="G662" s="36">
        <v>2017.0</v>
      </c>
      <c r="H662" s="33" t="s">
        <v>58</v>
      </c>
      <c r="I662" s="33" t="s">
        <v>77</v>
      </c>
      <c r="J662" s="57">
        <v>2015.0</v>
      </c>
      <c r="K662" s="58">
        <v>0.82</v>
      </c>
      <c r="L662" s="37">
        <v>80.0</v>
      </c>
      <c r="M662" s="59">
        <f t="shared" si="124"/>
        <v>1.025</v>
      </c>
      <c r="N662" s="17"/>
    </row>
    <row r="663">
      <c r="A663" s="9"/>
      <c r="B663" s="38">
        <f t="shared" si="5"/>
        <v>661</v>
      </c>
      <c r="C663" s="70"/>
      <c r="D663" s="48" t="s">
        <v>543</v>
      </c>
      <c r="E663" s="13" t="s">
        <v>422</v>
      </c>
      <c r="F663" s="13">
        <v>13.0</v>
      </c>
      <c r="G663" s="35" t="str">
        <f t="shared" ref="G663:G693" si="125">IF(C663&gt;40908,"2012",IF(C663&gt;40543,"2011",IF(C663&gt;40178,"2010",IF(C663&gt;=39814,"2009",IF(C663&gt;=39448,"2008",IF(C663&gt;39082,"2007",IF(C663&lt;38717,"Pre-2006","2006")))))))</f>
        <v>Pre-2006</v>
      </c>
      <c r="H663" s="71"/>
      <c r="I663" s="71"/>
      <c r="J663" s="61"/>
      <c r="K663" s="62"/>
      <c r="L663" s="63"/>
      <c r="M663" s="59" t="str">
        <f t="shared" si="124"/>
        <v>NA</v>
      </c>
      <c r="N663" s="17"/>
    </row>
    <row r="664">
      <c r="A664" s="9"/>
      <c r="B664" s="38">
        <f t="shared" si="5"/>
        <v>662</v>
      </c>
      <c r="C664" s="70"/>
      <c r="D664" s="48" t="s">
        <v>544</v>
      </c>
      <c r="E664" s="13" t="s">
        <v>422</v>
      </c>
      <c r="F664" s="13">
        <v>13.0</v>
      </c>
      <c r="G664" s="35" t="str">
        <f t="shared" si="125"/>
        <v>Pre-2006</v>
      </c>
      <c r="H664" s="71"/>
      <c r="I664" s="71"/>
      <c r="J664" s="61"/>
      <c r="K664" s="62"/>
      <c r="L664" s="63"/>
      <c r="M664" s="59" t="str">
        <f t="shared" si="124"/>
        <v>NA</v>
      </c>
      <c r="N664" s="17"/>
    </row>
    <row r="665">
      <c r="A665" s="9"/>
      <c r="B665" s="38">
        <f t="shared" si="5"/>
        <v>663</v>
      </c>
      <c r="C665" s="70"/>
      <c r="D665" s="48" t="s">
        <v>545</v>
      </c>
      <c r="E665" s="13" t="s">
        <v>422</v>
      </c>
      <c r="F665" s="13">
        <v>13.0</v>
      </c>
      <c r="G665" s="35" t="str">
        <f t="shared" si="125"/>
        <v>Pre-2006</v>
      </c>
      <c r="H665" s="71"/>
      <c r="I665" s="71"/>
      <c r="J665" s="61"/>
      <c r="K665" s="62"/>
      <c r="L665" s="63"/>
      <c r="M665" s="59" t="str">
        <f t="shared" si="124"/>
        <v>NA</v>
      </c>
      <c r="N665" s="17"/>
    </row>
    <row r="666">
      <c r="A666" s="9"/>
      <c r="B666" s="38">
        <f t="shared" si="5"/>
        <v>664</v>
      </c>
      <c r="C666" s="70"/>
      <c r="D666" s="48" t="s">
        <v>546</v>
      </c>
      <c r="E666" s="13" t="s">
        <v>422</v>
      </c>
      <c r="F666" s="13">
        <v>13.0</v>
      </c>
      <c r="G666" s="35" t="str">
        <f t="shared" si="125"/>
        <v>Pre-2006</v>
      </c>
      <c r="H666" s="71"/>
      <c r="I666" s="71"/>
      <c r="J666" s="61"/>
      <c r="K666" s="62"/>
      <c r="L666" s="63"/>
      <c r="M666" s="59" t="str">
        <f t="shared" si="124"/>
        <v>NA</v>
      </c>
      <c r="N666" s="17"/>
    </row>
    <row r="667">
      <c r="A667" s="9"/>
      <c r="B667" s="38">
        <f t="shared" si="5"/>
        <v>665</v>
      </c>
      <c r="C667" s="70"/>
      <c r="D667" s="48" t="s">
        <v>547</v>
      </c>
      <c r="E667" s="13" t="s">
        <v>422</v>
      </c>
      <c r="F667" s="13">
        <v>13.0</v>
      </c>
      <c r="G667" s="35" t="str">
        <f t="shared" si="125"/>
        <v>Pre-2006</v>
      </c>
      <c r="H667" s="71"/>
      <c r="I667" s="71"/>
      <c r="J667" s="61"/>
      <c r="K667" s="62"/>
      <c r="L667" s="63"/>
      <c r="M667" s="59" t="str">
        <f t="shared" si="124"/>
        <v>NA</v>
      </c>
      <c r="N667" s="17"/>
    </row>
    <row r="668">
      <c r="A668" s="9"/>
      <c r="B668" s="38">
        <f t="shared" si="5"/>
        <v>666</v>
      </c>
      <c r="C668" s="70"/>
      <c r="D668" s="48" t="s">
        <v>548</v>
      </c>
      <c r="E668" s="13" t="s">
        <v>422</v>
      </c>
      <c r="F668" s="13">
        <v>13.0</v>
      </c>
      <c r="G668" s="35" t="str">
        <f t="shared" si="125"/>
        <v>Pre-2006</v>
      </c>
      <c r="H668" s="71"/>
      <c r="I668" s="71"/>
      <c r="J668" s="61"/>
      <c r="K668" s="62"/>
      <c r="L668" s="63"/>
      <c r="M668" s="59" t="str">
        <f t="shared" si="124"/>
        <v>NA</v>
      </c>
      <c r="N668" s="17"/>
    </row>
    <row r="669">
      <c r="A669" s="9"/>
      <c r="B669" s="38">
        <f t="shared" si="5"/>
        <v>667</v>
      </c>
      <c r="C669" s="70"/>
      <c r="D669" s="48" t="s">
        <v>549</v>
      </c>
      <c r="E669" s="13" t="s">
        <v>422</v>
      </c>
      <c r="F669" s="13">
        <v>13.0</v>
      </c>
      <c r="G669" s="35" t="str">
        <f t="shared" si="125"/>
        <v>Pre-2006</v>
      </c>
      <c r="H669" s="71"/>
      <c r="I669" s="71"/>
      <c r="J669" s="61"/>
      <c r="K669" s="62"/>
      <c r="L669" s="63"/>
      <c r="M669" s="59" t="str">
        <f t="shared" si="124"/>
        <v>NA</v>
      </c>
      <c r="N669" s="17"/>
    </row>
    <row r="670">
      <c r="A670" s="9"/>
      <c r="B670" s="38">
        <f t="shared" si="5"/>
        <v>668</v>
      </c>
      <c r="C670" s="34">
        <v>39317.0</v>
      </c>
      <c r="D670" s="48" t="s">
        <v>550</v>
      </c>
      <c r="E670" s="13" t="s">
        <v>422</v>
      </c>
      <c r="F670" s="13">
        <v>13.0</v>
      </c>
      <c r="G670" s="35" t="str">
        <f t="shared" si="125"/>
        <v>2007</v>
      </c>
      <c r="H670" s="13" t="s">
        <v>15</v>
      </c>
      <c r="I670" s="13" t="s">
        <v>21</v>
      </c>
      <c r="J670" s="61"/>
      <c r="K670" s="62"/>
      <c r="L670" s="63"/>
      <c r="M670" s="59" t="str">
        <f t="shared" si="124"/>
        <v>NA</v>
      </c>
      <c r="N670" s="17"/>
    </row>
    <row r="671">
      <c r="A671" s="9"/>
      <c r="B671" s="38">
        <f t="shared" si="5"/>
        <v>669</v>
      </c>
      <c r="C671" s="70"/>
      <c r="D671" s="48" t="s">
        <v>551</v>
      </c>
      <c r="E671" s="13" t="s">
        <v>422</v>
      </c>
      <c r="F671" s="13">
        <v>13.0</v>
      </c>
      <c r="G671" s="35" t="str">
        <f t="shared" si="125"/>
        <v>Pre-2006</v>
      </c>
      <c r="H671" s="71"/>
      <c r="I671" s="71"/>
      <c r="J671" s="61"/>
      <c r="K671" s="62"/>
      <c r="L671" s="63"/>
      <c r="M671" s="59" t="str">
        <f t="shared" si="124"/>
        <v>NA</v>
      </c>
      <c r="N671" s="17"/>
    </row>
    <row r="672">
      <c r="A672" s="9"/>
      <c r="B672" s="38">
        <f t="shared" si="5"/>
        <v>670</v>
      </c>
      <c r="C672" s="70"/>
      <c r="D672" s="48" t="s">
        <v>552</v>
      </c>
      <c r="E672" s="13" t="s">
        <v>422</v>
      </c>
      <c r="F672" s="13">
        <v>13.0</v>
      </c>
      <c r="G672" s="35" t="str">
        <f t="shared" si="125"/>
        <v>Pre-2006</v>
      </c>
      <c r="H672" s="71"/>
      <c r="I672" s="71"/>
      <c r="J672" s="61"/>
      <c r="K672" s="62"/>
      <c r="L672" s="63"/>
      <c r="M672" s="59" t="str">
        <f t="shared" si="124"/>
        <v>NA</v>
      </c>
      <c r="N672" s="17"/>
    </row>
    <row r="673">
      <c r="A673" s="9"/>
      <c r="B673" s="38">
        <f t="shared" si="5"/>
        <v>671</v>
      </c>
      <c r="C673" s="34">
        <v>39049.0</v>
      </c>
      <c r="D673" s="48" t="s">
        <v>553</v>
      </c>
      <c r="E673" s="13" t="s">
        <v>422</v>
      </c>
      <c r="F673" s="13">
        <v>13.0</v>
      </c>
      <c r="G673" s="35" t="str">
        <f t="shared" si="125"/>
        <v>2006</v>
      </c>
      <c r="H673" s="71"/>
      <c r="I673" s="71"/>
      <c r="J673" s="61"/>
      <c r="K673" s="62"/>
      <c r="L673" s="63"/>
      <c r="M673" s="59" t="str">
        <f t="shared" si="124"/>
        <v>NA</v>
      </c>
      <c r="N673" s="17"/>
    </row>
    <row r="674">
      <c r="A674" s="9"/>
      <c r="B674" s="38">
        <f t="shared" si="5"/>
        <v>672</v>
      </c>
      <c r="C674" s="34">
        <v>39774.0</v>
      </c>
      <c r="D674" s="48" t="s">
        <v>554</v>
      </c>
      <c r="E674" s="13" t="s">
        <v>422</v>
      </c>
      <c r="F674" s="13">
        <v>13.0</v>
      </c>
      <c r="G674" s="35" t="str">
        <f t="shared" si="125"/>
        <v>2008</v>
      </c>
      <c r="H674" s="13" t="s">
        <v>27</v>
      </c>
      <c r="I674" s="13" t="s">
        <v>26</v>
      </c>
      <c r="J674" s="14">
        <v>2008.0</v>
      </c>
      <c r="K674" s="15">
        <v>0.87</v>
      </c>
      <c r="L674" s="14">
        <v>114.0</v>
      </c>
      <c r="M674" s="16">
        <f t="shared" si="124"/>
        <v>0.7631578947</v>
      </c>
      <c r="N674" s="17"/>
    </row>
    <row r="675">
      <c r="A675" s="9"/>
      <c r="B675" s="38">
        <f t="shared" si="5"/>
        <v>673</v>
      </c>
      <c r="C675" s="70"/>
      <c r="D675" s="48" t="s">
        <v>555</v>
      </c>
      <c r="E675" s="13" t="s">
        <v>422</v>
      </c>
      <c r="F675" s="13">
        <v>13.0</v>
      </c>
      <c r="G675" s="35" t="str">
        <f t="shared" si="125"/>
        <v>Pre-2006</v>
      </c>
      <c r="H675" s="71"/>
      <c r="I675" s="71"/>
      <c r="J675" s="61"/>
      <c r="K675" s="62"/>
      <c r="L675" s="63"/>
      <c r="M675" s="59" t="str">
        <f t="shared" si="124"/>
        <v>NA</v>
      </c>
      <c r="N675" s="17"/>
    </row>
    <row r="676">
      <c r="A676" s="9"/>
      <c r="B676" s="38">
        <f t="shared" si="5"/>
        <v>674</v>
      </c>
      <c r="C676" s="70"/>
      <c r="D676" s="48" t="s">
        <v>556</v>
      </c>
      <c r="E676" s="13" t="s">
        <v>422</v>
      </c>
      <c r="F676" s="13">
        <v>13.0</v>
      </c>
      <c r="G676" s="35" t="str">
        <f t="shared" si="125"/>
        <v>Pre-2006</v>
      </c>
      <c r="H676" s="71"/>
      <c r="I676" s="71"/>
      <c r="J676" s="61"/>
      <c r="K676" s="62"/>
      <c r="L676" s="63"/>
      <c r="M676" s="59" t="str">
        <f t="shared" si="124"/>
        <v>NA</v>
      </c>
      <c r="N676" s="17"/>
    </row>
    <row r="677">
      <c r="A677" s="9"/>
      <c r="B677" s="38">
        <f t="shared" si="5"/>
        <v>675</v>
      </c>
      <c r="C677" s="34">
        <v>39859.0</v>
      </c>
      <c r="D677" s="48" t="s">
        <v>557</v>
      </c>
      <c r="E677" s="13" t="s">
        <v>422</v>
      </c>
      <c r="F677" s="13">
        <v>13.0</v>
      </c>
      <c r="G677" s="35" t="str">
        <f t="shared" si="125"/>
        <v>2009</v>
      </c>
      <c r="H677" s="13" t="s">
        <v>27</v>
      </c>
      <c r="I677" s="13" t="s">
        <v>26</v>
      </c>
      <c r="J677" s="14">
        <v>2008.0</v>
      </c>
      <c r="K677" s="15">
        <v>0.6</v>
      </c>
      <c r="L677" s="14">
        <v>123.0</v>
      </c>
      <c r="M677" s="16">
        <f t="shared" si="124"/>
        <v>0.487804878</v>
      </c>
      <c r="N677" s="17"/>
    </row>
    <row r="678">
      <c r="A678" s="9"/>
      <c r="B678" s="38">
        <f t="shared" si="5"/>
        <v>676</v>
      </c>
      <c r="C678" s="70"/>
      <c r="D678" s="48" t="s">
        <v>558</v>
      </c>
      <c r="E678" s="13" t="s">
        <v>422</v>
      </c>
      <c r="F678" s="13">
        <v>13.0</v>
      </c>
      <c r="G678" s="35" t="str">
        <f t="shared" si="125"/>
        <v>Pre-2006</v>
      </c>
      <c r="H678" s="71"/>
      <c r="I678" s="71"/>
      <c r="J678" s="61"/>
      <c r="K678" s="62"/>
      <c r="L678" s="63"/>
      <c r="M678" s="59" t="str">
        <f t="shared" si="124"/>
        <v>NA</v>
      </c>
      <c r="N678" s="17"/>
    </row>
    <row r="679">
      <c r="A679" s="9"/>
      <c r="B679" s="38">
        <f t="shared" si="5"/>
        <v>677</v>
      </c>
      <c r="C679" s="34">
        <v>39291.0</v>
      </c>
      <c r="D679" s="48" t="s">
        <v>559</v>
      </c>
      <c r="E679" s="13" t="s">
        <v>422</v>
      </c>
      <c r="F679" s="13">
        <v>13.0</v>
      </c>
      <c r="G679" s="35" t="str">
        <f t="shared" si="125"/>
        <v>2007</v>
      </c>
      <c r="H679" s="71"/>
      <c r="I679" s="71"/>
      <c r="J679" s="61"/>
      <c r="K679" s="62"/>
      <c r="L679" s="63"/>
      <c r="M679" s="59" t="str">
        <f t="shared" si="124"/>
        <v>NA</v>
      </c>
      <c r="N679" s="17"/>
    </row>
    <row r="680">
      <c r="A680" s="9"/>
      <c r="B680" s="38">
        <f t="shared" si="5"/>
        <v>678</v>
      </c>
      <c r="C680" s="34">
        <v>39270.0</v>
      </c>
      <c r="D680" s="48" t="s">
        <v>560</v>
      </c>
      <c r="E680" s="13" t="s">
        <v>422</v>
      </c>
      <c r="F680" s="13">
        <v>13.0</v>
      </c>
      <c r="G680" s="35" t="str">
        <f t="shared" si="125"/>
        <v>2007</v>
      </c>
      <c r="H680" s="71"/>
      <c r="I680" s="71"/>
      <c r="J680" s="61"/>
      <c r="K680" s="62"/>
      <c r="L680" s="63"/>
      <c r="M680" s="59" t="str">
        <f t="shared" si="124"/>
        <v>NA</v>
      </c>
      <c r="N680" s="17"/>
    </row>
    <row r="681">
      <c r="A681" s="9"/>
      <c r="B681" s="38">
        <f t="shared" si="5"/>
        <v>679</v>
      </c>
      <c r="C681" s="70"/>
      <c r="D681" s="48" t="s">
        <v>561</v>
      </c>
      <c r="E681" s="13" t="s">
        <v>422</v>
      </c>
      <c r="F681" s="13">
        <v>13.0</v>
      </c>
      <c r="G681" s="35" t="str">
        <f t="shared" si="125"/>
        <v>Pre-2006</v>
      </c>
      <c r="H681" s="71"/>
      <c r="I681" s="71"/>
      <c r="J681" s="61"/>
      <c r="K681" s="62"/>
      <c r="L681" s="63"/>
      <c r="M681" s="59" t="str">
        <f t="shared" si="124"/>
        <v>NA</v>
      </c>
      <c r="N681" s="17"/>
    </row>
    <row r="682">
      <c r="A682" s="9"/>
      <c r="B682" s="38">
        <f t="shared" si="5"/>
        <v>680</v>
      </c>
      <c r="C682" s="70"/>
      <c r="D682" s="48" t="s">
        <v>562</v>
      </c>
      <c r="E682" s="13" t="s">
        <v>422</v>
      </c>
      <c r="F682" s="13">
        <v>13.0</v>
      </c>
      <c r="G682" s="35" t="str">
        <f t="shared" si="125"/>
        <v>Pre-2006</v>
      </c>
      <c r="H682" s="71"/>
      <c r="I682" s="71"/>
      <c r="J682" s="61"/>
      <c r="K682" s="62"/>
      <c r="L682" s="63"/>
      <c r="M682" s="59" t="str">
        <f t="shared" si="124"/>
        <v>NA</v>
      </c>
      <c r="N682" s="17"/>
    </row>
    <row r="683">
      <c r="A683" s="9"/>
      <c r="B683" s="38">
        <f t="shared" si="5"/>
        <v>681</v>
      </c>
      <c r="C683" s="70"/>
      <c r="D683" s="48" t="s">
        <v>563</v>
      </c>
      <c r="E683" s="13" t="s">
        <v>422</v>
      </c>
      <c r="F683" s="13">
        <v>13.0</v>
      </c>
      <c r="G683" s="35" t="str">
        <f t="shared" si="125"/>
        <v>Pre-2006</v>
      </c>
      <c r="H683" s="71"/>
      <c r="I683" s="71"/>
      <c r="J683" s="61"/>
      <c r="K683" s="62"/>
      <c r="L683" s="63"/>
      <c r="M683" s="59" t="str">
        <f t="shared" si="124"/>
        <v>NA</v>
      </c>
      <c r="N683" s="17"/>
    </row>
    <row r="684">
      <c r="A684" s="9"/>
      <c r="B684" s="38">
        <f t="shared" si="5"/>
        <v>682</v>
      </c>
      <c r="C684" s="70"/>
      <c r="D684" s="48" t="s">
        <v>564</v>
      </c>
      <c r="E684" s="13" t="s">
        <v>422</v>
      </c>
      <c r="F684" s="13">
        <v>13.0</v>
      </c>
      <c r="G684" s="35" t="str">
        <f t="shared" si="125"/>
        <v>Pre-2006</v>
      </c>
      <c r="H684" s="71"/>
      <c r="I684" s="71"/>
      <c r="J684" s="61"/>
      <c r="K684" s="62"/>
      <c r="L684" s="63"/>
      <c r="M684" s="59" t="str">
        <f t="shared" si="124"/>
        <v>NA</v>
      </c>
      <c r="N684" s="17"/>
    </row>
    <row r="685">
      <c r="A685" s="9"/>
      <c r="B685" s="38">
        <f t="shared" si="5"/>
        <v>683</v>
      </c>
      <c r="C685" s="34">
        <v>39949.0</v>
      </c>
      <c r="D685" s="48" t="s">
        <v>565</v>
      </c>
      <c r="E685" s="13" t="s">
        <v>422</v>
      </c>
      <c r="F685" s="13">
        <v>13.0</v>
      </c>
      <c r="G685" s="35" t="str">
        <f t="shared" si="125"/>
        <v>2009</v>
      </c>
      <c r="H685" s="13" t="s">
        <v>27</v>
      </c>
      <c r="I685" s="13" t="s">
        <v>47</v>
      </c>
      <c r="J685" s="14">
        <v>2008.0</v>
      </c>
      <c r="K685" s="15">
        <v>0.76</v>
      </c>
      <c r="L685" s="14">
        <v>102.0</v>
      </c>
      <c r="M685" s="16">
        <f t="shared" si="124"/>
        <v>0.7450980392</v>
      </c>
      <c r="N685" s="17"/>
    </row>
    <row r="686">
      <c r="A686" s="9"/>
      <c r="B686" s="38">
        <f t="shared" si="5"/>
        <v>684</v>
      </c>
      <c r="C686" s="70"/>
      <c r="D686" s="48" t="s">
        <v>566</v>
      </c>
      <c r="E686" s="13" t="s">
        <v>422</v>
      </c>
      <c r="F686" s="13">
        <v>13.0</v>
      </c>
      <c r="G686" s="35" t="str">
        <f t="shared" si="125"/>
        <v>Pre-2006</v>
      </c>
      <c r="H686" s="71"/>
      <c r="I686" s="71"/>
      <c r="J686" s="61"/>
      <c r="K686" s="62"/>
      <c r="L686" s="63"/>
      <c r="M686" s="59" t="str">
        <f t="shared" si="124"/>
        <v>NA</v>
      </c>
      <c r="N686" s="17"/>
    </row>
    <row r="687">
      <c r="A687" s="9"/>
      <c r="B687" s="38">
        <f t="shared" si="5"/>
        <v>685</v>
      </c>
      <c r="C687" s="70"/>
      <c r="D687" s="48" t="s">
        <v>567</v>
      </c>
      <c r="E687" s="13" t="s">
        <v>422</v>
      </c>
      <c r="F687" s="13">
        <v>13.0</v>
      </c>
      <c r="G687" s="35" t="str">
        <f t="shared" si="125"/>
        <v>Pre-2006</v>
      </c>
      <c r="H687" s="71"/>
      <c r="I687" s="71"/>
      <c r="J687" s="61"/>
      <c r="K687" s="62"/>
      <c r="L687" s="63"/>
      <c r="M687" s="59" t="str">
        <f t="shared" si="124"/>
        <v>NA</v>
      </c>
      <c r="N687" s="17"/>
    </row>
    <row r="688">
      <c r="A688" s="9"/>
      <c r="B688" s="38">
        <f t="shared" si="5"/>
        <v>686</v>
      </c>
      <c r="C688" s="34">
        <v>39847.0</v>
      </c>
      <c r="D688" s="48" t="s">
        <v>568</v>
      </c>
      <c r="E688" s="13" t="s">
        <v>422</v>
      </c>
      <c r="F688" s="13">
        <v>13.0</v>
      </c>
      <c r="G688" s="35" t="str">
        <f t="shared" si="125"/>
        <v>2009</v>
      </c>
      <c r="H688" s="13" t="s">
        <v>27</v>
      </c>
      <c r="I688" s="13" t="s">
        <v>277</v>
      </c>
      <c r="J688" s="14">
        <v>2002.0</v>
      </c>
      <c r="K688" s="15">
        <v>0.82</v>
      </c>
      <c r="L688" s="14">
        <v>128.0</v>
      </c>
      <c r="M688" s="16">
        <f t="shared" si="124"/>
        <v>0.640625</v>
      </c>
      <c r="N688" s="17"/>
    </row>
    <row r="689">
      <c r="A689" s="9"/>
      <c r="B689" s="38">
        <f t="shared" si="5"/>
        <v>687</v>
      </c>
      <c r="C689" s="70"/>
      <c r="D689" s="48" t="s">
        <v>569</v>
      </c>
      <c r="E689" s="13" t="s">
        <v>422</v>
      </c>
      <c r="F689" s="13">
        <v>13.0</v>
      </c>
      <c r="G689" s="35" t="str">
        <f t="shared" si="125"/>
        <v>Pre-2006</v>
      </c>
      <c r="H689" s="71"/>
      <c r="I689" s="71"/>
      <c r="J689" s="61"/>
      <c r="K689" s="62"/>
      <c r="L689" s="63"/>
      <c r="M689" s="59" t="str">
        <f t="shared" si="124"/>
        <v>NA</v>
      </c>
      <c r="N689" s="17"/>
    </row>
    <row r="690">
      <c r="A690" s="9"/>
      <c r="B690" s="38">
        <f t="shared" si="5"/>
        <v>688</v>
      </c>
      <c r="C690" s="70"/>
      <c r="D690" s="48" t="s">
        <v>570</v>
      </c>
      <c r="E690" s="13" t="s">
        <v>422</v>
      </c>
      <c r="F690" s="13">
        <v>13.0</v>
      </c>
      <c r="G690" s="35" t="str">
        <f t="shared" si="125"/>
        <v>Pre-2006</v>
      </c>
      <c r="H690" s="71"/>
      <c r="I690" s="71"/>
      <c r="J690" s="61"/>
      <c r="K690" s="62"/>
      <c r="L690" s="63"/>
      <c r="M690" s="59" t="str">
        <f t="shared" si="124"/>
        <v>NA</v>
      </c>
      <c r="N690" s="17"/>
    </row>
    <row r="691">
      <c r="A691" s="9"/>
      <c r="B691" s="38">
        <f t="shared" si="5"/>
        <v>689</v>
      </c>
      <c r="C691" s="70"/>
      <c r="D691" s="48" t="s">
        <v>571</v>
      </c>
      <c r="E691" s="13" t="s">
        <v>422</v>
      </c>
      <c r="F691" s="13">
        <v>13.0</v>
      </c>
      <c r="G691" s="35" t="str">
        <f t="shared" si="125"/>
        <v>Pre-2006</v>
      </c>
      <c r="H691" s="71"/>
      <c r="I691" s="71"/>
      <c r="J691" s="61"/>
      <c r="K691" s="62"/>
      <c r="L691" s="63"/>
      <c r="M691" s="59" t="str">
        <f t="shared" si="124"/>
        <v>NA</v>
      </c>
      <c r="N691" s="17"/>
    </row>
    <row r="692">
      <c r="A692" s="9"/>
      <c r="B692" s="38">
        <f t="shared" si="5"/>
        <v>690</v>
      </c>
      <c r="C692" s="70"/>
      <c r="D692" s="48" t="s">
        <v>572</v>
      </c>
      <c r="E692" s="13" t="s">
        <v>422</v>
      </c>
      <c r="F692" s="13">
        <v>13.0</v>
      </c>
      <c r="G692" s="35" t="str">
        <f t="shared" si="125"/>
        <v>Pre-2006</v>
      </c>
      <c r="H692" s="71"/>
      <c r="I692" s="71"/>
      <c r="J692" s="61"/>
      <c r="K692" s="62"/>
      <c r="L692" s="63"/>
      <c r="M692" s="59" t="str">
        <f t="shared" si="124"/>
        <v>NA</v>
      </c>
      <c r="N692" s="17"/>
    </row>
    <row r="693">
      <c r="A693" s="9"/>
      <c r="B693" s="38">
        <f t="shared" si="5"/>
        <v>691</v>
      </c>
      <c r="C693" s="70"/>
      <c r="D693" s="48" t="s">
        <v>573</v>
      </c>
      <c r="E693" s="13" t="s">
        <v>422</v>
      </c>
      <c r="F693" s="13">
        <v>13.0</v>
      </c>
      <c r="G693" s="35" t="str">
        <f t="shared" si="125"/>
        <v>Pre-2006</v>
      </c>
      <c r="H693" s="71"/>
      <c r="I693" s="71"/>
      <c r="J693" s="61"/>
      <c r="K693" s="62"/>
      <c r="L693" s="63"/>
      <c r="M693" s="59" t="str">
        <f t="shared" si="124"/>
        <v>NA</v>
      </c>
      <c r="N693" s="17"/>
    </row>
    <row r="694">
      <c r="A694" s="9"/>
      <c r="B694" s="38">
        <f t="shared" si="5"/>
        <v>692</v>
      </c>
      <c r="C694" s="34">
        <v>41761.0</v>
      </c>
      <c r="D694" s="12" t="str">
        <f>hyperlink("http://www.rottentomatoes.com/m/the_secret_life_of_walter_mitty_2013/","Secret Life of Walter Mitty, The")</f>
        <v>Secret Life of Walter Mitty, The</v>
      </c>
      <c r="E694" s="13" t="s">
        <v>422</v>
      </c>
      <c r="F694" s="13">
        <v>13.0</v>
      </c>
      <c r="G694" s="13">
        <v>2013.0</v>
      </c>
      <c r="H694" s="13" t="s">
        <v>574</v>
      </c>
      <c r="I694" s="13" t="s">
        <v>47</v>
      </c>
      <c r="J694" s="55">
        <v>2013.0</v>
      </c>
      <c r="K694" s="56">
        <v>0.51</v>
      </c>
      <c r="L694" s="14">
        <v>114.0</v>
      </c>
      <c r="M694" s="16">
        <f t="shared" si="124"/>
        <v>0.4473684211</v>
      </c>
      <c r="N694" s="17"/>
    </row>
    <row r="695">
      <c r="A695" s="9"/>
      <c r="B695" s="38">
        <f t="shared" si="5"/>
        <v>693</v>
      </c>
      <c r="C695" s="34">
        <v>39136.0</v>
      </c>
      <c r="D695" s="48" t="s">
        <v>575</v>
      </c>
      <c r="E695" s="13" t="s">
        <v>422</v>
      </c>
      <c r="F695" s="13">
        <v>13.0</v>
      </c>
      <c r="G695" s="35" t="str">
        <f t="shared" ref="G695:G698" si="126">IF(C695&gt;40908,"2012",IF(C695&gt;40543,"2011",IF(C695&gt;40178,"2010",IF(C695&gt;=39814,"2009",IF(C695&gt;=39448,"2008",IF(C695&gt;39082,"2007",IF(C695&lt;38717,"Pre-2006","2006")))))))</f>
        <v>2007</v>
      </c>
      <c r="H695" s="71"/>
      <c r="I695" s="71"/>
      <c r="J695" s="61"/>
      <c r="K695" s="62"/>
      <c r="L695" s="63"/>
      <c r="M695" s="59" t="str">
        <f t="shared" si="124"/>
        <v>NA</v>
      </c>
      <c r="N695" s="17"/>
    </row>
    <row r="696">
      <c r="A696" s="9"/>
      <c r="B696" s="38">
        <f t="shared" si="5"/>
        <v>694</v>
      </c>
      <c r="C696" s="70"/>
      <c r="D696" s="48" t="s">
        <v>576</v>
      </c>
      <c r="E696" s="13" t="s">
        <v>422</v>
      </c>
      <c r="F696" s="13">
        <v>13.0</v>
      </c>
      <c r="G696" s="35" t="str">
        <f t="shared" si="126"/>
        <v>Pre-2006</v>
      </c>
      <c r="H696" s="71"/>
      <c r="I696" s="71"/>
      <c r="J696" s="61"/>
      <c r="K696" s="62"/>
      <c r="L696" s="63"/>
      <c r="M696" s="59" t="str">
        <f t="shared" si="124"/>
        <v>NA</v>
      </c>
      <c r="N696" s="17"/>
    </row>
    <row r="697">
      <c r="A697" s="9"/>
      <c r="B697" s="38">
        <f t="shared" si="5"/>
        <v>695</v>
      </c>
      <c r="C697" s="70"/>
      <c r="D697" s="48" t="s">
        <v>577</v>
      </c>
      <c r="E697" s="13" t="s">
        <v>422</v>
      </c>
      <c r="F697" s="13">
        <v>13.0</v>
      </c>
      <c r="G697" s="35" t="str">
        <f t="shared" si="126"/>
        <v>Pre-2006</v>
      </c>
      <c r="H697" s="71"/>
      <c r="I697" s="71"/>
      <c r="J697" s="61"/>
      <c r="K697" s="62"/>
      <c r="L697" s="63"/>
      <c r="M697" s="59" t="str">
        <f t="shared" si="124"/>
        <v>NA</v>
      </c>
      <c r="N697" s="17"/>
    </row>
    <row r="698">
      <c r="A698" s="9"/>
      <c r="B698" s="38">
        <f t="shared" si="5"/>
        <v>696</v>
      </c>
      <c r="C698" s="34">
        <v>39149.0</v>
      </c>
      <c r="D698" s="48" t="s">
        <v>578</v>
      </c>
      <c r="E698" s="13" t="s">
        <v>422</v>
      </c>
      <c r="F698" s="13">
        <v>13.0</v>
      </c>
      <c r="G698" s="35" t="str">
        <f t="shared" si="126"/>
        <v>2007</v>
      </c>
      <c r="H698" s="71"/>
      <c r="I698" s="71"/>
      <c r="J698" s="61"/>
      <c r="K698" s="62"/>
      <c r="L698" s="63"/>
      <c r="M698" s="59" t="str">
        <f t="shared" si="124"/>
        <v>NA</v>
      </c>
      <c r="N698" s="17"/>
    </row>
    <row r="699">
      <c r="A699" s="9"/>
      <c r="B699" s="38">
        <f t="shared" si="5"/>
        <v>697</v>
      </c>
      <c r="C699" s="34">
        <v>43296.0</v>
      </c>
      <c r="D699" s="12" t="str">
        <f>hyperlink("https://www.rottentomatoes.com/m/sicario_2015","Sicario")</f>
        <v>Sicario</v>
      </c>
      <c r="E699" s="33" t="s">
        <v>422</v>
      </c>
      <c r="F699" s="33">
        <v>13.0</v>
      </c>
      <c r="G699" s="36">
        <v>2018.0</v>
      </c>
      <c r="H699" s="33" t="s">
        <v>58</v>
      </c>
      <c r="I699" s="33" t="s">
        <v>47</v>
      </c>
      <c r="J699" s="57">
        <v>2015.0</v>
      </c>
      <c r="K699" s="58">
        <v>0.92</v>
      </c>
      <c r="L699" s="37">
        <v>121.0</v>
      </c>
      <c r="M699" s="59">
        <f t="shared" si="124"/>
        <v>0.7603305785</v>
      </c>
      <c r="N699" s="17"/>
    </row>
    <row r="700">
      <c r="A700" s="9"/>
      <c r="B700" s="38">
        <f t="shared" si="5"/>
        <v>698</v>
      </c>
      <c r="C700" s="70"/>
      <c r="D700" s="48" t="s">
        <v>579</v>
      </c>
      <c r="E700" s="13" t="s">
        <v>422</v>
      </c>
      <c r="F700" s="13">
        <v>13.0</v>
      </c>
      <c r="G700" s="35" t="str">
        <f>IF(C700&gt;40908,"2012",IF(C700&gt;40543,"2011",IF(C700&gt;40178,"2010",IF(C700&gt;=39814,"2009",IF(C700&gt;=39448,"2008",IF(C700&gt;39082,"2007",IF(C700&lt;38717,"Pre-2006","2006")))))))</f>
        <v>Pre-2006</v>
      </c>
      <c r="H700" s="71"/>
      <c r="I700" s="71"/>
      <c r="J700" s="61"/>
      <c r="K700" s="62"/>
      <c r="L700" s="63"/>
      <c r="M700" s="59" t="str">
        <f t="shared" si="124"/>
        <v>NA</v>
      </c>
      <c r="N700" s="17"/>
    </row>
    <row r="701">
      <c r="A701" s="9"/>
      <c r="B701" s="38">
        <f t="shared" si="5"/>
        <v>699</v>
      </c>
      <c r="C701" s="34">
        <v>41323.0</v>
      </c>
      <c r="D701" s="48" t="s">
        <v>580</v>
      </c>
      <c r="E701" s="13" t="s">
        <v>422</v>
      </c>
      <c r="F701" s="13">
        <v>13.0</v>
      </c>
      <c r="G701" s="13">
        <v>2013.0</v>
      </c>
      <c r="H701" s="13" t="s">
        <v>25</v>
      </c>
      <c r="I701" s="13" t="s">
        <v>26</v>
      </c>
      <c r="J701" s="55">
        <v>2013.0</v>
      </c>
      <c r="K701" s="56">
        <v>0.85</v>
      </c>
      <c r="L701" s="14">
        <v>106.0</v>
      </c>
      <c r="M701" s="16">
        <f t="shared" si="124"/>
        <v>0.8018867925</v>
      </c>
      <c r="N701" s="17"/>
    </row>
    <row r="702">
      <c r="A702" s="9"/>
      <c r="B702" s="38">
        <f t="shared" si="5"/>
        <v>700</v>
      </c>
      <c r="C702" s="34">
        <v>41265.0</v>
      </c>
      <c r="D702" s="48" t="s">
        <v>581</v>
      </c>
      <c r="E702" s="13" t="s">
        <v>422</v>
      </c>
      <c r="F702" s="13">
        <v>13.0</v>
      </c>
      <c r="G702" s="13">
        <v>2012.0</v>
      </c>
      <c r="H702" s="13" t="s">
        <v>25</v>
      </c>
      <c r="I702" s="13" t="s">
        <v>26</v>
      </c>
      <c r="J702" s="55">
        <v>2012.0</v>
      </c>
      <c r="K702" s="56">
        <v>0.91</v>
      </c>
      <c r="L702" s="14">
        <v>120.0</v>
      </c>
      <c r="M702" s="16">
        <f t="shared" si="124"/>
        <v>0.7583333333</v>
      </c>
      <c r="N702" s="17"/>
    </row>
    <row r="703">
      <c r="A703" s="9"/>
      <c r="B703" s="38">
        <f t="shared" si="5"/>
        <v>701</v>
      </c>
      <c r="C703" s="34">
        <v>41993.0</v>
      </c>
      <c r="D703" s="12" t="str">
        <f>hyperlink("http://www.rottentomatoes.com/m/the_skeleton_twins/?search=skeleton%20twin","Skeleton Twins, The")</f>
        <v>Skeleton Twins, The</v>
      </c>
      <c r="E703" s="13" t="s">
        <v>422</v>
      </c>
      <c r="F703" s="13">
        <v>13.0</v>
      </c>
      <c r="G703" s="13">
        <v>2014.0</v>
      </c>
      <c r="H703" s="13" t="s">
        <v>25</v>
      </c>
      <c r="I703" s="13" t="s">
        <v>47</v>
      </c>
      <c r="J703" s="55">
        <v>2014.0</v>
      </c>
      <c r="K703" s="56">
        <v>0.87</v>
      </c>
      <c r="L703" s="14">
        <v>93.0</v>
      </c>
      <c r="M703" s="16">
        <f t="shared" si="124"/>
        <v>0.935483871</v>
      </c>
      <c r="N703" s="17"/>
    </row>
    <row r="704">
      <c r="A704" s="9"/>
      <c r="B704" s="38">
        <f t="shared" si="5"/>
        <v>702</v>
      </c>
      <c r="C704" s="34">
        <v>41223.0</v>
      </c>
      <c r="D704" s="48" t="s">
        <v>582</v>
      </c>
      <c r="E704" s="13" t="s">
        <v>422</v>
      </c>
      <c r="F704" s="13">
        <v>13.0</v>
      </c>
      <c r="G704" s="13">
        <v>2012.0</v>
      </c>
      <c r="H704" s="13" t="s">
        <v>25</v>
      </c>
      <c r="I704" s="13" t="s">
        <v>26</v>
      </c>
      <c r="J704" s="55">
        <v>2012.0</v>
      </c>
      <c r="K704" s="56">
        <v>0.92</v>
      </c>
      <c r="L704" s="14">
        <v>145.0</v>
      </c>
      <c r="M704" s="16">
        <f t="shared" si="124"/>
        <v>0.6344827586</v>
      </c>
      <c r="N704" s="17"/>
    </row>
    <row r="705">
      <c r="A705" s="9"/>
      <c r="B705" s="38">
        <f t="shared" si="5"/>
        <v>703</v>
      </c>
      <c r="C705" s="70"/>
      <c r="D705" s="48" t="s">
        <v>583</v>
      </c>
      <c r="E705" s="13" t="s">
        <v>422</v>
      </c>
      <c r="F705" s="13">
        <v>13.0</v>
      </c>
      <c r="G705" s="35" t="str">
        <f>IF(C705&gt;40908,"2012",IF(C705&gt;40543,"2011",IF(C705&gt;40178,"2010",IF(C705&gt;=39814,"2009",IF(C705&gt;=39448,"2008",IF(C705&gt;39082,"2007",IF(C705&lt;38717,"Pre-2006","2006")))))))</f>
        <v>Pre-2006</v>
      </c>
      <c r="H705" s="71"/>
      <c r="I705" s="71"/>
      <c r="J705" s="61"/>
      <c r="K705" s="62"/>
      <c r="L705" s="63"/>
      <c r="M705" s="59" t="str">
        <f t="shared" si="124"/>
        <v>NA</v>
      </c>
      <c r="N705" s="17"/>
    </row>
    <row r="706">
      <c r="A706" s="9"/>
      <c r="B706" s="38">
        <f t="shared" si="5"/>
        <v>704</v>
      </c>
      <c r="C706" s="60">
        <v>42309.0</v>
      </c>
      <c r="D706" s="64" t="s">
        <v>584</v>
      </c>
      <c r="E706" s="33" t="s">
        <v>422</v>
      </c>
      <c r="F706" s="33">
        <v>13.0</v>
      </c>
      <c r="G706" s="36">
        <v>2015.0</v>
      </c>
      <c r="H706" s="33" t="s">
        <v>58</v>
      </c>
      <c r="I706" s="33" t="s">
        <v>47</v>
      </c>
      <c r="J706" s="57">
        <v>2015.0</v>
      </c>
      <c r="K706" s="82" t="s">
        <v>169</v>
      </c>
      <c r="L706" s="37">
        <v>77.0</v>
      </c>
      <c r="M706" s="72" t="str">
        <f t="shared" si="124"/>
        <v>NA</v>
      </c>
      <c r="N706" s="17"/>
    </row>
    <row r="707">
      <c r="A707" s="9"/>
      <c r="B707" s="38">
        <f t="shared" si="5"/>
        <v>705</v>
      </c>
      <c r="C707" s="70"/>
      <c r="D707" s="48" t="s">
        <v>585</v>
      </c>
      <c r="E707" s="13" t="s">
        <v>422</v>
      </c>
      <c r="F707" s="13">
        <v>13.0</v>
      </c>
      <c r="G707" s="35" t="str">
        <f t="shared" ref="G707:G712" si="127">IF(C707&gt;40908,"2012",IF(C707&gt;40543,"2011",IF(C707&gt;40178,"2010",IF(C707&gt;=39814,"2009",IF(C707&gt;=39448,"2008",IF(C707&gt;39082,"2007",IF(C707&lt;38717,"Pre-2006","2006")))))))</f>
        <v>Pre-2006</v>
      </c>
      <c r="H707" s="71"/>
      <c r="I707" s="71"/>
      <c r="J707" s="61"/>
      <c r="K707" s="62"/>
      <c r="L707" s="63"/>
      <c r="M707" s="59" t="str">
        <f t="shared" si="124"/>
        <v>NA</v>
      </c>
      <c r="N707" s="17"/>
    </row>
    <row r="708">
      <c r="A708" s="9"/>
      <c r="B708" s="38">
        <f t="shared" si="5"/>
        <v>706</v>
      </c>
      <c r="C708" s="70"/>
      <c r="D708" s="48" t="s">
        <v>586</v>
      </c>
      <c r="E708" s="13" t="s">
        <v>422</v>
      </c>
      <c r="F708" s="13">
        <v>13.0</v>
      </c>
      <c r="G708" s="35" t="str">
        <f t="shared" si="127"/>
        <v>Pre-2006</v>
      </c>
      <c r="H708" s="71"/>
      <c r="I708" s="71"/>
      <c r="J708" s="61"/>
      <c r="K708" s="62"/>
      <c r="L708" s="63"/>
      <c r="M708" s="59" t="str">
        <f t="shared" si="124"/>
        <v>NA</v>
      </c>
      <c r="N708" s="17"/>
    </row>
    <row r="709">
      <c r="A709" s="9"/>
      <c r="B709" s="38">
        <f t="shared" si="5"/>
        <v>707</v>
      </c>
      <c r="C709" s="34">
        <v>40811.0</v>
      </c>
      <c r="D709" s="48" t="s">
        <v>587</v>
      </c>
      <c r="E709" s="13" t="s">
        <v>422</v>
      </c>
      <c r="F709" s="13">
        <v>13.0</v>
      </c>
      <c r="G709" s="35" t="str">
        <f t="shared" si="127"/>
        <v>2011</v>
      </c>
      <c r="H709" s="13" t="s">
        <v>25</v>
      </c>
      <c r="I709" s="13" t="s">
        <v>47</v>
      </c>
      <c r="J709" s="14">
        <v>2011.0</v>
      </c>
      <c r="K709" s="15">
        <v>0.92</v>
      </c>
      <c r="L709" s="14">
        <v>87.0</v>
      </c>
      <c r="M709" s="16">
        <f t="shared" si="124"/>
        <v>1.057471264</v>
      </c>
      <c r="N709" s="17"/>
    </row>
    <row r="710">
      <c r="A710" s="9"/>
      <c r="B710" s="38">
        <f t="shared" si="5"/>
        <v>708</v>
      </c>
      <c r="C710" s="34">
        <v>39314.0</v>
      </c>
      <c r="D710" s="48" t="s">
        <v>588</v>
      </c>
      <c r="E710" s="13" t="s">
        <v>422</v>
      </c>
      <c r="F710" s="13">
        <v>13.0</v>
      </c>
      <c r="G710" s="35" t="str">
        <f t="shared" si="127"/>
        <v>2007</v>
      </c>
      <c r="H710" s="13" t="s">
        <v>15</v>
      </c>
      <c r="I710" s="13" t="s">
        <v>21</v>
      </c>
      <c r="J710" s="61"/>
      <c r="K710" s="62"/>
      <c r="L710" s="63"/>
      <c r="M710" s="59" t="str">
        <f t="shared" si="124"/>
        <v>NA</v>
      </c>
      <c r="N710" s="17"/>
    </row>
    <row r="711">
      <c r="A711" s="9"/>
      <c r="B711" s="38">
        <f t="shared" si="5"/>
        <v>709</v>
      </c>
      <c r="C711" s="70"/>
      <c r="D711" s="90" t="s">
        <v>589</v>
      </c>
      <c r="E711" s="13" t="s">
        <v>422</v>
      </c>
      <c r="F711" s="13">
        <v>13.0</v>
      </c>
      <c r="G711" s="35" t="str">
        <f t="shared" si="127"/>
        <v>Pre-2006</v>
      </c>
      <c r="H711" s="71"/>
      <c r="I711" s="71"/>
      <c r="J711" s="61"/>
      <c r="K711" s="62"/>
      <c r="L711" s="63"/>
      <c r="M711" s="59" t="str">
        <f t="shared" si="124"/>
        <v>NA</v>
      </c>
      <c r="N711" s="17"/>
    </row>
    <row r="712">
      <c r="A712" s="9"/>
      <c r="B712" s="38">
        <f t="shared" si="5"/>
        <v>710</v>
      </c>
      <c r="C712" s="34">
        <v>39368.0</v>
      </c>
      <c r="D712" s="48" t="s">
        <v>590</v>
      </c>
      <c r="E712" s="13" t="s">
        <v>422</v>
      </c>
      <c r="F712" s="13">
        <v>13.0</v>
      </c>
      <c r="G712" s="35" t="str">
        <f t="shared" si="127"/>
        <v>2007</v>
      </c>
      <c r="H712" s="13" t="s">
        <v>17</v>
      </c>
      <c r="I712" s="13" t="s">
        <v>47</v>
      </c>
      <c r="J712" s="61"/>
      <c r="K712" s="62"/>
      <c r="L712" s="63"/>
      <c r="M712" s="59" t="str">
        <f t="shared" si="124"/>
        <v>NA</v>
      </c>
      <c r="N712" s="17"/>
    </row>
    <row r="713">
      <c r="A713" s="9"/>
      <c r="B713" s="38">
        <f t="shared" si="5"/>
        <v>711</v>
      </c>
      <c r="C713" s="34">
        <v>41971.0</v>
      </c>
      <c r="D713" s="12" t="str">
        <f>hyperlink("http://www.rottentomatoes.com/m/stuck_in_love/?search=stuck%20in%20love","Stuck In Love")</f>
        <v>Stuck In Love</v>
      </c>
      <c r="E713" s="13" t="s">
        <v>422</v>
      </c>
      <c r="F713" s="13">
        <v>13.0</v>
      </c>
      <c r="G713" s="13">
        <v>2014.0</v>
      </c>
      <c r="H713" s="13" t="s">
        <v>25</v>
      </c>
      <c r="I713" s="13" t="s">
        <v>47</v>
      </c>
      <c r="J713" s="55">
        <v>2013.0</v>
      </c>
      <c r="K713" s="56">
        <v>0.58</v>
      </c>
      <c r="L713" s="14">
        <v>96.0</v>
      </c>
      <c r="M713" s="16">
        <f t="shared" si="124"/>
        <v>0.6041666667</v>
      </c>
      <c r="N713" s="17"/>
    </row>
    <row r="714">
      <c r="A714" s="9"/>
      <c r="B714" s="38">
        <f t="shared" si="5"/>
        <v>712</v>
      </c>
      <c r="C714" s="70"/>
      <c r="D714" s="48" t="s">
        <v>591</v>
      </c>
      <c r="E714" s="13" t="s">
        <v>422</v>
      </c>
      <c r="F714" s="13">
        <v>13.0</v>
      </c>
      <c r="G714" s="35" t="str">
        <f t="shared" ref="G714:G716" si="128">IF(C714&gt;40908,"2012",IF(C714&gt;40543,"2011",IF(C714&gt;40178,"2010",IF(C714&gt;=39814,"2009",IF(C714&gt;=39448,"2008",IF(C714&gt;39082,"2007",IF(C714&lt;38717,"Pre-2006","2006")))))))</f>
        <v>Pre-2006</v>
      </c>
      <c r="H714" s="71"/>
      <c r="I714" s="71"/>
      <c r="J714" s="61"/>
      <c r="K714" s="62"/>
      <c r="L714" s="63"/>
      <c r="M714" s="59" t="str">
        <f t="shared" si="124"/>
        <v>NA</v>
      </c>
      <c r="N714" s="17"/>
    </row>
    <row r="715">
      <c r="A715" s="9"/>
      <c r="B715" s="38">
        <f t="shared" si="5"/>
        <v>713</v>
      </c>
      <c r="C715" s="34">
        <v>38957.0</v>
      </c>
      <c r="D715" s="48" t="s">
        <v>592</v>
      </c>
      <c r="E715" s="13" t="s">
        <v>422</v>
      </c>
      <c r="F715" s="13">
        <v>13.0</v>
      </c>
      <c r="G715" s="35" t="str">
        <f t="shared" si="128"/>
        <v>2006</v>
      </c>
      <c r="H715" s="71"/>
      <c r="I715" s="71"/>
      <c r="J715" s="61"/>
      <c r="K715" s="62"/>
      <c r="L715" s="63"/>
      <c r="M715" s="59" t="str">
        <f t="shared" si="124"/>
        <v>NA</v>
      </c>
      <c r="N715" s="17"/>
    </row>
    <row r="716">
      <c r="A716" s="9"/>
      <c r="B716" s="38">
        <f t="shared" si="5"/>
        <v>714</v>
      </c>
      <c r="C716" s="70"/>
      <c r="D716" s="48" t="s">
        <v>593</v>
      </c>
      <c r="E716" s="13" t="s">
        <v>422</v>
      </c>
      <c r="F716" s="13">
        <v>13.0</v>
      </c>
      <c r="G716" s="35" t="str">
        <f t="shared" si="128"/>
        <v>Pre-2006</v>
      </c>
      <c r="H716" s="71"/>
      <c r="I716" s="71"/>
      <c r="J716" s="61"/>
      <c r="K716" s="62"/>
      <c r="L716" s="63"/>
      <c r="M716" s="59" t="str">
        <f t="shared" si="124"/>
        <v>NA</v>
      </c>
      <c r="N716" s="17"/>
    </row>
    <row r="717">
      <c r="A717" s="9"/>
      <c r="B717" s="38">
        <f t="shared" si="5"/>
        <v>715</v>
      </c>
      <c r="C717" s="34">
        <v>44992.0</v>
      </c>
      <c r="D717" s="12" t="str">
        <f>hyperlink("https://www.rottentomatoes.com/m/tar_2022","Tar")</f>
        <v>Tar</v>
      </c>
      <c r="E717" s="33" t="s">
        <v>422</v>
      </c>
      <c r="F717" s="33">
        <v>13.0</v>
      </c>
      <c r="G717" s="36">
        <v>2023.0</v>
      </c>
      <c r="H717" s="33" t="s">
        <v>25</v>
      </c>
      <c r="I717" s="33" t="s">
        <v>26</v>
      </c>
      <c r="J717" s="57">
        <v>2022.0</v>
      </c>
      <c r="K717" s="58">
        <v>0.9</v>
      </c>
      <c r="L717" s="37">
        <v>158.0</v>
      </c>
      <c r="M717" s="59">
        <f t="shared" si="124"/>
        <v>0.5696202532</v>
      </c>
      <c r="N717" s="17"/>
    </row>
    <row r="718">
      <c r="A718" s="9"/>
      <c r="B718" s="38">
        <f t="shared" si="5"/>
        <v>716</v>
      </c>
      <c r="C718" s="70"/>
      <c r="D718" s="48" t="s">
        <v>594</v>
      </c>
      <c r="E718" s="13" t="s">
        <v>422</v>
      </c>
      <c r="F718" s="13">
        <v>13.0</v>
      </c>
      <c r="G718" s="35" t="str">
        <f t="shared" ref="G718:G720" si="129">IF(C718&gt;40908,"2012",IF(C718&gt;40543,"2011",IF(C718&gt;40178,"2010",IF(C718&gt;=39814,"2009",IF(C718&gt;=39448,"2008",IF(C718&gt;39082,"2007",IF(C718&lt;38717,"Pre-2006","2006")))))))</f>
        <v>Pre-2006</v>
      </c>
      <c r="H718" s="71"/>
      <c r="I718" s="71"/>
      <c r="J718" s="61"/>
      <c r="K718" s="62"/>
      <c r="L718" s="63"/>
      <c r="M718" s="59" t="str">
        <f t="shared" si="124"/>
        <v>NA</v>
      </c>
      <c r="N718" s="17"/>
    </row>
    <row r="719">
      <c r="A719" s="9"/>
      <c r="B719" s="38">
        <f t="shared" si="5"/>
        <v>717</v>
      </c>
      <c r="C719" s="70"/>
      <c r="D719" s="48" t="s">
        <v>595</v>
      </c>
      <c r="E719" s="13" t="s">
        <v>422</v>
      </c>
      <c r="F719" s="13">
        <v>13.0</v>
      </c>
      <c r="G719" s="35" t="str">
        <f t="shared" si="129"/>
        <v>Pre-2006</v>
      </c>
      <c r="H719" s="71"/>
      <c r="I719" s="71"/>
      <c r="J719" s="61"/>
      <c r="K719" s="62"/>
      <c r="L719" s="63"/>
      <c r="M719" s="59" t="str">
        <f t="shared" si="124"/>
        <v>NA</v>
      </c>
      <c r="N719" s="17"/>
    </row>
    <row r="720">
      <c r="A720" s="9"/>
      <c r="B720" s="38">
        <f t="shared" si="5"/>
        <v>718</v>
      </c>
      <c r="C720" s="34">
        <v>38808.0</v>
      </c>
      <c r="D720" s="48" t="s">
        <v>596</v>
      </c>
      <c r="E720" s="13" t="s">
        <v>422</v>
      </c>
      <c r="F720" s="13">
        <v>13.0</v>
      </c>
      <c r="G720" s="35" t="str">
        <f t="shared" si="129"/>
        <v>2006</v>
      </c>
      <c r="H720" s="71"/>
      <c r="I720" s="71"/>
      <c r="J720" s="61"/>
      <c r="K720" s="62"/>
      <c r="L720" s="63"/>
      <c r="M720" s="59" t="str">
        <f t="shared" si="124"/>
        <v>NA</v>
      </c>
      <c r="N720" s="17"/>
    </row>
    <row r="721">
      <c r="A721" s="9"/>
      <c r="B721" s="38">
        <f t="shared" si="5"/>
        <v>719</v>
      </c>
      <c r="C721" s="34">
        <v>44871.0</v>
      </c>
      <c r="D721" s="12" t="str">
        <f>hyperlink("https://www.rottentomatoes.com/m/ticket_to_paradise_2022","Ticket to Paradise")</f>
        <v>Ticket to Paradise</v>
      </c>
      <c r="E721" s="33" t="s">
        <v>422</v>
      </c>
      <c r="F721" s="33">
        <v>13.0</v>
      </c>
      <c r="G721" s="36">
        <v>2022.0</v>
      </c>
      <c r="H721" s="33" t="s">
        <v>143</v>
      </c>
      <c r="I721" s="33" t="s">
        <v>26</v>
      </c>
      <c r="J721" s="37">
        <v>2022.0</v>
      </c>
      <c r="K721" s="15">
        <v>0.57</v>
      </c>
      <c r="L721" s="37">
        <v>104.0</v>
      </c>
      <c r="M721" s="59">
        <f t="shared" si="124"/>
        <v>0.5480769231</v>
      </c>
      <c r="N721" s="17"/>
    </row>
    <row r="722">
      <c r="A722" s="9"/>
      <c r="B722" s="38">
        <f t="shared" si="5"/>
        <v>720</v>
      </c>
      <c r="C722" s="34">
        <v>42338.0</v>
      </c>
      <c r="D722" s="12" t="str">
        <f>hyperlink("http://www.rottentomatoes.com/m/tinker_tailor_soldier_spy/","Tinker, Taylor, Soldier, Spy")</f>
        <v>Tinker, Taylor, Soldier, Spy</v>
      </c>
      <c r="E722" s="33" t="s">
        <v>422</v>
      </c>
      <c r="F722" s="33">
        <v>13.0</v>
      </c>
      <c r="G722" s="36">
        <v>2015.0</v>
      </c>
      <c r="H722" s="33" t="s">
        <v>25</v>
      </c>
      <c r="I722" s="13" t="s">
        <v>47</v>
      </c>
      <c r="J722" s="37">
        <v>2012.0</v>
      </c>
      <c r="K722" s="15">
        <v>0.83</v>
      </c>
      <c r="L722" s="37">
        <v>128.0</v>
      </c>
      <c r="M722" s="59">
        <f t="shared" si="124"/>
        <v>0.6484375</v>
      </c>
      <c r="N722" s="17"/>
    </row>
    <row r="723">
      <c r="A723" s="9"/>
      <c r="B723" s="38">
        <f t="shared" si="5"/>
        <v>721</v>
      </c>
      <c r="C723" s="34">
        <v>39467.0</v>
      </c>
      <c r="D723" s="48" t="s">
        <v>597</v>
      </c>
      <c r="E723" s="13" t="s">
        <v>422</v>
      </c>
      <c r="F723" s="13">
        <v>13.0</v>
      </c>
      <c r="G723" s="35" t="str">
        <f>IF(C723&gt;40908,"2012",IF(C723&gt;40543,"2011",IF(C723&gt;40178,"2010",IF(C723&gt;=39814,"2009",IF(C723&gt;=39448,"2008",IF(C723&gt;39082,"2007",IF(C723&lt;38717,"Pre-2006","2006")))))))</f>
        <v>2008</v>
      </c>
      <c r="H723" s="13" t="s">
        <v>17</v>
      </c>
      <c r="I723" s="13" t="s">
        <v>26</v>
      </c>
      <c r="J723" s="14">
        <v>2007.0</v>
      </c>
      <c r="K723" s="15">
        <v>0.9</v>
      </c>
      <c r="L723" s="14">
        <v>158.0</v>
      </c>
      <c r="M723" s="16">
        <f t="shared" si="124"/>
        <v>0.5696202532</v>
      </c>
      <c r="N723" s="17"/>
    </row>
    <row r="724">
      <c r="A724" s="9"/>
      <c r="B724" s="38">
        <f t="shared" si="5"/>
        <v>722</v>
      </c>
      <c r="C724" s="34">
        <v>41641.0</v>
      </c>
      <c r="D724" s="48" t="s">
        <v>598</v>
      </c>
      <c r="E724" s="13" t="s">
        <v>422</v>
      </c>
      <c r="F724" s="13">
        <v>13.0</v>
      </c>
      <c r="G724" s="13">
        <v>2014.0</v>
      </c>
      <c r="H724" s="13" t="s">
        <v>25</v>
      </c>
      <c r="I724" s="13" t="s">
        <v>26</v>
      </c>
      <c r="J724" s="55">
        <v>2013.0</v>
      </c>
      <c r="K724" s="56">
        <v>0.66</v>
      </c>
      <c r="L724" s="14">
        <v>112.0</v>
      </c>
      <c r="M724" s="16">
        <f t="shared" si="124"/>
        <v>0.5892857143</v>
      </c>
      <c r="N724" s="17"/>
    </row>
    <row r="725">
      <c r="A725" s="9"/>
      <c r="B725" s="38">
        <f t="shared" si="5"/>
        <v>723</v>
      </c>
      <c r="C725" s="34">
        <v>43443.0</v>
      </c>
      <c r="D725" s="12" t="str">
        <f>hyperlink("https://www.rottentomatoes.com/m/to_all_the_boys_ive_loved_before","To All The Boys I've Loved Before")</f>
        <v>To All The Boys I've Loved Before</v>
      </c>
      <c r="E725" s="33" t="s">
        <v>422</v>
      </c>
      <c r="F725" s="33">
        <v>13.0</v>
      </c>
      <c r="G725" s="36">
        <v>2018.0</v>
      </c>
      <c r="H725" s="33" t="s">
        <v>58</v>
      </c>
      <c r="I725" s="33" t="s">
        <v>77</v>
      </c>
      <c r="J725" s="57">
        <v>2018.0</v>
      </c>
      <c r="K725" s="58">
        <v>0.96</v>
      </c>
      <c r="L725" s="37">
        <v>120.0</v>
      </c>
      <c r="M725" s="16">
        <f t="shared" si="124"/>
        <v>0.8</v>
      </c>
      <c r="N725" s="17"/>
    </row>
    <row r="726">
      <c r="A726" s="9"/>
      <c r="B726" s="38">
        <f t="shared" si="5"/>
        <v>724</v>
      </c>
      <c r="C726" s="70"/>
      <c r="D726" s="48" t="s">
        <v>599</v>
      </c>
      <c r="E726" s="13" t="s">
        <v>422</v>
      </c>
      <c r="F726" s="13">
        <v>13.0</v>
      </c>
      <c r="G726" s="35" t="str">
        <f>IF(C726&gt;40908,"2012",IF(C726&gt;40543,"2011",IF(C726&gt;40178,"2010",IF(C726&gt;=39814,"2009",IF(C726&gt;=39448,"2008",IF(C726&gt;39082,"2007",IF(C726&lt;38717,"Pre-2006","2006")))))))</f>
        <v>Pre-2006</v>
      </c>
      <c r="H726" s="71"/>
      <c r="I726" s="71"/>
      <c r="J726" s="61"/>
      <c r="K726" s="62"/>
      <c r="L726" s="63"/>
      <c r="M726" s="59" t="str">
        <f t="shared" si="124"/>
        <v>NA</v>
      </c>
      <c r="N726" s="17"/>
    </row>
    <row r="727">
      <c r="A727" s="9"/>
      <c r="B727" s="38">
        <f t="shared" si="5"/>
        <v>725</v>
      </c>
      <c r="C727" s="34">
        <v>42571.0</v>
      </c>
      <c r="D727" s="12" t="str">
        <f>hyperlink("https://www.rottentomatoes.com/m/top_spin_2014/?search=top%20spin","Top Spin")</f>
        <v>Top Spin</v>
      </c>
      <c r="E727" s="33" t="s">
        <v>422</v>
      </c>
      <c r="F727" s="33">
        <v>13.0</v>
      </c>
      <c r="G727" s="36">
        <v>2016.0</v>
      </c>
      <c r="H727" s="33" t="s">
        <v>58</v>
      </c>
      <c r="I727" s="33" t="s">
        <v>77</v>
      </c>
      <c r="J727" s="37">
        <v>2015.0</v>
      </c>
      <c r="K727" s="15">
        <v>1.0</v>
      </c>
      <c r="L727" s="37">
        <v>80.0</v>
      </c>
      <c r="M727" s="59">
        <f>K727/L727*100</f>
        <v>1.25</v>
      </c>
      <c r="N727" s="17"/>
    </row>
    <row r="728">
      <c r="A728" s="9"/>
      <c r="B728" s="38">
        <f t="shared" si="5"/>
        <v>726</v>
      </c>
      <c r="C728" s="34">
        <v>39568.0</v>
      </c>
      <c r="D728" s="48" t="s">
        <v>600</v>
      </c>
      <c r="E728" s="13" t="s">
        <v>422</v>
      </c>
      <c r="F728" s="13">
        <v>13.0</v>
      </c>
      <c r="G728" s="35" t="str">
        <f t="shared" ref="G728:G731" si="130">IF(C728&gt;40908,"2012",IF(C728&gt;40543,"2011",IF(C728&gt;40178,"2010",IF(C728&gt;=39814,"2009",IF(C728&gt;=39448,"2008",IF(C728&gt;39082,"2007",IF(C728&lt;38717,"Pre-2006","2006")))))))</f>
        <v>2008</v>
      </c>
      <c r="H728" s="13" t="s">
        <v>17</v>
      </c>
      <c r="I728" s="13" t="s">
        <v>21</v>
      </c>
      <c r="J728" s="14">
        <v>2001.0</v>
      </c>
      <c r="K728" s="15">
        <v>0.72</v>
      </c>
      <c r="L728" s="14">
        <v>122.0</v>
      </c>
      <c r="M728" s="16">
        <f t="shared" ref="M728:M737" si="131">if(iserror(K728/L728*100),"NA",K728/L728*100)</f>
        <v>0.5901639344</v>
      </c>
      <c r="N728" s="17"/>
    </row>
    <row r="729">
      <c r="A729" s="9"/>
      <c r="B729" s="38">
        <f t="shared" si="5"/>
        <v>727</v>
      </c>
      <c r="C729" s="70"/>
      <c r="D729" s="48" t="s">
        <v>601</v>
      </c>
      <c r="E729" s="13" t="s">
        <v>422</v>
      </c>
      <c r="F729" s="13">
        <v>13.0</v>
      </c>
      <c r="G729" s="35" t="str">
        <f t="shared" si="130"/>
        <v>Pre-2006</v>
      </c>
      <c r="H729" s="71"/>
      <c r="I729" s="71"/>
      <c r="J729" s="61"/>
      <c r="K729" s="62"/>
      <c r="L729" s="63"/>
      <c r="M729" s="59" t="str">
        <f t="shared" si="131"/>
        <v>NA</v>
      </c>
      <c r="N729" s="17"/>
    </row>
    <row r="730">
      <c r="A730" s="9"/>
      <c r="B730" s="38">
        <f t="shared" si="5"/>
        <v>728</v>
      </c>
      <c r="C730" s="70"/>
      <c r="D730" s="48" t="s">
        <v>602</v>
      </c>
      <c r="E730" s="13" t="s">
        <v>422</v>
      </c>
      <c r="F730" s="13">
        <v>13.0</v>
      </c>
      <c r="G730" s="35" t="str">
        <f t="shared" si="130"/>
        <v>Pre-2006</v>
      </c>
      <c r="H730" s="71"/>
      <c r="I730" s="71"/>
      <c r="J730" s="61"/>
      <c r="K730" s="62"/>
      <c r="L730" s="63"/>
      <c r="M730" s="59" t="str">
        <f t="shared" si="131"/>
        <v>NA</v>
      </c>
      <c r="N730" s="17"/>
    </row>
    <row r="731">
      <c r="A731" s="9"/>
      <c r="B731" s="38">
        <f t="shared" si="5"/>
        <v>729</v>
      </c>
      <c r="C731" s="70"/>
      <c r="D731" s="48" t="s">
        <v>603</v>
      </c>
      <c r="E731" s="13" t="s">
        <v>422</v>
      </c>
      <c r="F731" s="13">
        <v>13.0</v>
      </c>
      <c r="G731" s="35" t="str">
        <f t="shared" si="130"/>
        <v>Pre-2006</v>
      </c>
      <c r="H731" s="71"/>
      <c r="I731" s="71"/>
      <c r="J731" s="61"/>
      <c r="K731" s="62"/>
      <c r="L731" s="63"/>
      <c r="M731" s="59" t="str">
        <f t="shared" si="131"/>
        <v>NA</v>
      </c>
      <c r="N731" s="17"/>
    </row>
    <row r="732">
      <c r="A732" s="9"/>
      <c r="B732" s="38">
        <f t="shared" si="5"/>
        <v>730</v>
      </c>
      <c r="C732" s="34">
        <v>43317.0</v>
      </c>
      <c r="D732" s="12" t="str">
        <f>hyperlink("https://www.rottentomatoes.com/m/tully_2018","Tully")</f>
        <v>Tully</v>
      </c>
      <c r="E732" s="33" t="s">
        <v>422</v>
      </c>
      <c r="F732" s="33">
        <v>13.0</v>
      </c>
      <c r="G732" s="36">
        <v>2018.0</v>
      </c>
      <c r="H732" s="33" t="s">
        <v>58</v>
      </c>
      <c r="I732" s="13" t="s">
        <v>47</v>
      </c>
      <c r="J732" s="57">
        <v>2018.0</v>
      </c>
      <c r="K732" s="58">
        <v>0.85</v>
      </c>
      <c r="L732" s="37">
        <v>94.0</v>
      </c>
      <c r="M732" s="59">
        <f t="shared" si="131"/>
        <v>0.9042553191</v>
      </c>
      <c r="N732" s="17"/>
    </row>
    <row r="733">
      <c r="A733" s="9"/>
      <c r="B733" s="38">
        <f t="shared" si="5"/>
        <v>731</v>
      </c>
      <c r="C733" s="34">
        <v>44668.0</v>
      </c>
      <c r="D733" s="12" t="str">
        <f>hyperlink("https://www.rottentomatoes.com/m/turning_red","Turning Red")</f>
        <v>Turning Red</v>
      </c>
      <c r="E733" s="33" t="s">
        <v>422</v>
      </c>
      <c r="F733" s="33">
        <v>13.0</v>
      </c>
      <c r="G733" s="36">
        <v>2022.0</v>
      </c>
      <c r="H733" s="33" t="s">
        <v>58</v>
      </c>
      <c r="I733" s="33" t="s">
        <v>230</v>
      </c>
      <c r="J733" s="57">
        <v>2022.0</v>
      </c>
      <c r="K733" s="58">
        <v>0.94</v>
      </c>
      <c r="L733" s="37">
        <v>100.0</v>
      </c>
      <c r="M733" s="59">
        <f t="shared" si="131"/>
        <v>0.94</v>
      </c>
      <c r="N733" s="17"/>
    </row>
    <row r="734">
      <c r="A734" s="9"/>
      <c r="B734" s="38">
        <f t="shared" si="5"/>
        <v>732</v>
      </c>
      <c r="C734" s="70"/>
      <c r="D734" s="48" t="s">
        <v>604</v>
      </c>
      <c r="E734" s="13" t="s">
        <v>422</v>
      </c>
      <c r="F734" s="13">
        <v>13.0</v>
      </c>
      <c r="G734" s="35" t="str">
        <f>IF(C734&gt;40908,"2012",IF(C734&gt;40543,"2011",IF(C734&gt;40178,"2010",IF(C734&gt;=39814,"2009",IF(C734&gt;=39448,"2008",IF(C734&gt;39082,"2007",IF(C734&lt;38717,"Pre-2006","2006")))))))</f>
        <v>Pre-2006</v>
      </c>
      <c r="H734" s="71"/>
      <c r="I734" s="71"/>
      <c r="J734" s="61"/>
      <c r="K734" s="62"/>
      <c r="L734" s="63"/>
      <c r="M734" s="59" t="str">
        <f t="shared" si="131"/>
        <v>NA</v>
      </c>
      <c r="N734" s="17"/>
    </row>
    <row r="735">
      <c r="A735" s="9"/>
      <c r="B735" s="38">
        <f t="shared" si="5"/>
        <v>733</v>
      </c>
      <c r="C735" s="34">
        <v>45500.0</v>
      </c>
      <c r="D735" s="12" t="str">
        <f>hyperlink("https://www.rottentomatoes.com/m/twisters","Twisters")</f>
        <v>Twisters</v>
      </c>
      <c r="E735" s="33" t="s">
        <v>422</v>
      </c>
      <c r="F735" s="33">
        <v>13.0</v>
      </c>
      <c r="G735" s="36">
        <v>2024.0</v>
      </c>
      <c r="H735" s="33" t="s">
        <v>27</v>
      </c>
      <c r="I735" s="33" t="s">
        <v>26</v>
      </c>
      <c r="J735" s="37">
        <v>2024.0</v>
      </c>
      <c r="K735" s="15">
        <v>0.76</v>
      </c>
      <c r="L735" s="37">
        <v>122.0</v>
      </c>
      <c r="M735" s="59">
        <f t="shared" si="131"/>
        <v>0.6229508197</v>
      </c>
      <c r="N735" s="17"/>
    </row>
    <row r="736">
      <c r="A736" s="9"/>
      <c r="B736" s="38">
        <f t="shared" si="5"/>
        <v>734</v>
      </c>
      <c r="C736" s="34">
        <v>40118.0</v>
      </c>
      <c r="D736" s="48" t="s">
        <v>605</v>
      </c>
      <c r="E736" s="13" t="s">
        <v>422</v>
      </c>
      <c r="F736" s="13">
        <v>13.0</v>
      </c>
      <c r="G736" s="35" t="str">
        <f t="shared" ref="G736:G737" si="132">IF(C736&gt;40908,"2012",IF(C736&gt;40543,"2011",IF(C736&gt;40178,"2010",IF(C736&gt;=39814,"2009",IF(C736&gt;=39448,"2008",IF(C736&gt;39082,"2007",IF(C736&lt;38717,"Pre-2006","2006")))))))</f>
        <v>2009</v>
      </c>
      <c r="H736" s="13" t="s">
        <v>27</v>
      </c>
      <c r="I736" s="13" t="s">
        <v>47</v>
      </c>
      <c r="J736" s="14">
        <v>2009.0</v>
      </c>
      <c r="K736" s="15">
        <v>0.86</v>
      </c>
      <c r="L736" s="14">
        <v>90.0</v>
      </c>
      <c r="M736" s="16">
        <f t="shared" si="131"/>
        <v>0.9555555556</v>
      </c>
      <c r="N736" s="17"/>
    </row>
    <row r="737">
      <c r="A737" s="9"/>
      <c r="B737" s="38">
        <f t="shared" si="5"/>
        <v>735</v>
      </c>
      <c r="C737" s="70"/>
      <c r="D737" s="48" t="s">
        <v>606</v>
      </c>
      <c r="E737" s="13" t="s">
        <v>422</v>
      </c>
      <c r="F737" s="13">
        <v>13.0</v>
      </c>
      <c r="G737" s="35" t="str">
        <f t="shared" si="132"/>
        <v>Pre-2006</v>
      </c>
      <c r="H737" s="71"/>
      <c r="I737" s="71"/>
      <c r="J737" s="61"/>
      <c r="K737" s="62"/>
      <c r="L737" s="63"/>
      <c r="M737" s="59" t="str">
        <f t="shared" si="131"/>
        <v>NA</v>
      </c>
      <c r="N737" s="17"/>
    </row>
    <row r="738">
      <c r="A738" s="9"/>
      <c r="B738" s="38">
        <f t="shared" si="5"/>
        <v>736</v>
      </c>
      <c r="C738" s="60">
        <v>42509.0</v>
      </c>
      <c r="D738" s="74" t="str">
        <f>hyperlink("http://www.rottentomatoes.com/m/valley_uprising/?search=valley%20uprising","Valley Uprising")</f>
        <v>Valley Uprising</v>
      </c>
      <c r="E738" s="33" t="s">
        <v>422</v>
      </c>
      <c r="F738" s="33">
        <v>13.0</v>
      </c>
      <c r="G738" s="36">
        <v>2016.0</v>
      </c>
      <c r="H738" s="33" t="s">
        <v>58</v>
      </c>
      <c r="I738" s="13" t="s">
        <v>47</v>
      </c>
      <c r="J738" s="57">
        <v>2014.0</v>
      </c>
      <c r="K738" s="82" t="s">
        <v>169</v>
      </c>
      <c r="L738" s="37">
        <v>99.0</v>
      </c>
      <c r="M738" s="72" t="s">
        <v>169</v>
      </c>
      <c r="N738" s="17"/>
    </row>
    <row r="739">
      <c r="A739" s="9"/>
      <c r="B739" s="38">
        <f t="shared" si="5"/>
        <v>737</v>
      </c>
      <c r="C739" s="70"/>
      <c r="D739" s="48" t="s">
        <v>607</v>
      </c>
      <c r="E739" s="13" t="s">
        <v>422</v>
      </c>
      <c r="F739" s="13">
        <v>13.0</v>
      </c>
      <c r="G739" s="35" t="str">
        <f t="shared" ref="G739:G741" si="133">IF(C739&gt;40908,"2012",IF(C739&gt;40543,"2011",IF(C739&gt;40178,"2010",IF(C739&gt;=39814,"2009",IF(C739&gt;=39448,"2008",IF(C739&gt;39082,"2007",IF(C739&lt;38717,"Pre-2006","2006")))))))</f>
        <v>Pre-2006</v>
      </c>
      <c r="H739" s="71"/>
      <c r="I739" s="71"/>
      <c r="J739" s="61"/>
      <c r="K739" s="62"/>
      <c r="L739" s="63"/>
      <c r="M739" s="59" t="str">
        <f t="shared" ref="M739:M745" si="134">if(iserror(K739/L739*100),"NA",K739/L739*100)</f>
        <v>NA</v>
      </c>
      <c r="N739" s="17"/>
    </row>
    <row r="740">
      <c r="A740" s="9"/>
      <c r="B740" s="38">
        <f t="shared" si="5"/>
        <v>738</v>
      </c>
      <c r="C740" s="70"/>
      <c r="D740" s="48" t="s">
        <v>608</v>
      </c>
      <c r="E740" s="13" t="s">
        <v>422</v>
      </c>
      <c r="F740" s="13">
        <v>13.0</v>
      </c>
      <c r="G740" s="35" t="str">
        <f t="shared" si="133"/>
        <v>Pre-2006</v>
      </c>
      <c r="H740" s="71"/>
      <c r="I740" s="71"/>
      <c r="J740" s="61"/>
      <c r="K740" s="62"/>
      <c r="L740" s="63"/>
      <c r="M740" s="59" t="str">
        <f t="shared" si="134"/>
        <v>NA</v>
      </c>
      <c r="N740" s="17"/>
    </row>
    <row r="741">
      <c r="A741" s="9"/>
      <c r="B741" s="38">
        <f t="shared" si="5"/>
        <v>739</v>
      </c>
      <c r="C741" s="70"/>
      <c r="D741" s="48" t="s">
        <v>609</v>
      </c>
      <c r="E741" s="13" t="s">
        <v>422</v>
      </c>
      <c r="F741" s="13">
        <v>13.0</v>
      </c>
      <c r="G741" s="35" t="str">
        <f t="shared" si="133"/>
        <v>Pre-2006</v>
      </c>
      <c r="H741" s="71"/>
      <c r="I741" s="71"/>
      <c r="J741" s="61"/>
      <c r="K741" s="62"/>
      <c r="L741" s="63"/>
      <c r="M741" s="59" t="str">
        <f t="shared" si="134"/>
        <v>NA</v>
      </c>
      <c r="N741" s="17"/>
    </row>
    <row r="742">
      <c r="A742" s="9"/>
      <c r="B742" s="38">
        <f t="shared" si="5"/>
        <v>740</v>
      </c>
      <c r="C742" s="34">
        <v>44667.0</v>
      </c>
      <c r="D742" s="12" t="str">
        <f>hyperlink("https://www.rottentomatoes.com/m/1212910-warrior","Warrior")</f>
        <v>Warrior</v>
      </c>
      <c r="E742" s="33" t="s">
        <v>422</v>
      </c>
      <c r="F742" s="33">
        <v>13.0</v>
      </c>
      <c r="G742" s="36">
        <v>2022.0</v>
      </c>
      <c r="H742" s="33" t="s">
        <v>58</v>
      </c>
      <c r="I742" s="33" t="s">
        <v>77</v>
      </c>
      <c r="J742" s="57">
        <v>2011.0</v>
      </c>
      <c r="K742" s="58">
        <v>0.84</v>
      </c>
      <c r="L742" s="37">
        <v>139.0</v>
      </c>
      <c r="M742" s="59">
        <f t="shared" si="134"/>
        <v>0.6043165468</v>
      </c>
      <c r="N742" s="17"/>
    </row>
    <row r="743">
      <c r="A743" s="9"/>
      <c r="B743" s="38">
        <f t="shared" si="5"/>
        <v>741</v>
      </c>
      <c r="C743" s="34">
        <v>45117.0</v>
      </c>
      <c r="D743" s="12" t="str">
        <f>hyperlink("https://www.rottentomatoes.com/m/war_room","War Room, The")</f>
        <v>War Room, The</v>
      </c>
      <c r="E743" s="33" t="s">
        <v>422</v>
      </c>
      <c r="F743" s="33">
        <v>13.0</v>
      </c>
      <c r="G743" s="36">
        <v>2023.0</v>
      </c>
      <c r="H743" s="33" t="s">
        <v>58</v>
      </c>
      <c r="I743" s="33" t="s">
        <v>471</v>
      </c>
      <c r="J743" s="57">
        <v>1993.0</v>
      </c>
      <c r="K743" s="58">
        <v>0.96</v>
      </c>
      <c r="L743" s="37">
        <v>94.0</v>
      </c>
      <c r="M743" s="59">
        <f t="shared" si="134"/>
        <v>1.021276596</v>
      </c>
      <c r="N743" s="17"/>
    </row>
    <row r="744">
      <c r="A744" s="9"/>
      <c r="B744" s="38">
        <f t="shared" si="5"/>
        <v>742</v>
      </c>
      <c r="C744" s="34">
        <v>43278.0</v>
      </c>
      <c r="D744" s="12" t="str">
        <f>hyperlink("https://www.rottentomatoes.com/m/wont_you_be_my_neighbor","Won't You Be My Neighbor?")</f>
        <v>Won't You Be My Neighbor?</v>
      </c>
      <c r="E744" s="33" t="s">
        <v>422</v>
      </c>
      <c r="F744" s="33">
        <v>13.0</v>
      </c>
      <c r="G744" s="36">
        <v>2018.0</v>
      </c>
      <c r="H744" s="33" t="s">
        <v>20</v>
      </c>
      <c r="I744" s="33" t="s">
        <v>26</v>
      </c>
      <c r="J744" s="57">
        <v>2018.0</v>
      </c>
      <c r="K744" s="58">
        <v>0.99</v>
      </c>
      <c r="L744" s="37">
        <v>94.0</v>
      </c>
      <c r="M744" s="59">
        <f t="shared" si="134"/>
        <v>1.053191489</v>
      </c>
      <c r="N744" s="17"/>
    </row>
    <row r="745">
      <c r="A745" s="9"/>
      <c r="B745" s="38">
        <f t="shared" si="5"/>
        <v>743</v>
      </c>
      <c r="C745" s="34">
        <v>40907.0</v>
      </c>
      <c r="D745" s="48" t="s">
        <v>610</v>
      </c>
      <c r="E745" s="13" t="s">
        <v>422</v>
      </c>
      <c r="F745" s="13">
        <v>13.0</v>
      </c>
      <c r="G745" s="35" t="str">
        <f>IF(C745&gt;40908,"2012",IF(C745&gt;40543,"2011",IF(C745&gt;40178,"2010",IF(C745&gt;=39814,"2009",IF(C745&gt;=39448,"2008",IF(C745&gt;39082,"2007",IF(C745&lt;38717,"Pre-2006","2006")))))))</f>
        <v>2011</v>
      </c>
      <c r="H745" s="13" t="s">
        <v>29</v>
      </c>
      <c r="I745" s="13" t="s">
        <v>26</v>
      </c>
      <c r="J745" s="14">
        <v>2011.0</v>
      </c>
      <c r="K745" s="15">
        <v>0.79</v>
      </c>
      <c r="L745" s="14">
        <v>93.0</v>
      </c>
      <c r="M745" s="16">
        <f t="shared" si="134"/>
        <v>0.8494623656</v>
      </c>
      <c r="N745" s="17"/>
    </row>
    <row r="746">
      <c r="A746" s="9"/>
      <c r="B746" s="38">
        <f t="shared" si="5"/>
        <v>744</v>
      </c>
      <c r="C746" s="60">
        <v>42526.0</v>
      </c>
      <c r="D746" s="12" t="str">
        <f>hyperlink("https://www.rottentomatoes.com/m/zero_dark_thirty/?search=zero%20dark","Zero Dark Thirty")</f>
        <v>Zero Dark Thirty</v>
      </c>
      <c r="E746" s="33" t="s">
        <v>422</v>
      </c>
      <c r="F746" s="33">
        <v>13.0</v>
      </c>
      <c r="G746" s="36">
        <v>2016.0</v>
      </c>
      <c r="H746" s="33" t="s">
        <v>58</v>
      </c>
      <c r="I746" s="33" t="s">
        <v>47</v>
      </c>
      <c r="J746" s="57">
        <v>2013.0</v>
      </c>
      <c r="K746" s="58">
        <v>0.92</v>
      </c>
      <c r="L746" s="37">
        <v>157.0</v>
      </c>
      <c r="M746" s="16">
        <f>K746/L746*100</f>
        <v>0.5859872611</v>
      </c>
      <c r="N746" s="17"/>
    </row>
    <row r="747">
      <c r="A747" s="9"/>
      <c r="B747" s="38">
        <f t="shared" si="5"/>
        <v>745</v>
      </c>
      <c r="C747" s="70"/>
      <c r="D747" s="48" t="s">
        <v>611</v>
      </c>
      <c r="E747" s="13" t="s">
        <v>422</v>
      </c>
      <c r="F747" s="13">
        <v>13.0</v>
      </c>
      <c r="G747" s="35" t="str">
        <f t="shared" ref="G747:G750" si="135">IF(C747&gt;40908,"2012",IF(C747&gt;40543,"2011",IF(C747&gt;40178,"2010",IF(C747&gt;=39814,"2009",IF(C747&gt;=39448,"2008",IF(C747&gt;39082,"2007",IF(C747&lt;38717,"Pre-2006","2006")))))))</f>
        <v>Pre-2006</v>
      </c>
      <c r="H747" s="71"/>
      <c r="I747" s="71"/>
      <c r="J747" s="61"/>
      <c r="K747" s="62"/>
      <c r="L747" s="63"/>
      <c r="M747" s="59" t="str">
        <f t="shared" ref="M747:M750" si="136">if(iserror(K747/L747*100),"NA",K747/L747*100)</f>
        <v>NA</v>
      </c>
      <c r="N747" s="17"/>
    </row>
    <row r="748">
      <c r="A748" s="9"/>
      <c r="B748" s="40">
        <f t="shared" si="5"/>
        <v>746</v>
      </c>
      <c r="C748" s="65"/>
      <c r="D748" s="42" t="s">
        <v>612</v>
      </c>
      <c r="E748" s="43" t="s">
        <v>613</v>
      </c>
      <c r="F748" s="43">
        <v>12.0</v>
      </c>
      <c r="G748" s="44" t="str">
        <f t="shared" si="135"/>
        <v>Pre-2006</v>
      </c>
      <c r="H748" s="66"/>
      <c r="I748" s="66"/>
      <c r="J748" s="91"/>
      <c r="K748" s="92"/>
      <c r="L748" s="67"/>
      <c r="M748" s="69" t="str">
        <f t="shared" si="136"/>
        <v>NA</v>
      </c>
      <c r="N748" s="17"/>
    </row>
    <row r="749">
      <c r="A749" s="9"/>
      <c r="B749" s="38">
        <f t="shared" si="5"/>
        <v>747</v>
      </c>
      <c r="C749" s="34">
        <v>39653.0</v>
      </c>
      <c r="D749" s="48" t="s">
        <v>614</v>
      </c>
      <c r="E749" s="13" t="s">
        <v>613</v>
      </c>
      <c r="F749" s="13">
        <v>12.0</v>
      </c>
      <c r="G749" s="35" t="str">
        <f t="shared" si="135"/>
        <v>2008</v>
      </c>
      <c r="H749" s="13" t="s">
        <v>155</v>
      </c>
      <c r="I749" s="13" t="s">
        <v>21</v>
      </c>
      <c r="J749" s="14">
        <v>2007.0</v>
      </c>
      <c r="K749" s="15">
        <v>0.89</v>
      </c>
      <c r="L749" s="14">
        <v>122.0</v>
      </c>
      <c r="M749" s="16">
        <f t="shared" si="136"/>
        <v>0.7295081967</v>
      </c>
      <c r="N749" s="17"/>
    </row>
    <row r="750">
      <c r="A750" s="9"/>
      <c r="B750" s="38">
        <f t="shared" si="5"/>
        <v>748</v>
      </c>
      <c r="C750" s="70"/>
      <c r="D750" s="48" t="s">
        <v>615</v>
      </c>
      <c r="E750" s="13" t="s">
        <v>613</v>
      </c>
      <c r="F750" s="13">
        <v>12.0</v>
      </c>
      <c r="G750" s="35" t="str">
        <f t="shared" si="135"/>
        <v>Pre-2006</v>
      </c>
      <c r="H750" s="71"/>
      <c r="I750" s="71"/>
      <c r="J750" s="61"/>
      <c r="K750" s="62"/>
      <c r="L750" s="63"/>
      <c r="M750" s="59" t="str">
        <f t="shared" si="136"/>
        <v>NA</v>
      </c>
      <c r="N750" s="17"/>
    </row>
    <row r="751">
      <c r="A751" s="9"/>
      <c r="B751" s="38">
        <f t="shared" si="5"/>
        <v>749</v>
      </c>
      <c r="C751" s="34">
        <v>44861.0</v>
      </c>
      <c r="D751" s="12" t="str">
        <f>hyperlink("https://www.rottentomatoes.com/m/about_last_night","About Last Night")</f>
        <v>About Last Night</v>
      </c>
      <c r="E751" s="33" t="s">
        <v>613</v>
      </c>
      <c r="F751" s="33">
        <v>12.0</v>
      </c>
      <c r="G751" s="36">
        <v>2022.0</v>
      </c>
      <c r="H751" s="33" t="s">
        <v>58</v>
      </c>
      <c r="I751" s="33" t="s">
        <v>47</v>
      </c>
      <c r="J751" s="57">
        <v>2022.0</v>
      </c>
      <c r="K751" s="58">
        <v>0.61</v>
      </c>
      <c r="L751" s="37">
        <v>113.0</v>
      </c>
      <c r="M751" s="59">
        <f t="shared" ref="M751:M752" si="137">K751/L751*100</f>
        <v>0.5398230088</v>
      </c>
      <c r="N751" s="17"/>
    </row>
    <row r="752">
      <c r="A752" s="9"/>
      <c r="B752" s="38">
        <f t="shared" si="5"/>
        <v>750</v>
      </c>
      <c r="C752" s="34">
        <v>42663.0</v>
      </c>
      <c r="D752" s="12" t="str">
        <f>hyperlink("https://www.rottentomatoes.com/m/the_accountant_2016","Accountant, The")</f>
        <v>Accountant, The</v>
      </c>
      <c r="E752" s="33" t="s">
        <v>613</v>
      </c>
      <c r="F752" s="33">
        <v>12.0</v>
      </c>
      <c r="G752" s="36">
        <v>2016.0</v>
      </c>
      <c r="H752" s="33" t="s">
        <v>143</v>
      </c>
      <c r="I752" s="33" t="s">
        <v>26</v>
      </c>
      <c r="J752" s="57">
        <v>2016.0</v>
      </c>
      <c r="K752" s="58">
        <v>0.51</v>
      </c>
      <c r="L752" s="37">
        <v>128.0</v>
      </c>
      <c r="M752" s="59">
        <f t="shared" si="137"/>
        <v>0.3984375</v>
      </c>
      <c r="N752" s="17"/>
    </row>
    <row r="753">
      <c r="A753" s="9"/>
      <c r="B753" s="38">
        <f t="shared" si="5"/>
        <v>751</v>
      </c>
      <c r="C753" s="70"/>
      <c r="D753" s="48" t="s">
        <v>616</v>
      </c>
      <c r="E753" s="13" t="s">
        <v>613</v>
      </c>
      <c r="F753" s="13">
        <v>12.0</v>
      </c>
      <c r="G753" s="35" t="str">
        <f t="shared" ref="G753:G754" si="138">IF(C753&gt;40908,"2012",IF(C753&gt;40543,"2011",IF(C753&gt;40178,"2010",IF(C753&gt;=39814,"2009",IF(C753&gt;=39448,"2008",IF(C753&gt;39082,"2007",IF(C753&lt;38717,"Pre-2006","2006")))))))</f>
        <v>Pre-2006</v>
      </c>
      <c r="H753" s="71"/>
      <c r="I753" s="71"/>
      <c r="J753" s="61"/>
      <c r="K753" s="62"/>
      <c r="L753" s="63"/>
      <c r="M753" s="59" t="str">
        <f t="shared" ref="M753:M754" si="139">if(iserror(K753/L753*100),"NA",K753/L753*100)</f>
        <v>NA</v>
      </c>
      <c r="N753" s="17"/>
    </row>
    <row r="754">
      <c r="A754" s="9"/>
      <c r="B754" s="38">
        <f t="shared" si="5"/>
        <v>752</v>
      </c>
      <c r="C754" s="70"/>
      <c r="D754" s="48" t="s">
        <v>617</v>
      </c>
      <c r="E754" s="13" t="s">
        <v>613</v>
      </c>
      <c r="F754" s="13">
        <v>12.0</v>
      </c>
      <c r="G754" s="35" t="str">
        <f t="shared" si="138"/>
        <v>Pre-2006</v>
      </c>
      <c r="H754" s="71"/>
      <c r="I754" s="71"/>
      <c r="J754" s="61"/>
      <c r="K754" s="62"/>
      <c r="L754" s="63"/>
      <c r="M754" s="59" t="str">
        <f t="shared" si="139"/>
        <v>NA</v>
      </c>
      <c r="N754" s="17"/>
    </row>
    <row r="755">
      <c r="A755" s="9"/>
      <c r="B755" s="38">
        <f t="shared" si="5"/>
        <v>753</v>
      </c>
      <c r="C755" s="34">
        <v>44911.0</v>
      </c>
      <c r="D755" s="12" t="str">
        <f>hyperlink("https://www.rottentomatoes.com/m/alien","Alien")</f>
        <v>Alien</v>
      </c>
      <c r="E755" s="33" t="s">
        <v>613</v>
      </c>
      <c r="F755" s="33">
        <v>12.0</v>
      </c>
      <c r="G755" s="36">
        <v>2022.0</v>
      </c>
      <c r="H755" s="33" t="s">
        <v>25</v>
      </c>
      <c r="I755" s="33" t="s">
        <v>47</v>
      </c>
      <c r="J755" s="57">
        <v>1979.0</v>
      </c>
      <c r="K755" s="58">
        <v>0.98</v>
      </c>
      <c r="L755" s="37">
        <v>117.0</v>
      </c>
      <c r="M755" s="59">
        <f>K755/L755*100</f>
        <v>0.8376068376</v>
      </c>
      <c r="N755" s="17"/>
    </row>
    <row r="756">
      <c r="A756" s="9"/>
      <c r="B756" s="38">
        <f t="shared" si="5"/>
        <v>754</v>
      </c>
      <c r="C756" s="70"/>
      <c r="D756" s="48" t="s">
        <v>618</v>
      </c>
      <c r="E756" s="13" t="s">
        <v>613</v>
      </c>
      <c r="F756" s="13">
        <v>12.0</v>
      </c>
      <c r="G756" s="35" t="str">
        <f>IF(C756&gt;40908,"2012",IF(C756&gt;40543,"2011",IF(C756&gt;40178,"2010",IF(C756&gt;=39814,"2009",IF(C756&gt;=39448,"2008",IF(C756&gt;39082,"2007",IF(C756&lt;38717,"Pre-2006","2006")))))))</f>
        <v>Pre-2006</v>
      </c>
      <c r="H756" s="71"/>
      <c r="I756" s="71"/>
      <c r="J756" s="61"/>
      <c r="K756" s="62"/>
      <c r="L756" s="63"/>
      <c r="M756" s="59" t="str">
        <f>if(iserror(K756/L756*100),"NA",K756/L756*100)</f>
        <v>NA</v>
      </c>
      <c r="N756" s="17"/>
    </row>
    <row r="757">
      <c r="A757" s="9"/>
      <c r="B757" s="38">
        <f t="shared" si="5"/>
        <v>755</v>
      </c>
      <c r="C757" s="34">
        <v>42655.0</v>
      </c>
      <c r="D757" s="12" t="str">
        <f>hyperlink("https://www.rottentomatoes.com/m/amanda_knox","Amanda Knox")</f>
        <v>Amanda Knox</v>
      </c>
      <c r="E757" s="33" t="s">
        <v>613</v>
      </c>
      <c r="F757" s="33">
        <v>12.0</v>
      </c>
      <c r="G757" s="33">
        <v>2016.0</v>
      </c>
      <c r="H757" s="33" t="s">
        <v>58</v>
      </c>
      <c r="I757" s="33" t="s">
        <v>77</v>
      </c>
      <c r="J757" s="57">
        <v>2016.0</v>
      </c>
      <c r="K757" s="56">
        <v>0.88</v>
      </c>
      <c r="L757" s="37">
        <v>92.0</v>
      </c>
      <c r="M757" s="59">
        <f>K757/L757*100</f>
        <v>0.9565217391</v>
      </c>
      <c r="N757" s="17"/>
    </row>
    <row r="758">
      <c r="A758" s="9"/>
      <c r="B758" s="38">
        <f t="shared" si="5"/>
        <v>756</v>
      </c>
      <c r="C758" s="34">
        <v>41101.0</v>
      </c>
      <c r="D758" s="48" t="s">
        <v>619</v>
      </c>
      <c r="E758" s="13" t="s">
        <v>613</v>
      </c>
      <c r="F758" s="13">
        <v>12.0</v>
      </c>
      <c r="G758" s="13">
        <v>2012.0</v>
      </c>
      <c r="H758" s="13" t="s">
        <v>143</v>
      </c>
      <c r="I758" s="13" t="s">
        <v>26</v>
      </c>
      <c r="J758" s="55">
        <v>2012.0</v>
      </c>
      <c r="K758" s="56">
        <v>0.73</v>
      </c>
      <c r="L758" s="14">
        <v>137.0</v>
      </c>
      <c r="M758" s="16">
        <f t="shared" ref="M758:M794" si="140">if(iserror(K758/L758*100),"NA",K758/L758*100)</f>
        <v>0.5328467153</v>
      </c>
      <c r="N758" s="17"/>
    </row>
    <row r="759">
      <c r="A759" s="9"/>
      <c r="B759" s="38">
        <f t="shared" si="5"/>
        <v>757</v>
      </c>
      <c r="C759" s="70"/>
      <c r="D759" s="48" t="s">
        <v>620</v>
      </c>
      <c r="E759" s="13" t="s">
        <v>613</v>
      </c>
      <c r="F759" s="13">
        <v>12.0</v>
      </c>
      <c r="G759" s="35" t="str">
        <f t="shared" ref="G759:G763" si="141">IF(C759&gt;40908,"2012",IF(C759&gt;40543,"2011",IF(C759&gt;40178,"2010",IF(C759&gt;=39814,"2009",IF(C759&gt;=39448,"2008",IF(C759&gt;39082,"2007",IF(C759&lt;38717,"Pre-2006","2006")))))))</f>
        <v>Pre-2006</v>
      </c>
      <c r="H759" s="71"/>
      <c r="I759" s="71"/>
      <c r="J759" s="61"/>
      <c r="K759" s="62"/>
      <c r="L759" s="63"/>
      <c r="M759" s="59" t="str">
        <f t="shared" si="140"/>
        <v>NA</v>
      </c>
      <c r="N759" s="17"/>
    </row>
    <row r="760">
      <c r="A760" s="9"/>
      <c r="B760" s="38">
        <f t="shared" si="5"/>
        <v>758</v>
      </c>
      <c r="C760" s="70"/>
      <c r="D760" s="48" t="s">
        <v>621</v>
      </c>
      <c r="E760" s="13" t="s">
        <v>613</v>
      </c>
      <c r="F760" s="13">
        <v>12.0</v>
      </c>
      <c r="G760" s="35" t="str">
        <f t="shared" si="141"/>
        <v>Pre-2006</v>
      </c>
      <c r="H760" s="71"/>
      <c r="I760" s="71"/>
      <c r="J760" s="61"/>
      <c r="K760" s="62"/>
      <c r="L760" s="63"/>
      <c r="M760" s="59" t="str">
        <f t="shared" si="140"/>
        <v>NA</v>
      </c>
      <c r="N760" s="17"/>
    </row>
    <row r="761">
      <c r="A761" s="9"/>
      <c r="B761" s="38">
        <f t="shared" si="5"/>
        <v>759</v>
      </c>
      <c r="C761" s="70"/>
      <c r="D761" s="48" t="s">
        <v>622</v>
      </c>
      <c r="E761" s="13" t="s">
        <v>613</v>
      </c>
      <c r="F761" s="13">
        <v>12.0</v>
      </c>
      <c r="G761" s="35" t="str">
        <f t="shared" si="141"/>
        <v>Pre-2006</v>
      </c>
      <c r="H761" s="71"/>
      <c r="I761" s="71"/>
      <c r="J761" s="61"/>
      <c r="K761" s="62"/>
      <c r="L761" s="63"/>
      <c r="M761" s="59" t="str">
        <f t="shared" si="140"/>
        <v>NA</v>
      </c>
      <c r="N761" s="17"/>
    </row>
    <row r="762">
      <c r="A762" s="9"/>
      <c r="B762" s="38">
        <f t="shared" si="5"/>
        <v>760</v>
      </c>
      <c r="C762" s="70"/>
      <c r="D762" s="48" t="s">
        <v>623</v>
      </c>
      <c r="E762" s="13" t="s">
        <v>613</v>
      </c>
      <c r="F762" s="13">
        <v>12.0</v>
      </c>
      <c r="G762" s="35" t="str">
        <f t="shared" si="141"/>
        <v>Pre-2006</v>
      </c>
      <c r="H762" s="71"/>
      <c r="I762" s="71"/>
      <c r="J762" s="61"/>
      <c r="K762" s="62"/>
      <c r="L762" s="63"/>
      <c r="M762" s="59" t="str">
        <f t="shared" si="140"/>
        <v>NA</v>
      </c>
      <c r="N762" s="17"/>
    </row>
    <row r="763">
      <c r="A763" s="9"/>
      <c r="B763" s="38">
        <f t="shared" si="5"/>
        <v>761</v>
      </c>
      <c r="C763" s="70"/>
      <c r="D763" s="48" t="s">
        <v>624</v>
      </c>
      <c r="E763" s="13" t="s">
        <v>613</v>
      </c>
      <c r="F763" s="13">
        <v>12.0</v>
      </c>
      <c r="G763" s="35" t="str">
        <f t="shared" si="141"/>
        <v>Pre-2006</v>
      </c>
      <c r="H763" s="71"/>
      <c r="I763" s="71"/>
      <c r="J763" s="61"/>
      <c r="K763" s="62"/>
      <c r="L763" s="63"/>
      <c r="M763" s="59" t="str">
        <f t="shared" si="140"/>
        <v>NA</v>
      </c>
      <c r="N763" s="17"/>
    </row>
    <row r="764">
      <c r="A764" s="9"/>
      <c r="B764" s="38">
        <f t="shared" si="5"/>
        <v>762</v>
      </c>
      <c r="C764" s="34">
        <v>45359.0</v>
      </c>
      <c r="D764" s="12" t="str">
        <f>hyperlink("https://www.rottentomatoes.com/m/anyone_but_you_2023","Anyone But You")</f>
        <v>Anyone But You</v>
      </c>
      <c r="E764" s="33" t="s">
        <v>613</v>
      </c>
      <c r="F764" s="33">
        <v>12.0</v>
      </c>
      <c r="G764" s="36">
        <v>2024.0</v>
      </c>
      <c r="H764" s="33" t="s">
        <v>58</v>
      </c>
      <c r="I764" s="33" t="s">
        <v>77</v>
      </c>
      <c r="J764" s="57">
        <v>2024.0</v>
      </c>
      <c r="K764" s="58">
        <v>0.52</v>
      </c>
      <c r="L764" s="37">
        <v>103.0</v>
      </c>
      <c r="M764" s="59">
        <f t="shared" si="140"/>
        <v>0.5048543689</v>
      </c>
      <c r="N764" s="17"/>
    </row>
    <row r="765">
      <c r="A765" s="9"/>
      <c r="B765" s="38">
        <f t="shared" si="5"/>
        <v>763</v>
      </c>
      <c r="C765" s="70"/>
      <c r="D765" s="48" t="s">
        <v>625</v>
      </c>
      <c r="E765" s="13" t="s">
        <v>613</v>
      </c>
      <c r="F765" s="13">
        <v>12.0</v>
      </c>
      <c r="G765" s="35" t="str">
        <f t="shared" ref="G765:G768" si="142">IF(C765&gt;40908,"2012",IF(C765&gt;40543,"2011",IF(C765&gt;40178,"2010",IF(C765&gt;=39814,"2009",IF(C765&gt;=39448,"2008",IF(C765&gt;39082,"2007",IF(C765&lt;38717,"Pre-2006","2006")))))))</f>
        <v>Pre-2006</v>
      </c>
      <c r="H765" s="71"/>
      <c r="I765" s="71"/>
      <c r="J765" s="61"/>
      <c r="K765" s="62"/>
      <c r="L765" s="63"/>
      <c r="M765" s="59" t="str">
        <f t="shared" si="140"/>
        <v>NA</v>
      </c>
      <c r="N765" s="17"/>
    </row>
    <row r="766">
      <c r="A766" s="9"/>
      <c r="B766" s="38">
        <f t="shared" si="5"/>
        <v>764</v>
      </c>
      <c r="C766" s="70"/>
      <c r="D766" s="48" t="s">
        <v>626</v>
      </c>
      <c r="E766" s="13" t="s">
        <v>613</v>
      </c>
      <c r="F766" s="13">
        <v>12.0</v>
      </c>
      <c r="G766" s="35" t="str">
        <f t="shared" si="142"/>
        <v>Pre-2006</v>
      </c>
      <c r="H766" s="71"/>
      <c r="I766" s="71"/>
      <c r="J766" s="61"/>
      <c r="K766" s="62"/>
      <c r="L766" s="63"/>
      <c r="M766" s="59" t="str">
        <f t="shared" si="140"/>
        <v>NA</v>
      </c>
      <c r="N766" s="17"/>
    </row>
    <row r="767">
      <c r="A767" s="9"/>
      <c r="B767" s="38">
        <f t="shared" si="5"/>
        <v>765</v>
      </c>
      <c r="C767" s="70"/>
      <c r="D767" s="48" t="s">
        <v>627</v>
      </c>
      <c r="E767" s="13" t="s">
        <v>613</v>
      </c>
      <c r="F767" s="13">
        <v>12.0</v>
      </c>
      <c r="G767" s="35" t="str">
        <f t="shared" si="142"/>
        <v>Pre-2006</v>
      </c>
      <c r="H767" s="71"/>
      <c r="I767" s="71"/>
      <c r="J767" s="61"/>
      <c r="K767" s="62"/>
      <c r="L767" s="63"/>
      <c r="M767" s="59" t="str">
        <f t="shared" si="140"/>
        <v>NA</v>
      </c>
      <c r="N767" s="17"/>
    </row>
    <row r="768">
      <c r="A768" s="9"/>
      <c r="B768" s="38">
        <f t="shared" si="5"/>
        <v>766</v>
      </c>
      <c r="C768" s="70"/>
      <c r="D768" s="48" t="s">
        <v>628</v>
      </c>
      <c r="E768" s="13" t="s">
        <v>613</v>
      </c>
      <c r="F768" s="13">
        <v>12.0</v>
      </c>
      <c r="G768" s="35" t="str">
        <f t="shared" si="142"/>
        <v>Pre-2006</v>
      </c>
      <c r="H768" s="71"/>
      <c r="I768" s="71"/>
      <c r="J768" s="61"/>
      <c r="K768" s="62"/>
      <c r="L768" s="63"/>
      <c r="M768" s="59" t="str">
        <f t="shared" si="140"/>
        <v>NA</v>
      </c>
      <c r="N768" s="17"/>
    </row>
    <row r="769">
      <c r="A769" s="9"/>
      <c r="B769" s="38">
        <f t="shared" si="5"/>
        <v>767</v>
      </c>
      <c r="C769" s="75">
        <v>42895.0</v>
      </c>
      <c r="D769" s="12" t="str">
        <f>hyperlink("https://www.rottentomatoes.com/m/the_bfg_2016","BFG, The")</f>
        <v>BFG, The</v>
      </c>
      <c r="E769" s="33" t="s">
        <v>613</v>
      </c>
      <c r="F769" s="33">
        <v>12.0</v>
      </c>
      <c r="G769" s="36">
        <v>2017.0</v>
      </c>
      <c r="H769" s="33" t="s">
        <v>25</v>
      </c>
      <c r="I769" s="33" t="s">
        <v>47</v>
      </c>
      <c r="J769" s="57">
        <v>2016.0</v>
      </c>
      <c r="K769" s="58">
        <v>0.74</v>
      </c>
      <c r="L769" s="37">
        <v>115.0</v>
      </c>
      <c r="M769" s="59">
        <f t="shared" si="140"/>
        <v>0.6434782609</v>
      </c>
      <c r="N769" s="17"/>
    </row>
    <row r="770">
      <c r="A770" s="9"/>
      <c r="B770" s="38">
        <f t="shared" si="5"/>
        <v>768</v>
      </c>
      <c r="C770" s="70"/>
      <c r="D770" s="48" t="s">
        <v>629</v>
      </c>
      <c r="E770" s="13" t="s">
        <v>613</v>
      </c>
      <c r="F770" s="13">
        <v>12.0</v>
      </c>
      <c r="G770" s="35" t="str">
        <f t="shared" ref="G770:G772" si="143">IF(C770&gt;40908,"2012",IF(C770&gt;40543,"2011",IF(C770&gt;40178,"2010",IF(C770&gt;=39814,"2009",IF(C770&gt;=39448,"2008",IF(C770&gt;39082,"2007",IF(C770&lt;38717,"Pre-2006","2006")))))))</f>
        <v>Pre-2006</v>
      </c>
      <c r="H770" s="71"/>
      <c r="I770" s="71"/>
      <c r="J770" s="61"/>
      <c r="K770" s="62"/>
      <c r="L770" s="63"/>
      <c r="M770" s="59" t="str">
        <f t="shared" si="140"/>
        <v>NA</v>
      </c>
      <c r="N770" s="17"/>
    </row>
    <row r="771">
      <c r="A771" s="9"/>
      <c r="B771" s="38">
        <f t="shared" si="5"/>
        <v>769</v>
      </c>
      <c r="C771" s="70"/>
      <c r="D771" s="48" t="s">
        <v>630</v>
      </c>
      <c r="E771" s="13" t="s">
        <v>613</v>
      </c>
      <c r="F771" s="13">
        <v>12.0</v>
      </c>
      <c r="G771" s="35" t="str">
        <f t="shared" si="143"/>
        <v>Pre-2006</v>
      </c>
      <c r="H771" s="71"/>
      <c r="I771" s="71"/>
      <c r="J771" s="61"/>
      <c r="K771" s="62"/>
      <c r="L771" s="63"/>
      <c r="M771" s="59" t="str">
        <f t="shared" si="140"/>
        <v>NA</v>
      </c>
      <c r="N771" s="17"/>
    </row>
    <row r="772">
      <c r="A772" s="9"/>
      <c r="B772" s="38">
        <f t="shared" si="5"/>
        <v>770</v>
      </c>
      <c r="C772" s="70"/>
      <c r="D772" s="48" t="s">
        <v>631</v>
      </c>
      <c r="E772" s="13" t="s">
        <v>613</v>
      </c>
      <c r="F772" s="13">
        <v>12.0</v>
      </c>
      <c r="G772" s="35" t="str">
        <f t="shared" si="143"/>
        <v>Pre-2006</v>
      </c>
      <c r="H772" s="71"/>
      <c r="I772" s="71"/>
      <c r="J772" s="61"/>
      <c r="K772" s="62"/>
      <c r="L772" s="63"/>
      <c r="M772" s="59" t="str">
        <f t="shared" si="140"/>
        <v>NA</v>
      </c>
      <c r="N772" s="17"/>
    </row>
    <row r="773">
      <c r="A773" s="9"/>
      <c r="B773" s="38">
        <f t="shared" si="5"/>
        <v>771</v>
      </c>
      <c r="C773" s="75">
        <v>45291.0</v>
      </c>
      <c r="D773" s="12" t="str">
        <f>hyperlink("https://www.rottentomatoes.com/m/barbie_2023","Barbie")</f>
        <v>Barbie</v>
      </c>
      <c r="E773" s="33" t="s">
        <v>613</v>
      </c>
      <c r="F773" s="33">
        <v>12.0</v>
      </c>
      <c r="G773" s="36">
        <v>2023.0</v>
      </c>
      <c r="H773" s="33" t="s">
        <v>58</v>
      </c>
      <c r="I773" s="33" t="s">
        <v>47</v>
      </c>
      <c r="J773" s="57">
        <v>2023.0</v>
      </c>
      <c r="K773" s="58">
        <v>0.89</v>
      </c>
      <c r="L773" s="37">
        <v>114.0</v>
      </c>
      <c r="M773" s="59">
        <f t="shared" si="140"/>
        <v>0.7807017544</v>
      </c>
      <c r="N773" s="17"/>
    </row>
    <row r="774">
      <c r="A774" s="9"/>
      <c r="B774" s="38">
        <f t="shared" si="5"/>
        <v>772</v>
      </c>
      <c r="C774" s="70"/>
      <c r="D774" s="48" t="s">
        <v>632</v>
      </c>
      <c r="E774" s="13" t="s">
        <v>613</v>
      </c>
      <c r="F774" s="13">
        <v>12.0</v>
      </c>
      <c r="G774" s="35" t="str">
        <f t="shared" ref="G774:G777" si="144">IF(C774&gt;40908,"2012",IF(C774&gt;40543,"2011",IF(C774&gt;40178,"2010",IF(C774&gt;=39814,"2009",IF(C774&gt;=39448,"2008",IF(C774&gt;39082,"2007",IF(C774&lt;38717,"Pre-2006","2006")))))))</f>
        <v>Pre-2006</v>
      </c>
      <c r="H774" s="71"/>
      <c r="I774" s="71"/>
      <c r="J774" s="61"/>
      <c r="K774" s="62"/>
      <c r="L774" s="63"/>
      <c r="M774" s="59" t="str">
        <f t="shared" si="140"/>
        <v>NA</v>
      </c>
      <c r="N774" s="17"/>
    </row>
    <row r="775">
      <c r="A775" s="9"/>
      <c r="B775" s="38">
        <f t="shared" si="5"/>
        <v>773</v>
      </c>
      <c r="C775" s="70"/>
      <c r="D775" s="48" t="s">
        <v>633</v>
      </c>
      <c r="E775" s="13" t="s">
        <v>613</v>
      </c>
      <c r="F775" s="13">
        <v>12.0</v>
      </c>
      <c r="G775" s="35" t="str">
        <f t="shared" si="144"/>
        <v>Pre-2006</v>
      </c>
      <c r="H775" s="71"/>
      <c r="I775" s="71"/>
      <c r="J775" s="61"/>
      <c r="K775" s="62"/>
      <c r="L775" s="63"/>
      <c r="M775" s="59" t="str">
        <f t="shared" si="140"/>
        <v>NA</v>
      </c>
      <c r="N775" s="17"/>
    </row>
    <row r="776">
      <c r="A776" s="9"/>
      <c r="B776" s="38">
        <f t="shared" si="5"/>
        <v>774</v>
      </c>
      <c r="C776" s="70"/>
      <c r="D776" s="48" t="s">
        <v>634</v>
      </c>
      <c r="E776" s="13" t="s">
        <v>613</v>
      </c>
      <c r="F776" s="13">
        <v>12.0</v>
      </c>
      <c r="G776" s="35" t="str">
        <f t="shared" si="144"/>
        <v>Pre-2006</v>
      </c>
      <c r="H776" s="71"/>
      <c r="I776" s="71"/>
      <c r="J776" s="61"/>
      <c r="K776" s="62"/>
      <c r="L776" s="63"/>
      <c r="M776" s="59" t="str">
        <f t="shared" si="140"/>
        <v>NA</v>
      </c>
      <c r="N776" s="17"/>
    </row>
    <row r="777">
      <c r="A777" s="9"/>
      <c r="B777" s="38">
        <f t="shared" si="5"/>
        <v>775</v>
      </c>
      <c r="C777" s="34">
        <v>39590.0</v>
      </c>
      <c r="D777" s="48" t="s">
        <v>635</v>
      </c>
      <c r="E777" s="13" t="s">
        <v>613</v>
      </c>
      <c r="F777" s="13">
        <v>12.0</v>
      </c>
      <c r="G777" s="35" t="str">
        <f t="shared" si="144"/>
        <v>2008</v>
      </c>
      <c r="H777" s="13" t="s">
        <v>17</v>
      </c>
      <c r="I777" s="13" t="s">
        <v>21</v>
      </c>
      <c r="J777" s="14">
        <v>2007.0</v>
      </c>
      <c r="K777" s="15">
        <v>0.88</v>
      </c>
      <c r="L777" s="14">
        <v>123.0</v>
      </c>
      <c r="M777" s="16">
        <f t="shared" si="140"/>
        <v>0.7154471545</v>
      </c>
      <c r="N777" s="17"/>
    </row>
    <row r="778">
      <c r="A778" s="9"/>
      <c r="B778" s="38">
        <f t="shared" si="5"/>
        <v>776</v>
      </c>
      <c r="C778" s="34">
        <v>41849.0</v>
      </c>
      <c r="D778" s="12" t="str">
        <f>hyperlink("http://www.rottentomatoes.com/m/begin_again_2013/","Begin Again")</f>
        <v>Begin Again</v>
      </c>
      <c r="E778" s="13" t="s">
        <v>613</v>
      </c>
      <c r="F778" s="13">
        <v>12.0</v>
      </c>
      <c r="G778" s="13">
        <v>2014.0</v>
      </c>
      <c r="H778" s="13" t="s">
        <v>120</v>
      </c>
      <c r="I778" s="13" t="s">
        <v>26</v>
      </c>
      <c r="J778" s="55">
        <v>2014.0</v>
      </c>
      <c r="K778" s="56">
        <v>0.82</v>
      </c>
      <c r="L778" s="14">
        <v>101.0</v>
      </c>
      <c r="M778" s="16">
        <f t="shared" si="140"/>
        <v>0.8118811881</v>
      </c>
      <c r="N778" s="17"/>
    </row>
    <row r="779">
      <c r="A779" s="9"/>
      <c r="B779" s="38">
        <f t="shared" si="5"/>
        <v>777</v>
      </c>
      <c r="C779" s="70"/>
      <c r="D779" s="48" t="s">
        <v>636</v>
      </c>
      <c r="E779" s="13" t="s">
        <v>613</v>
      </c>
      <c r="F779" s="13">
        <v>12.0</v>
      </c>
      <c r="G779" s="35" t="str">
        <f t="shared" ref="G779:G780" si="145">IF(C779&gt;40908,"2012",IF(C779&gt;40543,"2011",IF(C779&gt;40178,"2010",IF(C779&gt;=39814,"2009",IF(C779&gt;=39448,"2008",IF(C779&gt;39082,"2007",IF(C779&lt;38717,"Pre-2006","2006")))))))</f>
        <v>Pre-2006</v>
      </c>
      <c r="H779" s="71"/>
      <c r="I779" s="71"/>
      <c r="J779" s="61"/>
      <c r="K779" s="62"/>
      <c r="L779" s="63"/>
      <c r="M779" s="59" t="str">
        <f t="shared" si="140"/>
        <v>NA</v>
      </c>
      <c r="N779" s="17"/>
    </row>
    <row r="780">
      <c r="A780" s="9"/>
      <c r="B780" s="38">
        <f t="shared" si="5"/>
        <v>778</v>
      </c>
      <c r="C780" s="70"/>
      <c r="D780" s="48" t="s">
        <v>637</v>
      </c>
      <c r="E780" s="13" t="s">
        <v>613</v>
      </c>
      <c r="F780" s="13">
        <v>12.0</v>
      </c>
      <c r="G780" s="35" t="str">
        <f t="shared" si="145"/>
        <v>Pre-2006</v>
      </c>
      <c r="H780" s="71"/>
      <c r="I780" s="71"/>
      <c r="J780" s="61"/>
      <c r="K780" s="62"/>
      <c r="L780" s="63"/>
      <c r="M780" s="59" t="str">
        <f t="shared" si="140"/>
        <v>NA</v>
      </c>
      <c r="N780" s="17"/>
    </row>
    <row r="781">
      <c r="A781" s="9"/>
      <c r="B781" s="38">
        <f t="shared" si="5"/>
        <v>779</v>
      </c>
      <c r="C781" s="34">
        <v>41080.0</v>
      </c>
      <c r="D781" s="48" t="s">
        <v>638</v>
      </c>
      <c r="E781" s="13" t="s">
        <v>613</v>
      </c>
      <c r="F781" s="13">
        <v>12.0</v>
      </c>
      <c r="G781" s="13">
        <v>2012.0</v>
      </c>
      <c r="H781" s="13" t="s">
        <v>126</v>
      </c>
      <c r="I781" s="13" t="s">
        <v>126</v>
      </c>
      <c r="J781" s="55">
        <v>1983.0</v>
      </c>
      <c r="K781" s="56">
        <v>0.68</v>
      </c>
      <c r="L781" s="14">
        <v>103.0</v>
      </c>
      <c r="M781" s="16">
        <f t="shared" si="140"/>
        <v>0.6601941748</v>
      </c>
      <c r="N781" s="17"/>
    </row>
    <row r="782">
      <c r="A782" s="9"/>
      <c r="B782" s="38">
        <f t="shared" si="5"/>
        <v>780</v>
      </c>
      <c r="C782" s="70"/>
      <c r="D782" s="48" t="s">
        <v>639</v>
      </c>
      <c r="E782" s="13" t="s">
        <v>613</v>
      </c>
      <c r="F782" s="13">
        <v>12.0</v>
      </c>
      <c r="G782" s="35" t="str">
        <f t="shared" ref="G782:G788" si="146">IF(C782&gt;40908,"2012",IF(C782&gt;40543,"2011",IF(C782&gt;40178,"2010",IF(C782&gt;=39814,"2009",IF(C782&gt;=39448,"2008",IF(C782&gt;39082,"2007",IF(C782&lt;38717,"Pre-2006","2006")))))))</f>
        <v>Pre-2006</v>
      </c>
      <c r="H782" s="71"/>
      <c r="I782" s="71"/>
      <c r="J782" s="61"/>
      <c r="K782" s="62"/>
      <c r="L782" s="63"/>
      <c r="M782" s="59" t="str">
        <f t="shared" si="140"/>
        <v>NA</v>
      </c>
      <c r="N782" s="17"/>
    </row>
    <row r="783">
      <c r="A783" s="9"/>
      <c r="B783" s="38">
        <f t="shared" si="5"/>
        <v>781</v>
      </c>
      <c r="C783" s="70"/>
      <c r="D783" s="48" t="s">
        <v>640</v>
      </c>
      <c r="E783" s="13" t="s">
        <v>613</v>
      </c>
      <c r="F783" s="13">
        <v>12.0</v>
      </c>
      <c r="G783" s="35" t="str">
        <f t="shared" si="146"/>
        <v>Pre-2006</v>
      </c>
      <c r="H783" s="71"/>
      <c r="I783" s="71"/>
      <c r="J783" s="61"/>
      <c r="K783" s="62"/>
      <c r="L783" s="63"/>
      <c r="M783" s="59" t="str">
        <f t="shared" si="140"/>
        <v>NA</v>
      </c>
      <c r="N783" s="17"/>
    </row>
    <row r="784">
      <c r="A784" s="9"/>
      <c r="B784" s="38">
        <f t="shared" si="5"/>
        <v>782</v>
      </c>
      <c r="C784" s="70"/>
      <c r="D784" s="48" t="s">
        <v>641</v>
      </c>
      <c r="E784" s="13" t="s">
        <v>613</v>
      </c>
      <c r="F784" s="13">
        <v>12.0</v>
      </c>
      <c r="G784" s="35" t="str">
        <f t="shared" si="146"/>
        <v>Pre-2006</v>
      </c>
      <c r="H784" s="71"/>
      <c r="I784" s="71"/>
      <c r="J784" s="61"/>
      <c r="K784" s="62"/>
      <c r="L784" s="63"/>
      <c r="M784" s="59" t="str">
        <f t="shared" si="140"/>
        <v>NA</v>
      </c>
      <c r="N784" s="17"/>
    </row>
    <row r="785">
      <c r="A785" s="9"/>
      <c r="B785" s="38">
        <f t="shared" si="5"/>
        <v>783</v>
      </c>
      <c r="C785" s="70"/>
      <c r="D785" s="48" t="s">
        <v>642</v>
      </c>
      <c r="E785" s="13" t="s">
        <v>613</v>
      </c>
      <c r="F785" s="13">
        <v>12.0</v>
      </c>
      <c r="G785" s="35" t="str">
        <f t="shared" si="146"/>
        <v>Pre-2006</v>
      </c>
      <c r="H785" s="71"/>
      <c r="I785" s="71"/>
      <c r="J785" s="61"/>
      <c r="K785" s="62"/>
      <c r="L785" s="63"/>
      <c r="M785" s="59" t="str">
        <f t="shared" si="140"/>
        <v>NA</v>
      </c>
      <c r="N785" s="17"/>
    </row>
    <row r="786">
      <c r="A786" s="9"/>
      <c r="B786" s="38">
        <f t="shared" si="5"/>
        <v>784</v>
      </c>
      <c r="C786" s="34">
        <v>39052.0</v>
      </c>
      <c r="D786" s="48" t="s">
        <v>643</v>
      </c>
      <c r="E786" s="13" t="s">
        <v>613</v>
      </c>
      <c r="F786" s="13">
        <v>12.0</v>
      </c>
      <c r="G786" s="35" t="str">
        <f t="shared" si="146"/>
        <v>2006</v>
      </c>
      <c r="H786" s="71"/>
      <c r="I786" s="71"/>
      <c r="J786" s="61"/>
      <c r="K786" s="62"/>
      <c r="L786" s="63"/>
      <c r="M786" s="59" t="str">
        <f t="shared" si="140"/>
        <v>NA</v>
      </c>
      <c r="N786" s="17"/>
    </row>
    <row r="787">
      <c r="A787" s="9"/>
      <c r="B787" s="38">
        <f t="shared" si="5"/>
        <v>785</v>
      </c>
      <c r="C787" s="70"/>
      <c r="D787" s="48" t="s">
        <v>644</v>
      </c>
      <c r="E787" s="13" t="s">
        <v>613</v>
      </c>
      <c r="F787" s="13">
        <v>12.0</v>
      </c>
      <c r="G787" s="35" t="str">
        <f t="shared" si="146"/>
        <v>Pre-2006</v>
      </c>
      <c r="H787" s="71"/>
      <c r="I787" s="71"/>
      <c r="J787" s="61"/>
      <c r="K787" s="62"/>
      <c r="L787" s="63"/>
      <c r="M787" s="59" t="str">
        <f t="shared" si="140"/>
        <v>NA</v>
      </c>
      <c r="N787" s="17"/>
    </row>
    <row r="788">
      <c r="A788" s="9"/>
      <c r="B788" s="38">
        <f t="shared" si="5"/>
        <v>786</v>
      </c>
      <c r="C788" s="70"/>
      <c r="D788" s="48" t="s">
        <v>645</v>
      </c>
      <c r="E788" s="13" t="s">
        <v>613</v>
      </c>
      <c r="F788" s="13">
        <v>12.0</v>
      </c>
      <c r="G788" s="35" t="str">
        <f t="shared" si="146"/>
        <v>Pre-2006</v>
      </c>
      <c r="H788" s="71"/>
      <c r="I788" s="71"/>
      <c r="J788" s="61"/>
      <c r="K788" s="62"/>
      <c r="L788" s="63"/>
      <c r="M788" s="59" t="str">
        <f t="shared" si="140"/>
        <v>NA</v>
      </c>
      <c r="N788" s="17"/>
    </row>
    <row r="789">
      <c r="A789" s="9"/>
      <c r="B789" s="38">
        <f t="shared" si="5"/>
        <v>787</v>
      </c>
      <c r="C789" s="70"/>
      <c r="D789" s="64" t="s">
        <v>646</v>
      </c>
      <c r="E789" s="33" t="s">
        <v>613</v>
      </c>
      <c r="F789" s="33">
        <v>12.0</v>
      </c>
      <c r="G789" s="36" t="s">
        <v>14</v>
      </c>
      <c r="H789" s="71"/>
      <c r="I789" s="71"/>
      <c r="J789" s="57">
        <v>2001.0</v>
      </c>
      <c r="K789" s="58">
        <v>0.81</v>
      </c>
      <c r="L789" s="37">
        <v>94.0</v>
      </c>
      <c r="M789" s="59">
        <f t="shared" si="140"/>
        <v>0.8617021277</v>
      </c>
      <c r="N789" s="17"/>
    </row>
    <row r="790">
      <c r="A790" s="9"/>
      <c r="B790" s="38">
        <f t="shared" si="5"/>
        <v>788</v>
      </c>
      <c r="C790" s="70"/>
      <c r="D790" s="48" t="s">
        <v>647</v>
      </c>
      <c r="E790" s="13" t="s">
        <v>613</v>
      </c>
      <c r="F790" s="13">
        <v>12.0</v>
      </c>
      <c r="G790" s="35" t="str">
        <f t="shared" ref="G790:G794" si="147">IF(C790&gt;40908,"2012",IF(C790&gt;40543,"2011",IF(C790&gt;40178,"2010",IF(C790&gt;=39814,"2009",IF(C790&gt;=39448,"2008",IF(C790&gt;39082,"2007",IF(C790&lt;38717,"Pre-2006","2006")))))))</f>
        <v>Pre-2006</v>
      </c>
      <c r="H790" s="71"/>
      <c r="I790" s="71"/>
      <c r="J790" s="61"/>
      <c r="K790" s="62"/>
      <c r="L790" s="63"/>
      <c r="M790" s="59" t="str">
        <f t="shared" si="140"/>
        <v>NA</v>
      </c>
      <c r="N790" s="17"/>
    </row>
    <row r="791">
      <c r="A791" s="9"/>
      <c r="B791" s="38">
        <f t="shared" si="5"/>
        <v>789</v>
      </c>
      <c r="C791" s="70"/>
      <c r="D791" s="48" t="s">
        <v>648</v>
      </c>
      <c r="E791" s="13" t="s">
        <v>613</v>
      </c>
      <c r="F791" s="13">
        <v>12.0</v>
      </c>
      <c r="G791" s="35" t="str">
        <f t="shared" si="147"/>
        <v>Pre-2006</v>
      </c>
      <c r="H791" s="71"/>
      <c r="I791" s="71"/>
      <c r="J791" s="61"/>
      <c r="K791" s="62"/>
      <c r="L791" s="63"/>
      <c r="M791" s="59" t="str">
        <f t="shared" si="140"/>
        <v>NA</v>
      </c>
      <c r="N791" s="17"/>
    </row>
    <row r="792">
      <c r="A792" s="9"/>
      <c r="B792" s="38">
        <f t="shared" si="5"/>
        <v>790</v>
      </c>
      <c r="C792" s="70"/>
      <c r="D792" s="48" t="s">
        <v>649</v>
      </c>
      <c r="E792" s="13" t="s">
        <v>613</v>
      </c>
      <c r="F792" s="13">
        <v>12.0</v>
      </c>
      <c r="G792" s="35" t="str">
        <f t="shared" si="147"/>
        <v>Pre-2006</v>
      </c>
      <c r="H792" s="71"/>
      <c r="I792" s="71"/>
      <c r="J792" s="61"/>
      <c r="K792" s="62"/>
      <c r="L792" s="63"/>
      <c r="M792" s="59" t="str">
        <f t="shared" si="140"/>
        <v>NA</v>
      </c>
      <c r="N792" s="17"/>
    </row>
    <row r="793">
      <c r="A793" s="9"/>
      <c r="B793" s="38">
        <f t="shared" si="5"/>
        <v>791</v>
      </c>
      <c r="C793" s="70"/>
      <c r="D793" s="48" t="s">
        <v>650</v>
      </c>
      <c r="E793" s="13" t="s">
        <v>613</v>
      </c>
      <c r="F793" s="13">
        <v>12.0</v>
      </c>
      <c r="G793" s="35" t="str">
        <f t="shared" si="147"/>
        <v>Pre-2006</v>
      </c>
      <c r="H793" s="71"/>
      <c r="I793" s="71"/>
      <c r="J793" s="61"/>
      <c r="K793" s="62"/>
      <c r="L793" s="63"/>
      <c r="M793" s="59" t="str">
        <f t="shared" si="140"/>
        <v>NA</v>
      </c>
      <c r="N793" s="17"/>
    </row>
    <row r="794">
      <c r="A794" s="9"/>
      <c r="B794" s="38">
        <f t="shared" si="5"/>
        <v>792</v>
      </c>
      <c r="C794" s="70"/>
      <c r="D794" s="48" t="s">
        <v>651</v>
      </c>
      <c r="E794" s="13" t="s">
        <v>613</v>
      </c>
      <c r="F794" s="13">
        <v>12.0</v>
      </c>
      <c r="G794" s="35" t="str">
        <f t="shared" si="147"/>
        <v>Pre-2006</v>
      </c>
      <c r="H794" s="71"/>
      <c r="I794" s="71"/>
      <c r="J794" s="61"/>
      <c r="K794" s="62"/>
      <c r="L794" s="63"/>
      <c r="M794" s="59" t="str">
        <f t="shared" si="140"/>
        <v>NA</v>
      </c>
      <c r="N794" s="17"/>
    </row>
    <row r="795">
      <c r="A795" s="9"/>
      <c r="B795" s="38">
        <f t="shared" si="5"/>
        <v>793</v>
      </c>
      <c r="C795" s="34">
        <v>42503.0</v>
      </c>
      <c r="D795" s="12" t="str">
        <f>hyperlink("http://www.rottentomatoes.com/m/captain_america_civil_war/?search=captain%20america","Captain America: Civil War")</f>
        <v>Captain America: Civil War</v>
      </c>
      <c r="E795" s="33" t="s">
        <v>613</v>
      </c>
      <c r="F795" s="33">
        <v>12.0</v>
      </c>
      <c r="G795" s="36">
        <v>2016.0</v>
      </c>
      <c r="H795" s="33" t="s">
        <v>25</v>
      </c>
      <c r="I795" s="33" t="s">
        <v>47</v>
      </c>
      <c r="J795" s="57">
        <v>2016.0</v>
      </c>
      <c r="K795" s="58">
        <v>0.9</v>
      </c>
      <c r="L795" s="37">
        <v>146.0</v>
      </c>
      <c r="M795" s="59">
        <f>K795/L795*100</f>
        <v>0.6164383562</v>
      </c>
      <c r="N795" s="17"/>
    </row>
    <row r="796">
      <c r="A796" s="9"/>
      <c r="B796" s="38">
        <f t="shared" si="5"/>
        <v>794</v>
      </c>
      <c r="C796" s="70"/>
      <c r="D796" s="48" t="s">
        <v>652</v>
      </c>
      <c r="E796" s="13" t="s">
        <v>613</v>
      </c>
      <c r="F796" s="13">
        <v>12.0</v>
      </c>
      <c r="G796" s="35" t="str">
        <f>IF(C796&gt;40908,"2012",IF(C796&gt;40543,"2011",IF(C796&gt;40178,"2010",IF(C796&gt;=39814,"2009",IF(C796&gt;=39448,"2008",IF(C796&gt;39082,"2007",IF(C796&lt;38717,"Pre-2006","2006")))))))</f>
        <v>Pre-2006</v>
      </c>
      <c r="H796" s="71"/>
      <c r="I796" s="71"/>
      <c r="J796" s="61"/>
      <c r="K796" s="62"/>
      <c r="L796" s="63"/>
      <c r="M796" s="59" t="str">
        <f t="shared" ref="M796:M798" si="148">if(iserror(K796/L796*100),"NA",K796/L796*100)</f>
        <v>NA</v>
      </c>
      <c r="N796" s="17"/>
    </row>
    <row r="797">
      <c r="A797" s="9"/>
      <c r="B797" s="38">
        <f t="shared" si="5"/>
        <v>795</v>
      </c>
      <c r="C797" s="34">
        <v>41154.0</v>
      </c>
      <c r="D797" s="48" t="s">
        <v>653</v>
      </c>
      <c r="E797" s="13" t="s">
        <v>613</v>
      </c>
      <c r="F797" s="13">
        <v>12.0</v>
      </c>
      <c r="G797" s="13">
        <v>2012.0</v>
      </c>
      <c r="H797" s="13" t="s">
        <v>654</v>
      </c>
      <c r="I797" s="13" t="s">
        <v>26</v>
      </c>
      <c r="J797" s="55">
        <v>2012.0</v>
      </c>
      <c r="K797" s="56">
        <v>0.68</v>
      </c>
      <c r="L797" s="14">
        <v>89.0</v>
      </c>
      <c r="M797" s="16">
        <f t="shared" si="148"/>
        <v>0.7640449438</v>
      </c>
      <c r="N797" s="17"/>
    </row>
    <row r="798">
      <c r="A798" s="9"/>
      <c r="B798" s="38">
        <f t="shared" si="5"/>
        <v>796</v>
      </c>
      <c r="C798" s="70"/>
      <c r="D798" s="93" t="s">
        <v>655</v>
      </c>
      <c r="E798" s="13" t="s">
        <v>613</v>
      </c>
      <c r="F798" s="13">
        <v>12.0</v>
      </c>
      <c r="G798" s="35" t="str">
        <f>IF(C798&gt;40908,"2012",IF(C798&gt;40543,"2011",IF(C798&gt;40178,"2010",IF(C798&gt;=39814,"2009",IF(C798&gt;=39448,"2008",IF(C798&gt;39082,"2007",IF(C798&lt;38717,"Pre-2006","2006")))))))</f>
        <v>Pre-2006</v>
      </c>
      <c r="H798" s="71"/>
      <c r="I798" s="71"/>
      <c r="J798" s="61"/>
      <c r="K798" s="62"/>
      <c r="L798" s="63"/>
      <c r="M798" s="59" t="str">
        <f t="shared" si="148"/>
        <v>NA</v>
      </c>
      <c r="N798" s="17"/>
    </row>
    <row r="799">
      <c r="A799" s="9"/>
      <c r="B799" s="38">
        <f t="shared" si="5"/>
        <v>797</v>
      </c>
      <c r="C799" s="34">
        <v>42475.0</v>
      </c>
      <c r="D799" s="12" t="str">
        <f>hyperlink("http://www.rottentomatoes.com/m/champs/?search=champs","Champs")</f>
        <v>Champs</v>
      </c>
      <c r="E799" s="33" t="s">
        <v>613</v>
      </c>
      <c r="F799" s="33">
        <v>12.0</v>
      </c>
      <c r="G799" s="36">
        <v>2016.0</v>
      </c>
      <c r="H799" s="33" t="s">
        <v>58</v>
      </c>
      <c r="I799" s="33" t="s">
        <v>47</v>
      </c>
      <c r="J799" s="57">
        <v>2015.0</v>
      </c>
      <c r="K799" s="56">
        <v>0.53</v>
      </c>
      <c r="L799" s="37">
        <v>85.0</v>
      </c>
      <c r="M799" s="59">
        <f t="shared" ref="M799:M800" si="149">K799/L799*100</f>
        <v>0.6235294118</v>
      </c>
      <c r="N799" s="17"/>
    </row>
    <row r="800">
      <c r="A800" s="9"/>
      <c r="B800" s="38">
        <f t="shared" si="5"/>
        <v>798</v>
      </c>
      <c r="C800" s="34">
        <v>44738.0</v>
      </c>
      <c r="D800" s="12" t="str">
        <f>hyperlink("https://www.rottentomatoes.com/m/cha_cha_real_smooth","Cha Cha Real Smooth")</f>
        <v>Cha Cha Real Smooth</v>
      </c>
      <c r="E800" s="33" t="s">
        <v>613</v>
      </c>
      <c r="F800" s="33">
        <v>12.0</v>
      </c>
      <c r="G800" s="36">
        <v>2022.0</v>
      </c>
      <c r="H800" s="33" t="s">
        <v>58</v>
      </c>
      <c r="I800" s="33" t="s">
        <v>47</v>
      </c>
      <c r="J800" s="57">
        <v>2022.0</v>
      </c>
      <c r="K800" s="56">
        <v>0.86</v>
      </c>
      <c r="L800" s="37">
        <v>107.0</v>
      </c>
      <c r="M800" s="59">
        <f t="shared" si="149"/>
        <v>0.8037383178</v>
      </c>
      <c r="N800" s="17"/>
    </row>
    <row r="801">
      <c r="A801" s="9"/>
      <c r="B801" s="38">
        <f t="shared" si="5"/>
        <v>799</v>
      </c>
      <c r="C801" s="34">
        <v>40400.0</v>
      </c>
      <c r="D801" s="48" t="s">
        <v>656</v>
      </c>
      <c r="E801" s="13" t="s">
        <v>613</v>
      </c>
      <c r="F801" s="13">
        <v>12.0</v>
      </c>
      <c r="G801" s="35" t="str">
        <f t="shared" ref="G801:G802" si="150">IF(C801&gt;40908,"2012",IF(C801&gt;40543,"2011",IF(C801&gt;40178,"2010",IF(C801&gt;=39814,"2009",IF(C801&gt;=39448,"2008",IF(C801&gt;39082,"2007",IF(C801&lt;38717,"Pre-2006","2006")))))))</f>
        <v>2010</v>
      </c>
      <c r="H801" s="13" t="s">
        <v>25</v>
      </c>
      <c r="I801" s="13" t="s">
        <v>47</v>
      </c>
      <c r="J801" s="55">
        <v>2008.0</v>
      </c>
      <c r="K801" s="56">
        <v>0.62</v>
      </c>
      <c r="L801" s="14">
        <v>141.0</v>
      </c>
      <c r="M801" s="16">
        <f t="shared" ref="M801:M824" si="151">if(iserror(K801/L801*100),"NA",K801/L801*100)</f>
        <v>0.4397163121</v>
      </c>
      <c r="N801" s="17"/>
    </row>
    <row r="802">
      <c r="A802" s="9"/>
      <c r="B802" s="38">
        <f t="shared" si="5"/>
        <v>800</v>
      </c>
      <c r="C802" s="70"/>
      <c r="D802" s="48" t="s">
        <v>657</v>
      </c>
      <c r="E802" s="13" t="s">
        <v>613</v>
      </c>
      <c r="F802" s="13">
        <v>12.0</v>
      </c>
      <c r="G802" s="35" t="str">
        <f t="shared" si="150"/>
        <v>Pre-2006</v>
      </c>
      <c r="H802" s="71"/>
      <c r="I802" s="71"/>
      <c r="J802" s="61"/>
      <c r="K802" s="62"/>
      <c r="L802" s="63"/>
      <c r="M802" s="59" t="str">
        <f t="shared" si="151"/>
        <v>NA</v>
      </c>
      <c r="N802" s="17"/>
    </row>
    <row r="803">
      <c r="A803" s="9"/>
      <c r="B803" s="38">
        <f t="shared" si="5"/>
        <v>801</v>
      </c>
      <c r="C803" s="34">
        <v>41814.0</v>
      </c>
      <c r="D803" s="12" t="str">
        <f>hyperlink("http://www.rottentomatoes.com/m/the_class_of_92/","Class of 92, The")</f>
        <v>Class of 92, The</v>
      </c>
      <c r="E803" s="13" t="s">
        <v>613</v>
      </c>
      <c r="F803" s="13">
        <v>12.0</v>
      </c>
      <c r="G803" s="13">
        <v>2014.0</v>
      </c>
      <c r="H803" s="13" t="s">
        <v>126</v>
      </c>
      <c r="I803" s="13" t="s">
        <v>126</v>
      </c>
      <c r="J803" s="55">
        <v>2014.0</v>
      </c>
      <c r="K803" s="88" t="s">
        <v>169</v>
      </c>
      <c r="L803" s="14">
        <v>98.0</v>
      </c>
      <c r="M803" s="89" t="str">
        <f t="shared" si="151"/>
        <v>NA</v>
      </c>
      <c r="N803" s="17"/>
    </row>
    <row r="804">
      <c r="A804" s="9"/>
      <c r="B804" s="38">
        <f t="shared" si="5"/>
        <v>802</v>
      </c>
      <c r="C804" s="34">
        <v>39091.0</v>
      </c>
      <c r="D804" s="48" t="s">
        <v>658</v>
      </c>
      <c r="E804" s="13" t="s">
        <v>613</v>
      </c>
      <c r="F804" s="13">
        <v>12.0</v>
      </c>
      <c r="G804" s="35" t="str">
        <f t="shared" ref="G804:G810" si="152">IF(C804&gt;40908,"2012",IF(C804&gt;40543,"2011",IF(C804&gt;40178,"2010",IF(C804&gt;=39814,"2009",IF(C804&gt;=39448,"2008",IF(C804&gt;39082,"2007",IF(C804&lt;38717,"Pre-2006","2006")))))))</f>
        <v>2007</v>
      </c>
      <c r="H804" s="71"/>
      <c r="I804" s="71"/>
      <c r="J804" s="61"/>
      <c r="K804" s="62"/>
      <c r="L804" s="63"/>
      <c r="M804" s="59" t="str">
        <f t="shared" si="151"/>
        <v>NA</v>
      </c>
      <c r="N804" s="17"/>
    </row>
    <row r="805">
      <c r="A805" s="9"/>
      <c r="B805" s="38">
        <f t="shared" si="5"/>
        <v>803</v>
      </c>
      <c r="C805" s="70"/>
      <c r="D805" s="48" t="s">
        <v>659</v>
      </c>
      <c r="E805" s="13" t="s">
        <v>613</v>
      </c>
      <c r="F805" s="13">
        <v>12.0</v>
      </c>
      <c r="G805" s="35" t="str">
        <f t="shared" si="152"/>
        <v>Pre-2006</v>
      </c>
      <c r="H805" s="71"/>
      <c r="I805" s="71"/>
      <c r="J805" s="61"/>
      <c r="K805" s="62"/>
      <c r="L805" s="63"/>
      <c r="M805" s="59" t="str">
        <f t="shared" si="151"/>
        <v>NA</v>
      </c>
      <c r="N805" s="17"/>
    </row>
    <row r="806">
      <c r="A806" s="9"/>
      <c r="B806" s="38">
        <f t="shared" si="5"/>
        <v>804</v>
      </c>
      <c r="C806" s="70"/>
      <c r="D806" s="48" t="s">
        <v>660</v>
      </c>
      <c r="E806" s="13" t="s">
        <v>613</v>
      </c>
      <c r="F806" s="13">
        <v>12.0</v>
      </c>
      <c r="G806" s="35" t="str">
        <f t="shared" si="152"/>
        <v>Pre-2006</v>
      </c>
      <c r="H806" s="71"/>
      <c r="I806" s="71"/>
      <c r="J806" s="61"/>
      <c r="K806" s="62"/>
      <c r="L806" s="63"/>
      <c r="M806" s="59" t="str">
        <f t="shared" si="151"/>
        <v>NA</v>
      </c>
      <c r="N806" s="17"/>
    </row>
    <row r="807">
      <c r="A807" s="9"/>
      <c r="B807" s="38">
        <f t="shared" si="5"/>
        <v>805</v>
      </c>
      <c r="C807" s="70"/>
      <c r="D807" s="48" t="s">
        <v>661</v>
      </c>
      <c r="E807" s="13" t="s">
        <v>613</v>
      </c>
      <c r="F807" s="13">
        <v>12.0</v>
      </c>
      <c r="G807" s="35" t="str">
        <f t="shared" si="152"/>
        <v>Pre-2006</v>
      </c>
      <c r="H807" s="71"/>
      <c r="I807" s="71"/>
      <c r="J807" s="61"/>
      <c r="K807" s="62"/>
      <c r="L807" s="63"/>
      <c r="M807" s="59" t="str">
        <f t="shared" si="151"/>
        <v>NA</v>
      </c>
      <c r="N807" s="17"/>
    </row>
    <row r="808">
      <c r="A808" s="9"/>
      <c r="B808" s="38">
        <f t="shared" si="5"/>
        <v>806</v>
      </c>
      <c r="C808" s="70"/>
      <c r="D808" s="48" t="s">
        <v>662</v>
      </c>
      <c r="E808" s="13" t="s">
        <v>613</v>
      </c>
      <c r="F808" s="13">
        <v>12.0</v>
      </c>
      <c r="G808" s="35" t="str">
        <f t="shared" si="152"/>
        <v>Pre-2006</v>
      </c>
      <c r="H808" s="71"/>
      <c r="I808" s="71"/>
      <c r="J808" s="61"/>
      <c r="K808" s="62"/>
      <c r="L808" s="63"/>
      <c r="M808" s="59" t="str">
        <f t="shared" si="151"/>
        <v>NA</v>
      </c>
      <c r="N808" s="17"/>
    </row>
    <row r="809">
      <c r="A809" s="9"/>
      <c r="B809" s="38">
        <f t="shared" si="5"/>
        <v>807</v>
      </c>
      <c r="C809" s="70"/>
      <c r="D809" s="48" t="s">
        <v>663</v>
      </c>
      <c r="E809" s="13" t="s">
        <v>613</v>
      </c>
      <c r="F809" s="13">
        <v>12.0</v>
      </c>
      <c r="G809" s="35" t="str">
        <f t="shared" si="152"/>
        <v>Pre-2006</v>
      </c>
      <c r="H809" s="71"/>
      <c r="I809" s="71"/>
      <c r="J809" s="61"/>
      <c r="K809" s="62"/>
      <c r="L809" s="63"/>
      <c r="M809" s="59" t="str">
        <f t="shared" si="151"/>
        <v>NA</v>
      </c>
      <c r="N809" s="17"/>
    </row>
    <row r="810">
      <c r="A810" s="9"/>
      <c r="B810" s="38">
        <f t="shared" si="5"/>
        <v>808</v>
      </c>
      <c r="C810" s="70"/>
      <c r="D810" s="48" t="s">
        <v>664</v>
      </c>
      <c r="E810" s="13" t="s">
        <v>613</v>
      </c>
      <c r="F810" s="13">
        <v>12.0</v>
      </c>
      <c r="G810" s="35" t="str">
        <f t="shared" si="152"/>
        <v>Pre-2006</v>
      </c>
      <c r="H810" s="71"/>
      <c r="I810" s="71"/>
      <c r="J810" s="61"/>
      <c r="K810" s="62"/>
      <c r="L810" s="63"/>
      <c r="M810" s="59" t="str">
        <f t="shared" si="151"/>
        <v>NA</v>
      </c>
      <c r="N810" s="17"/>
    </row>
    <row r="811">
      <c r="A811" s="9"/>
      <c r="B811" s="38">
        <f t="shared" si="5"/>
        <v>809</v>
      </c>
      <c r="C811" s="34">
        <v>44839.0</v>
      </c>
      <c r="D811" s="12" t="str">
        <f>hyperlink("https://www.rottentomatoes.com/m/cruella","Cruella")</f>
        <v>Cruella</v>
      </c>
      <c r="E811" s="33" t="s">
        <v>613</v>
      </c>
      <c r="F811" s="33">
        <v>12.0</v>
      </c>
      <c r="G811" s="36">
        <v>2022.0</v>
      </c>
      <c r="H811" s="33" t="s">
        <v>58</v>
      </c>
      <c r="I811" s="33" t="s">
        <v>264</v>
      </c>
      <c r="J811" s="57">
        <v>2021.0</v>
      </c>
      <c r="K811" s="58">
        <v>0.75</v>
      </c>
      <c r="L811" s="37">
        <v>134.0</v>
      </c>
      <c r="M811" s="16">
        <f t="shared" si="151"/>
        <v>0.5597014925</v>
      </c>
      <c r="N811" s="17"/>
    </row>
    <row r="812">
      <c r="A812" s="9"/>
      <c r="B812" s="38">
        <f t="shared" si="5"/>
        <v>810</v>
      </c>
      <c r="C812" s="70"/>
      <c r="D812" s="48" t="s">
        <v>665</v>
      </c>
      <c r="E812" s="13" t="s">
        <v>613</v>
      </c>
      <c r="F812" s="13">
        <v>12.0</v>
      </c>
      <c r="G812" s="35" t="str">
        <f t="shared" ref="G812:G814" si="153">IF(C812&gt;40908,"2012",IF(C812&gt;40543,"2011",IF(C812&gt;40178,"2010",IF(C812&gt;=39814,"2009",IF(C812&gt;=39448,"2008",IF(C812&gt;39082,"2007",IF(C812&lt;38717,"Pre-2006","2006")))))))</f>
        <v>Pre-2006</v>
      </c>
      <c r="H812" s="71"/>
      <c r="I812" s="71"/>
      <c r="J812" s="61"/>
      <c r="K812" s="62"/>
      <c r="L812" s="63"/>
      <c r="M812" s="59" t="str">
        <f t="shared" si="151"/>
        <v>NA</v>
      </c>
      <c r="N812" s="17"/>
    </row>
    <row r="813">
      <c r="A813" s="9"/>
      <c r="B813" s="38">
        <f t="shared" si="5"/>
        <v>811</v>
      </c>
      <c r="C813" s="70"/>
      <c r="D813" s="48" t="s">
        <v>666</v>
      </c>
      <c r="E813" s="13" t="s">
        <v>613</v>
      </c>
      <c r="F813" s="13">
        <v>12.0</v>
      </c>
      <c r="G813" s="35" t="str">
        <f t="shared" si="153"/>
        <v>Pre-2006</v>
      </c>
      <c r="H813" s="71"/>
      <c r="I813" s="71"/>
      <c r="J813" s="61"/>
      <c r="K813" s="62"/>
      <c r="L813" s="63"/>
      <c r="M813" s="59" t="str">
        <f t="shared" si="151"/>
        <v>NA</v>
      </c>
      <c r="N813" s="17"/>
    </row>
    <row r="814">
      <c r="A814" s="9"/>
      <c r="B814" s="38">
        <f t="shared" si="5"/>
        <v>812</v>
      </c>
      <c r="C814" s="70"/>
      <c r="D814" s="48" t="s">
        <v>667</v>
      </c>
      <c r="E814" s="13" t="s">
        <v>613</v>
      </c>
      <c r="F814" s="13">
        <v>12.0</v>
      </c>
      <c r="G814" s="35" t="str">
        <f t="shared" si="153"/>
        <v>Pre-2006</v>
      </c>
      <c r="H814" s="71"/>
      <c r="I814" s="71"/>
      <c r="J814" s="61"/>
      <c r="K814" s="62"/>
      <c r="L814" s="63"/>
      <c r="M814" s="59" t="str">
        <f t="shared" si="151"/>
        <v>NA</v>
      </c>
      <c r="N814" s="17"/>
    </row>
    <row r="815">
      <c r="A815" s="9"/>
      <c r="B815" s="38">
        <f t="shared" si="5"/>
        <v>813</v>
      </c>
      <c r="C815" s="34">
        <v>41998.0</v>
      </c>
      <c r="D815" s="12" t="str">
        <f>hyperlink("http://www.rottentomatoes.com/m/desert_runners_2013/?search=desert%20runner","Desert Runners")</f>
        <v>Desert Runners</v>
      </c>
      <c r="E815" s="13" t="s">
        <v>613</v>
      </c>
      <c r="F815" s="13">
        <v>12.0</v>
      </c>
      <c r="G815" s="13">
        <v>2014.0</v>
      </c>
      <c r="H815" s="13" t="s">
        <v>25</v>
      </c>
      <c r="I815" s="13" t="s">
        <v>47</v>
      </c>
      <c r="J815" s="55">
        <v>2014.0</v>
      </c>
      <c r="K815" s="88" t="s">
        <v>169</v>
      </c>
      <c r="L815" s="14">
        <v>99.0</v>
      </c>
      <c r="M815" s="89" t="str">
        <f t="shared" si="151"/>
        <v>NA</v>
      </c>
      <c r="N815" s="17"/>
    </row>
    <row r="816">
      <c r="A816" s="9"/>
      <c r="B816" s="38">
        <f t="shared" si="5"/>
        <v>814</v>
      </c>
      <c r="C816" s="70"/>
      <c r="D816" s="48" t="s">
        <v>668</v>
      </c>
      <c r="E816" s="13" t="s">
        <v>613</v>
      </c>
      <c r="F816" s="13">
        <v>12.0</v>
      </c>
      <c r="G816" s="35" t="str">
        <f t="shared" ref="G816:G821" si="154">IF(C816&gt;40908,"2012",IF(C816&gt;40543,"2011",IF(C816&gt;40178,"2010",IF(C816&gt;=39814,"2009",IF(C816&gt;=39448,"2008",IF(C816&gt;39082,"2007",IF(C816&lt;38717,"Pre-2006","2006")))))))</f>
        <v>Pre-2006</v>
      </c>
      <c r="H816" s="71"/>
      <c r="I816" s="71"/>
      <c r="J816" s="61"/>
      <c r="K816" s="62"/>
      <c r="L816" s="63"/>
      <c r="M816" s="59" t="str">
        <f t="shared" si="151"/>
        <v>NA</v>
      </c>
      <c r="N816" s="17"/>
    </row>
    <row r="817">
      <c r="A817" s="9"/>
      <c r="B817" s="38">
        <f t="shared" si="5"/>
        <v>815</v>
      </c>
      <c r="C817" s="34">
        <v>39285.0</v>
      </c>
      <c r="D817" s="48" t="s">
        <v>669</v>
      </c>
      <c r="E817" s="13" t="s">
        <v>613</v>
      </c>
      <c r="F817" s="13">
        <v>12.0</v>
      </c>
      <c r="G817" s="35" t="str">
        <f t="shared" si="154"/>
        <v>2007</v>
      </c>
      <c r="H817" s="71"/>
      <c r="I817" s="71"/>
      <c r="J817" s="61"/>
      <c r="K817" s="62"/>
      <c r="L817" s="63"/>
      <c r="M817" s="59" t="str">
        <f t="shared" si="151"/>
        <v>NA</v>
      </c>
      <c r="N817" s="17"/>
    </row>
    <row r="818">
      <c r="A818" s="9"/>
      <c r="B818" s="38">
        <f t="shared" si="5"/>
        <v>816</v>
      </c>
      <c r="C818" s="70"/>
      <c r="D818" s="48" t="s">
        <v>670</v>
      </c>
      <c r="E818" s="13" t="s">
        <v>613</v>
      </c>
      <c r="F818" s="13">
        <v>12.0</v>
      </c>
      <c r="G818" s="35" t="str">
        <f t="shared" si="154"/>
        <v>Pre-2006</v>
      </c>
      <c r="H818" s="71"/>
      <c r="I818" s="71"/>
      <c r="J818" s="61"/>
      <c r="K818" s="62"/>
      <c r="L818" s="63"/>
      <c r="M818" s="59" t="str">
        <f t="shared" si="151"/>
        <v>NA</v>
      </c>
      <c r="N818" s="17"/>
    </row>
    <row r="819">
      <c r="A819" s="9"/>
      <c r="B819" s="38">
        <f t="shared" si="5"/>
        <v>817</v>
      </c>
      <c r="C819" s="70"/>
      <c r="D819" s="48" t="s">
        <v>671</v>
      </c>
      <c r="E819" s="13" t="s">
        <v>613</v>
      </c>
      <c r="F819" s="13">
        <v>12.0</v>
      </c>
      <c r="G819" s="35" t="str">
        <f t="shared" si="154"/>
        <v>Pre-2006</v>
      </c>
      <c r="H819" s="71"/>
      <c r="I819" s="71"/>
      <c r="J819" s="61"/>
      <c r="K819" s="62"/>
      <c r="L819" s="63"/>
      <c r="M819" s="59" t="str">
        <f t="shared" si="151"/>
        <v>NA</v>
      </c>
      <c r="N819" s="17"/>
    </row>
    <row r="820">
      <c r="A820" s="9"/>
      <c r="B820" s="38">
        <f t="shared" si="5"/>
        <v>818</v>
      </c>
      <c r="C820" s="70"/>
      <c r="D820" s="48" t="s">
        <v>672</v>
      </c>
      <c r="E820" s="13" t="s">
        <v>613</v>
      </c>
      <c r="F820" s="13">
        <v>12.0</v>
      </c>
      <c r="G820" s="35" t="str">
        <f t="shared" si="154"/>
        <v>Pre-2006</v>
      </c>
      <c r="H820" s="71"/>
      <c r="I820" s="71"/>
      <c r="J820" s="61"/>
      <c r="K820" s="62"/>
      <c r="L820" s="63"/>
      <c r="M820" s="59" t="str">
        <f t="shared" si="151"/>
        <v>NA</v>
      </c>
      <c r="N820" s="17"/>
    </row>
    <row r="821">
      <c r="A821" s="9"/>
      <c r="B821" s="38">
        <f t="shared" si="5"/>
        <v>819</v>
      </c>
      <c r="C821" s="70"/>
      <c r="D821" s="48" t="s">
        <v>673</v>
      </c>
      <c r="E821" s="13" t="s">
        <v>613</v>
      </c>
      <c r="F821" s="13">
        <v>12.0</v>
      </c>
      <c r="G821" s="35" t="str">
        <f t="shared" si="154"/>
        <v>Pre-2006</v>
      </c>
      <c r="H821" s="71"/>
      <c r="I821" s="71"/>
      <c r="J821" s="61"/>
      <c r="K821" s="62"/>
      <c r="L821" s="63"/>
      <c r="M821" s="59" t="str">
        <f t="shared" si="151"/>
        <v>NA</v>
      </c>
      <c r="N821" s="17"/>
    </row>
    <row r="822">
      <c r="A822" s="9"/>
      <c r="B822" s="38">
        <f t="shared" si="5"/>
        <v>820</v>
      </c>
      <c r="C822" s="34">
        <v>44865.0</v>
      </c>
      <c r="D822" s="12" t="str">
        <f>hyperlink("https://www.rottentomatoes.com/m/driving_miss_daisy","Driving Miss Daisy")</f>
        <v>Driving Miss Daisy</v>
      </c>
      <c r="E822" s="33" t="s">
        <v>613</v>
      </c>
      <c r="F822" s="33">
        <v>12.0</v>
      </c>
      <c r="G822" s="36">
        <v>2022.0</v>
      </c>
      <c r="H822" s="33" t="s">
        <v>58</v>
      </c>
      <c r="I822" s="33" t="s">
        <v>47</v>
      </c>
      <c r="J822" s="37">
        <v>1989.0</v>
      </c>
      <c r="K822" s="15">
        <v>0.84</v>
      </c>
      <c r="L822" s="37">
        <v>109.0</v>
      </c>
      <c r="M822" s="16">
        <f t="shared" si="151"/>
        <v>0.7706422018</v>
      </c>
      <c r="N822" s="17"/>
    </row>
    <row r="823">
      <c r="A823" s="9"/>
      <c r="B823" s="38">
        <f t="shared" si="5"/>
        <v>821</v>
      </c>
      <c r="C823" s="34">
        <v>40536.0</v>
      </c>
      <c r="D823" s="48" t="s">
        <v>674</v>
      </c>
      <c r="E823" s="13" t="s">
        <v>613</v>
      </c>
      <c r="F823" s="13">
        <v>12.0</v>
      </c>
      <c r="G823" s="35" t="str">
        <f t="shared" ref="G823:G824" si="155">IF(C823&gt;40908,"2012",IF(C823&gt;40543,"2011",IF(C823&gt;40178,"2010",IF(C823&gt;=39814,"2009",IF(C823&gt;=39448,"2008",IF(C823&gt;39082,"2007",IF(C823&lt;38717,"Pre-2006","2006")))))))</f>
        <v>2010</v>
      </c>
      <c r="H823" s="13" t="s">
        <v>29</v>
      </c>
      <c r="I823" s="13" t="s">
        <v>675</v>
      </c>
      <c r="J823" s="14">
        <v>2010.0</v>
      </c>
      <c r="K823" s="15">
        <v>0.86</v>
      </c>
      <c r="L823" s="14">
        <v>92.0</v>
      </c>
      <c r="M823" s="16">
        <f t="shared" si="151"/>
        <v>0.9347826087</v>
      </c>
      <c r="N823" s="17"/>
    </row>
    <row r="824">
      <c r="A824" s="9"/>
      <c r="B824" s="38">
        <f t="shared" si="5"/>
        <v>822</v>
      </c>
      <c r="C824" s="70"/>
      <c r="D824" s="48" t="s">
        <v>676</v>
      </c>
      <c r="E824" s="13" t="s">
        <v>613</v>
      </c>
      <c r="F824" s="13">
        <v>12.0</v>
      </c>
      <c r="G824" s="35" t="str">
        <f t="shared" si="155"/>
        <v>Pre-2006</v>
      </c>
      <c r="H824" s="71"/>
      <c r="I824" s="71"/>
      <c r="J824" s="61"/>
      <c r="K824" s="62"/>
      <c r="L824" s="63"/>
      <c r="M824" s="59" t="str">
        <f t="shared" si="151"/>
        <v>NA</v>
      </c>
      <c r="N824" s="17"/>
    </row>
    <row r="825">
      <c r="A825" s="9"/>
      <c r="B825" s="38">
        <f t="shared" si="5"/>
        <v>823</v>
      </c>
      <c r="C825" s="34">
        <v>42729.0</v>
      </c>
      <c r="D825" s="64" t="s">
        <v>677</v>
      </c>
      <c r="E825" s="33" t="s">
        <v>613</v>
      </c>
      <c r="F825" s="33">
        <v>12.0</v>
      </c>
      <c r="G825" s="36">
        <v>2016.0</v>
      </c>
      <c r="H825" s="33" t="s">
        <v>58</v>
      </c>
      <c r="I825" s="33" t="s">
        <v>77</v>
      </c>
      <c r="J825" s="57">
        <v>2015.0</v>
      </c>
      <c r="K825" s="82" t="s">
        <v>169</v>
      </c>
      <c r="L825" s="37">
        <v>98.0</v>
      </c>
      <c r="M825" s="72" t="s">
        <v>169</v>
      </c>
      <c r="N825" s="17"/>
    </row>
    <row r="826">
      <c r="A826" s="9"/>
      <c r="B826" s="38">
        <f t="shared" si="5"/>
        <v>824</v>
      </c>
      <c r="C826" s="70"/>
      <c r="D826" s="48" t="s">
        <v>678</v>
      </c>
      <c r="E826" s="13" t="s">
        <v>613</v>
      </c>
      <c r="F826" s="13">
        <v>12.0</v>
      </c>
      <c r="G826" s="35" t="str">
        <f t="shared" ref="G826:G828" si="156">IF(C826&gt;40908,"2012",IF(C826&gt;40543,"2011",IF(C826&gt;40178,"2010",IF(C826&gt;=39814,"2009",IF(C826&gt;=39448,"2008",IF(C826&gt;39082,"2007",IF(C826&lt;38717,"Pre-2006","2006")))))))</f>
        <v>Pre-2006</v>
      </c>
      <c r="H826" s="71"/>
      <c r="I826" s="71"/>
      <c r="J826" s="61"/>
      <c r="K826" s="62"/>
      <c r="L826" s="63"/>
      <c r="M826" s="59" t="str">
        <f t="shared" ref="M826:M883" si="157">if(iserror(K826/L826*100),"NA",K826/L826*100)</f>
        <v>NA</v>
      </c>
      <c r="N826" s="17"/>
    </row>
    <row r="827">
      <c r="A827" s="9"/>
      <c r="B827" s="38">
        <f t="shared" si="5"/>
        <v>825</v>
      </c>
      <c r="C827" s="70"/>
      <c r="D827" s="48" t="s">
        <v>679</v>
      </c>
      <c r="E827" s="13" t="s">
        <v>613</v>
      </c>
      <c r="F827" s="13">
        <v>12.0</v>
      </c>
      <c r="G827" s="35" t="str">
        <f t="shared" si="156"/>
        <v>Pre-2006</v>
      </c>
      <c r="H827" s="71"/>
      <c r="I827" s="71"/>
      <c r="J827" s="61"/>
      <c r="K827" s="62"/>
      <c r="L827" s="63"/>
      <c r="M827" s="59" t="str">
        <f t="shared" si="157"/>
        <v>NA</v>
      </c>
      <c r="N827" s="17"/>
    </row>
    <row r="828">
      <c r="A828" s="9"/>
      <c r="B828" s="38">
        <f t="shared" si="5"/>
        <v>826</v>
      </c>
      <c r="C828" s="70"/>
      <c r="D828" s="48" t="s">
        <v>680</v>
      </c>
      <c r="E828" s="13" t="s">
        <v>613</v>
      </c>
      <c r="F828" s="13">
        <v>12.0</v>
      </c>
      <c r="G828" s="35" t="str">
        <f t="shared" si="156"/>
        <v>Pre-2006</v>
      </c>
      <c r="H828" s="71"/>
      <c r="I828" s="71"/>
      <c r="J828" s="61"/>
      <c r="K828" s="62"/>
      <c r="L828" s="63"/>
      <c r="M828" s="59" t="str">
        <f t="shared" si="157"/>
        <v>NA</v>
      </c>
      <c r="N828" s="17"/>
    </row>
    <row r="829">
      <c r="A829" s="9"/>
      <c r="B829" s="38">
        <f t="shared" si="5"/>
        <v>827</v>
      </c>
      <c r="C829" s="34">
        <v>44100.0</v>
      </c>
      <c r="D829" s="12" t="str">
        <f>hyperlink("https://www.rottentomatoes.com/m/enola_holmes","Enola Holmes")</f>
        <v>Enola Holmes</v>
      </c>
      <c r="E829" s="33" t="s">
        <v>613</v>
      </c>
      <c r="F829" s="33">
        <v>12.0</v>
      </c>
      <c r="G829" s="36">
        <v>2020.0</v>
      </c>
      <c r="H829" s="33" t="s">
        <v>58</v>
      </c>
      <c r="I829" s="33" t="s">
        <v>77</v>
      </c>
      <c r="J829" s="57">
        <v>2020.0</v>
      </c>
      <c r="K829" s="58">
        <v>0.92</v>
      </c>
      <c r="L829" s="37">
        <v>123.0</v>
      </c>
      <c r="M829" s="59">
        <f t="shared" si="157"/>
        <v>0.7479674797</v>
      </c>
      <c r="N829" s="17"/>
    </row>
    <row r="830">
      <c r="A830" s="9"/>
      <c r="B830" s="38">
        <f t="shared" si="5"/>
        <v>828</v>
      </c>
      <c r="C830" s="70"/>
      <c r="D830" s="48" t="s">
        <v>681</v>
      </c>
      <c r="E830" s="13" t="s">
        <v>613</v>
      </c>
      <c r="F830" s="13">
        <v>12.0</v>
      </c>
      <c r="G830" s="35" t="str">
        <f>IF(C830&gt;40908,"2012",IF(C830&gt;40543,"2011",IF(C830&gt;40178,"2010",IF(C830&gt;=39814,"2009",IF(C830&gt;=39448,"2008",IF(C830&gt;39082,"2007",IF(C830&lt;38717,"Pre-2006","2006")))))))</f>
        <v>Pre-2006</v>
      </c>
      <c r="H830" s="71"/>
      <c r="I830" s="71"/>
      <c r="J830" s="61"/>
      <c r="K830" s="62"/>
      <c r="L830" s="63"/>
      <c r="M830" s="59" t="str">
        <f t="shared" si="157"/>
        <v>NA</v>
      </c>
      <c r="N830" s="17"/>
    </row>
    <row r="831">
      <c r="A831" s="9"/>
      <c r="B831" s="38">
        <f t="shared" si="5"/>
        <v>829</v>
      </c>
      <c r="C831" s="34">
        <v>43450.0</v>
      </c>
      <c r="D831" s="12" t="str">
        <f>hyperlink("https://www.rottentomatoes.com/m/equalizer_2","Equalizer 2, The")</f>
        <v>Equalizer 2, The</v>
      </c>
      <c r="E831" s="33" t="s">
        <v>613</v>
      </c>
      <c r="F831" s="33">
        <v>12.0</v>
      </c>
      <c r="G831" s="36">
        <v>2018.0</v>
      </c>
      <c r="H831" s="33" t="s">
        <v>58</v>
      </c>
      <c r="I831" s="13" t="s">
        <v>47</v>
      </c>
      <c r="J831" s="57">
        <v>2018.0</v>
      </c>
      <c r="K831" s="58">
        <v>0.51</v>
      </c>
      <c r="L831" s="37">
        <v>129.0</v>
      </c>
      <c r="M831" s="59">
        <f t="shared" si="157"/>
        <v>0.3953488372</v>
      </c>
      <c r="N831" s="17"/>
    </row>
    <row r="832">
      <c r="A832" s="9"/>
      <c r="B832" s="38">
        <f t="shared" si="5"/>
        <v>830</v>
      </c>
      <c r="C832" s="34"/>
      <c r="D832" s="48" t="s">
        <v>682</v>
      </c>
      <c r="E832" s="13" t="s">
        <v>613</v>
      </c>
      <c r="F832" s="13">
        <v>12.0</v>
      </c>
      <c r="G832" s="35" t="str">
        <f t="shared" ref="G832:G834" si="158">IF(C832&gt;40908,"2012",IF(C832&gt;40543,"2011",IF(C832&gt;40178,"2010",IF(C832&gt;=39814,"2009",IF(C832&gt;=39448,"2008",IF(C832&gt;39082,"2007",IF(C832&lt;38717,"Pre-2006","2006")))))))</f>
        <v>Pre-2006</v>
      </c>
      <c r="H832" s="71"/>
      <c r="I832" s="71"/>
      <c r="J832" s="61"/>
      <c r="K832" s="62"/>
      <c r="L832" s="63"/>
      <c r="M832" s="59" t="str">
        <f t="shared" si="157"/>
        <v>NA</v>
      </c>
      <c r="N832" s="17"/>
    </row>
    <row r="833">
      <c r="A833" s="9"/>
      <c r="B833" s="38">
        <f t="shared" si="5"/>
        <v>831</v>
      </c>
      <c r="C833" s="34"/>
      <c r="D833" s="48" t="s">
        <v>683</v>
      </c>
      <c r="E833" s="13" t="s">
        <v>613</v>
      </c>
      <c r="F833" s="13">
        <v>12.0</v>
      </c>
      <c r="G833" s="35" t="str">
        <f t="shared" si="158"/>
        <v>Pre-2006</v>
      </c>
      <c r="H833" s="71"/>
      <c r="I833" s="71"/>
      <c r="J833" s="61"/>
      <c r="K833" s="62"/>
      <c r="L833" s="63"/>
      <c r="M833" s="59" t="str">
        <f t="shared" si="157"/>
        <v>NA</v>
      </c>
      <c r="N833" s="17"/>
    </row>
    <row r="834">
      <c r="A834" s="9"/>
      <c r="B834" s="38">
        <f t="shared" si="5"/>
        <v>832</v>
      </c>
      <c r="C834" s="34"/>
      <c r="D834" s="48" t="s">
        <v>684</v>
      </c>
      <c r="E834" s="13" t="s">
        <v>613</v>
      </c>
      <c r="F834" s="13">
        <v>12.0</v>
      </c>
      <c r="G834" s="35" t="str">
        <f t="shared" si="158"/>
        <v>Pre-2006</v>
      </c>
      <c r="H834" s="71"/>
      <c r="I834" s="71"/>
      <c r="J834" s="61"/>
      <c r="K834" s="62"/>
      <c r="L834" s="63"/>
      <c r="M834" s="59" t="str">
        <f t="shared" si="157"/>
        <v>NA</v>
      </c>
      <c r="N834" s="17"/>
    </row>
    <row r="835">
      <c r="A835" s="9"/>
      <c r="B835" s="38">
        <f t="shared" si="5"/>
        <v>833</v>
      </c>
      <c r="C835" s="34">
        <v>42858.0</v>
      </c>
      <c r="D835" s="12" t="str">
        <f>hyperlink("https://www.rottentomatoes.com/m/fast_five","Fast Five")</f>
        <v>Fast Five</v>
      </c>
      <c r="E835" s="33" t="s">
        <v>613</v>
      </c>
      <c r="F835" s="33">
        <v>12.0</v>
      </c>
      <c r="G835" s="36">
        <v>2017.0</v>
      </c>
      <c r="H835" s="33" t="s">
        <v>58</v>
      </c>
      <c r="I835" s="13" t="s">
        <v>47</v>
      </c>
      <c r="J835" s="57">
        <v>2011.0</v>
      </c>
      <c r="K835" s="58">
        <v>0.75</v>
      </c>
      <c r="L835" s="37">
        <v>135.0</v>
      </c>
      <c r="M835" s="59">
        <f t="shared" si="157"/>
        <v>0.5555555556</v>
      </c>
      <c r="N835" s="17"/>
    </row>
    <row r="836">
      <c r="A836" s="9"/>
      <c r="B836" s="38">
        <f t="shared" si="5"/>
        <v>834</v>
      </c>
      <c r="C836" s="34">
        <v>43589.0</v>
      </c>
      <c r="D836" s="12" t="str">
        <f>HYPERLINK("https://rottentomatoes.com/m/field_of_dreams","Field of Dreams")</f>
        <v>Field of Dreams</v>
      </c>
      <c r="E836" s="33" t="s">
        <v>613</v>
      </c>
      <c r="F836" s="33">
        <v>12.0</v>
      </c>
      <c r="G836" s="36">
        <v>2019.0</v>
      </c>
      <c r="H836" s="33" t="s">
        <v>58</v>
      </c>
      <c r="I836" s="33" t="s">
        <v>47</v>
      </c>
      <c r="J836" s="57">
        <v>1989.0</v>
      </c>
      <c r="K836" s="58">
        <v>0.86</v>
      </c>
      <c r="L836" s="37">
        <v>104.0</v>
      </c>
      <c r="M836" s="59">
        <f t="shared" si="157"/>
        <v>0.8269230769</v>
      </c>
      <c r="N836" s="17"/>
    </row>
    <row r="837">
      <c r="A837" s="9"/>
      <c r="B837" s="38">
        <f t="shared" si="5"/>
        <v>835</v>
      </c>
      <c r="C837" s="34"/>
      <c r="D837" s="48" t="s">
        <v>685</v>
      </c>
      <c r="E837" s="13" t="s">
        <v>613</v>
      </c>
      <c r="F837" s="13">
        <v>12.0</v>
      </c>
      <c r="G837" s="35" t="str">
        <f t="shared" ref="G837:G841" si="159">IF(C837&gt;40908,"2012",IF(C837&gt;40543,"2011",IF(C837&gt;40178,"2010",IF(C837&gt;=39814,"2009",IF(C837&gt;=39448,"2008",IF(C837&gt;39082,"2007",IF(C837&lt;38717,"Pre-2006","2006")))))))</f>
        <v>Pre-2006</v>
      </c>
      <c r="H837" s="71"/>
      <c r="I837" s="71"/>
      <c r="J837" s="61"/>
      <c r="K837" s="62"/>
      <c r="L837" s="63"/>
      <c r="M837" s="59" t="str">
        <f t="shared" si="157"/>
        <v>NA</v>
      </c>
      <c r="N837" s="17"/>
    </row>
    <row r="838">
      <c r="A838" s="9"/>
      <c r="B838" s="38">
        <f t="shared" si="5"/>
        <v>836</v>
      </c>
      <c r="C838" s="34"/>
      <c r="D838" s="48" t="s">
        <v>686</v>
      </c>
      <c r="E838" s="13" t="s">
        <v>613</v>
      </c>
      <c r="F838" s="13">
        <v>12.0</v>
      </c>
      <c r="G838" s="35" t="str">
        <f t="shared" si="159"/>
        <v>Pre-2006</v>
      </c>
      <c r="H838" s="71"/>
      <c r="I838" s="71"/>
      <c r="J838" s="61"/>
      <c r="K838" s="62"/>
      <c r="L838" s="63"/>
      <c r="M838" s="59" t="str">
        <f t="shared" si="157"/>
        <v>NA</v>
      </c>
      <c r="N838" s="17"/>
    </row>
    <row r="839">
      <c r="A839" s="9"/>
      <c r="B839" s="38">
        <f t="shared" si="5"/>
        <v>837</v>
      </c>
      <c r="C839" s="34"/>
      <c r="D839" s="48" t="s">
        <v>687</v>
      </c>
      <c r="E839" s="13" t="s">
        <v>613</v>
      </c>
      <c r="F839" s="13">
        <v>12.0</v>
      </c>
      <c r="G839" s="35" t="str">
        <f t="shared" si="159"/>
        <v>Pre-2006</v>
      </c>
      <c r="H839" s="71"/>
      <c r="I839" s="71"/>
      <c r="J839" s="61"/>
      <c r="K839" s="62"/>
      <c r="L839" s="63"/>
      <c r="M839" s="59" t="str">
        <f t="shared" si="157"/>
        <v>NA</v>
      </c>
      <c r="N839" s="17"/>
    </row>
    <row r="840">
      <c r="A840" s="9"/>
      <c r="B840" s="38">
        <f t="shared" si="5"/>
        <v>838</v>
      </c>
      <c r="C840" s="34">
        <v>39984.0</v>
      </c>
      <c r="D840" s="48" t="s">
        <v>688</v>
      </c>
      <c r="E840" s="13" t="s">
        <v>613</v>
      </c>
      <c r="F840" s="13">
        <v>12.0</v>
      </c>
      <c r="G840" s="35" t="str">
        <f t="shared" si="159"/>
        <v>2009</v>
      </c>
      <c r="H840" s="13" t="s">
        <v>27</v>
      </c>
      <c r="I840" s="13" t="s">
        <v>26</v>
      </c>
      <c r="J840" s="14">
        <v>2009.0</v>
      </c>
      <c r="K840" s="15">
        <v>0.97</v>
      </c>
      <c r="L840" s="14">
        <v>94.0</v>
      </c>
      <c r="M840" s="16">
        <f t="shared" si="157"/>
        <v>1.031914894</v>
      </c>
      <c r="N840" s="17"/>
    </row>
    <row r="841">
      <c r="A841" s="9"/>
      <c r="B841" s="38">
        <f t="shared" si="5"/>
        <v>839</v>
      </c>
      <c r="C841" s="34"/>
      <c r="D841" s="48" t="s">
        <v>276</v>
      </c>
      <c r="E841" s="13" t="s">
        <v>613</v>
      </c>
      <c r="F841" s="13">
        <v>12.0</v>
      </c>
      <c r="G841" s="35" t="str">
        <f t="shared" si="159"/>
        <v>Pre-2006</v>
      </c>
      <c r="H841" s="71"/>
      <c r="I841" s="71"/>
      <c r="J841" s="61"/>
      <c r="K841" s="62"/>
      <c r="L841" s="63"/>
      <c r="M841" s="59" t="str">
        <f t="shared" si="157"/>
        <v>NA</v>
      </c>
      <c r="N841" s="17"/>
    </row>
    <row r="842">
      <c r="A842" s="9"/>
      <c r="B842" s="38">
        <f t="shared" si="5"/>
        <v>840</v>
      </c>
      <c r="C842" s="75">
        <v>45470.0</v>
      </c>
      <c r="D842" s="12" t="str">
        <f>hyperlink("https://www.rottentomatoes.com/m/federer_twelve_final_days","Federer: 12 Final Days")</f>
        <v>Federer: 12 Final Days</v>
      </c>
      <c r="E842" s="33" t="s">
        <v>613</v>
      </c>
      <c r="F842" s="33">
        <v>12.0</v>
      </c>
      <c r="G842" s="36">
        <v>2024.0</v>
      </c>
      <c r="H842" s="33" t="s">
        <v>58</v>
      </c>
      <c r="I842" s="33" t="s">
        <v>279</v>
      </c>
      <c r="J842" s="57">
        <v>2024.0</v>
      </c>
      <c r="K842" s="58">
        <v>0.58</v>
      </c>
      <c r="L842" s="37">
        <v>100.0</v>
      </c>
      <c r="M842" s="16">
        <f t="shared" si="157"/>
        <v>0.58</v>
      </c>
      <c r="N842" s="17"/>
    </row>
    <row r="843">
      <c r="A843" s="9"/>
      <c r="B843" s="38">
        <f t="shared" si="5"/>
        <v>841</v>
      </c>
      <c r="C843" s="70"/>
      <c r="D843" s="48" t="s">
        <v>689</v>
      </c>
      <c r="E843" s="13" t="s">
        <v>613</v>
      </c>
      <c r="F843" s="13">
        <v>12.0</v>
      </c>
      <c r="G843" s="35" t="str">
        <f>IF(C843&gt;40908,"2012",IF(C843&gt;40543,"2011",IF(C843&gt;40178,"2010",IF(C843&gt;=39814,"2009",IF(C843&gt;=39448,"2008",IF(C843&gt;39082,"2007",IF(C843&lt;38717,"Pre-2006","2006")))))))</f>
        <v>Pre-2006</v>
      </c>
      <c r="H843" s="71"/>
      <c r="I843" s="71"/>
      <c r="J843" s="61"/>
      <c r="K843" s="62"/>
      <c r="L843" s="63"/>
      <c r="M843" s="59" t="str">
        <f t="shared" si="157"/>
        <v>NA</v>
      </c>
      <c r="N843" s="17"/>
    </row>
    <row r="844">
      <c r="A844" s="9"/>
      <c r="B844" s="38">
        <f t="shared" si="5"/>
        <v>842</v>
      </c>
      <c r="C844" s="34">
        <v>44548.0</v>
      </c>
      <c r="D844" s="12" t="str">
        <f>hyperlink("https://www.rottentomatoes.com/m/free_guy","Free Guy")</f>
        <v>Free Guy</v>
      </c>
      <c r="E844" s="33" t="s">
        <v>613</v>
      </c>
      <c r="F844" s="33">
        <v>12.0</v>
      </c>
      <c r="G844" s="36">
        <v>2021.0</v>
      </c>
      <c r="H844" s="33" t="s">
        <v>58</v>
      </c>
      <c r="I844" s="33" t="s">
        <v>471</v>
      </c>
      <c r="J844" s="57">
        <v>2021.0</v>
      </c>
      <c r="K844" s="58">
        <v>0.8</v>
      </c>
      <c r="L844" s="37">
        <v>115.0</v>
      </c>
      <c r="M844" s="16">
        <f t="shared" si="157"/>
        <v>0.6956521739</v>
      </c>
      <c r="N844" s="17"/>
    </row>
    <row r="845">
      <c r="A845" s="9"/>
      <c r="B845" s="38">
        <f t="shared" si="5"/>
        <v>843</v>
      </c>
      <c r="C845" s="70"/>
      <c r="D845" s="48" t="s">
        <v>690</v>
      </c>
      <c r="E845" s="13" t="s">
        <v>613</v>
      </c>
      <c r="F845" s="13">
        <v>12.0</v>
      </c>
      <c r="G845" s="35" t="str">
        <f t="shared" ref="G845:G849" si="160">IF(C845&gt;40908,"2012",IF(C845&gt;40543,"2011",IF(C845&gt;40178,"2010",IF(C845&gt;=39814,"2009",IF(C845&gt;=39448,"2008",IF(C845&gt;39082,"2007",IF(C845&lt;38717,"Pre-2006","2006")))))))</f>
        <v>Pre-2006</v>
      </c>
      <c r="H845" s="71"/>
      <c r="I845" s="71"/>
      <c r="J845" s="61"/>
      <c r="K845" s="62"/>
      <c r="L845" s="63"/>
      <c r="M845" s="59" t="str">
        <f t="shared" si="157"/>
        <v>NA</v>
      </c>
      <c r="N845" s="17"/>
    </row>
    <row r="846">
      <c r="A846" s="9"/>
      <c r="B846" s="38">
        <f t="shared" si="5"/>
        <v>844</v>
      </c>
      <c r="C846" s="70"/>
      <c r="D846" s="48" t="s">
        <v>691</v>
      </c>
      <c r="E846" s="13" t="s">
        <v>613</v>
      </c>
      <c r="F846" s="13">
        <v>12.0</v>
      </c>
      <c r="G846" s="35" t="str">
        <f t="shared" si="160"/>
        <v>Pre-2006</v>
      </c>
      <c r="H846" s="71"/>
      <c r="I846" s="71"/>
      <c r="J846" s="61"/>
      <c r="K846" s="62"/>
      <c r="L846" s="63"/>
      <c r="M846" s="59" t="str">
        <f t="shared" si="157"/>
        <v>NA</v>
      </c>
      <c r="N846" s="17"/>
    </row>
    <row r="847">
      <c r="A847" s="9"/>
      <c r="B847" s="38">
        <f t="shared" si="5"/>
        <v>845</v>
      </c>
      <c r="C847" s="34">
        <v>39197.0</v>
      </c>
      <c r="D847" s="48" t="s">
        <v>692</v>
      </c>
      <c r="E847" s="13" t="s">
        <v>613</v>
      </c>
      <c r="F847" s="13">
        <v>12.0</v>
      </c>
      <c r="G847" s="35" t="str">
        <f t="shared" si="160"/>
        <v>2007</v>
      </c>
      <c r="H847" s="71"/>
      <c r="I847" s="71"/>
      <c r="J847" s="61"/>
      <c r="K847" s="62"/>
      <c r="L847" s="63"/>
      <c r="M847" s="59" t="str">
        <f t="shared" si="157"/>
        <v>NA</v>
      </c>
      <c r="N847" s="17"/>
    </row>
    <row r="848">
      <c r="A848" s="9"/>
      <c r="B848" s="38">
        <f t="shared" si="5"/>
        <v>846</v>
      </c>
      <c r="C848" s="34">
        <v>40008.0</v>
      </c>
      <c r="D848" s="48" t="s">
        <v>693</v>
      </c>
      <c r="E848" s="13" t="s">
        <v>613</v>
      </c>
      <c r="F848" s="13">
        <v>12.0</v>
      </c>
      <c r="G848" s="35" t="str">
        <f t="shared" si="160"/>
        <v>2009</v>
      </c>
      <c r="H848" s="13" t="s">
        <v>27</v>
      </c>
      <c r="I848" s="13" t="s">
        <v>26</v>
      </c>
      <c r="J848" s="14">
        <v>2009.0</v>
      </c>
      <c r="K848" s="15">
        <v>0.65</v>
      </c>
      <c r="L848" s="14">
        <v>140.0</v>
      </c>
      <c r="M848" s="16">
        <f t="shared" si="157"/>
        <v>0.4642857143</v>
      </c>
      <c r="N848" s="17"/>
    </row>
    <row r="849">
      <c r="A849" s="9"/>
      <c r="B849" s="38">
        <f t="shared" si="5"/>
        <v>847</v>
      </c>
      <c r="C849" s="34">
        <v>39781.0</v>
      </c>
      <c r="D849" s="48" t="s">
        <v>694</v>
      </c>
      <c r="E849" s="13" t="s">
        <v>613</v>
      </c>
      <c r="F849" s="13">
        <v>12.0</v>
      </c>
      <c r="G849" s="35" t="str">
        <f t="shared" si="160"/>
        <v>2008</v>
      </c>
      <c r="H849" s="13" t="s">
        <v>27</v>
      </c>
      <c r="I849" s="13" t="s">
        <v>47</v>
      </c>
      <c r="J849" s="14">
        <v>2008.0</v>
      </c>
      <c r="K849" s="15">
        <v>0.53</v>
      </c>
      <c r="L849" s="14">
        <v>110.0</v>
      </c>
      <c r="M849" s="16">
        <f t="shared" si="157"/>
        <v>0.4818181818</v>
      </c>
      <c r="N849" s="17"/>
    </row>
    <row r="850">
      <c r="A850" s="9"/>
      <c r="B850" s="38">
        <f t="shared" si="5"/>
        <v>848</v>
      </c>
      <c r="C850" s="34">
        <v>41391.0</v>
      </c>
      <c r="D850" s="48" t="s">
        <v>695</v>
      </c>
      <c r="E850" s="13" t="s">
        <v>613</v>
      </c>
      <c r="F850" s="13">
        <v>12.0</v>
      </c>
      <c r="G850" s="13">
        <v>2013.0</v>
      </c>
      <c r="H850" s="13" t="s">
        <v>25</v>
      </c>
      <c r="I850" s="13" t="s">
        <v>47</v>
      </c>
      <c r="J850" s="55">
        <v>2012.0</v>
      </c>
      <c r="K850" s="56">
        <v>0.71</v>
      </c>
      <c r="L850" s="14">
        <v>94.0</v>
      </c>
      <c r="M850" s="16">
        <f t="shared" si="157"/>
        <v>0.7553191489</v>
      </c>
      <c r="N850" s="17"/>
    </row>
    <row r="851">
      <c r="A851" s="9"/>
      <c r="B851" s="38">
        <f t="shared" si="5"/>
        <v>849</v>
      </c>
      <c r="C851" s="34">
        <v>43139.0</v>
      </c>
      <c r="D851" s="12" t="str">
        <f>hyperlink("https://www.rottentomatoes.com/m/girls_trip","Girls Trip")</f>
        <v>Girls Trip</v>
      </c>
      <c r="E851" s="33" t="s">
        <v>613</v>
      </c>
      <c r="F851" s="33">
        <v>12.0</v>
      </c>
      <c r="G851" s="36">
        <v>2018.0</v>
      </c>
      <c r="H851" s="33" t="s">
        <v>58</v>
      </c>
      <c r="I851" s="33" t="s">
        <v>47</v>
      </c>
      <c r="J851" s="57">
        <v>2017.0</v>
      </c>
      <c r="K851" s="58">
        <v>0.9</v>
      </c>
      <c r="L851" s="37">
        <v>122.0</v>
      </c>
      <c r="M851" s="16">
        <f t="shared" si="157"/>
        <v>0.737704918</v>
      </c>
      <c r="N851" s="17"/>
    </row>
    <row r="852">
      <c r="A852" s="9"/>
      <c r="B852" s="38">
        <f t="shared" si="5"/>
        <v>850</v>
      </c>
      <c r="C852" s="34">
        <v>44918.0</v>
      </c>
      <c r="D852" s="12" t="str">
        <f>hyperlink("https://www.rottentomatoes.com/m/glass_onion_a_knives_out_mystery","Glass Onion: A Knives Out Mystery")</f>
        <v>Glass Onion: A Knives Out Mystery</v>
      </c>
      <c r="E852" s="33" t="s">
        <v>613</v>
      </c>
      <c r="F852" s="33">
        <v>12.0</v>
      </c>
      <c r="G852" s="36">
        <v>2022.0</v>
      </c>
      <c r="H852" s="33" t="s">
        <v>696</v>
      </c>
      <c r="I852" s="33" t="s">
        <v>77</v>
      </c>
      <c r="J852" s="57">
        <v>2022.0</v>
      </c>
      <c r="K852" s="58">
        <v>0.93</v>
      </c>
      <c r="L852" s="37">
        <v>140.0</v>
      </c>
      <c r="M852" s="16">
        <f t="shared" si="157"/>
        <v>0.6642857143</v>
      </c>
      <c r="N852" s="17"/>
    </row>
    <row r="853">
      <c r="A853" s="9"/>
      <c r="B853" s="38">
        <f t="shared" si="5"/>
        <v>851</v>
      </c>
      <c r="C853" s="70"/>
      <c r="D853" s="48" t="s">
        <v>697</v>
      </c>
      <c r="E853" s="13" t="s">
        <v>613</v>
      </c>
      <c r="F853" s="13">
        <v>12.0</v>
      </c>
      <c r="G853" s="35" t="str">
        <f t="shared" ref="G853:G856" si="161">IF(C853&gt;40908,"2012",IF(C853&gt;40543,"2011",IF(C853&gt;40178,"2010",IF(C853&gt;=39814,"2009",IF(C853&gt;=39448,"2008",IF(C853&gt;39082,"2007",IF(C853&lt;38717,"Pre-2006","2006")))))))</f>
        <v>Pre-2006</v>
      </c>
      <c r="H853" s="71"/>
      <c r="I853" s="71"/>
      <c r="J853" s="61"/>
      <c r="K853" s="62"/>
      <c r="L853" s="63"/>
      <c r="M853" s="59" t="str">
        <f t="shared" si="157"/>
        <v>NA</v>
      </c>
      <c r="N853" s="17"/>
    </row>
    <row r="854">
      <c r="A854" s="9"/>
      <c r="B854" s="38">
        <f t="shared" si="5"/>
        <v>852</v>
      </c>
      <c r="C854" s="70"/>
      <c r="D854" s="48" t="s">
        <v>698</v>
      </c>
      <c r="E854" s="13" t="s">
        <v>613</v>
      </c>
      <c r="F854" s="13">
        <v>12.0</v>
      </c>
      <c r="G854" s="35" t="str">
        <f t="shared" si="161"/>
        <v>Pre-2006</v>
      </c>
      <c r="H854" s="71"/>
      <c r="I854" s="71"/>
      <c r="J854" s="61"/>
      <c r="K854" s="62"/>
      <c r="L854" s="63"/>
      <c r="M854" s="59" t="str">
        <f t="shared" si="157"/>
        <v>NA</v>
      </c>
      <c r="N854" s="17"/>
    </row>
    <row r="855">
      <c r="A855" s="9"/>
      <c r="B855" s="38">
        <f t="shared" si="5"/>
        <v>853</v>
      </c>
      <c r="C855" s="70"/>
      <c r="D855" s="48" t="s">
        <v>699</v>
      </c>
      <c r="E855" s="13" t="s">
        <v>613</v>
      </c>
      <c r="F855" s="13">
        <v>12.0</v>
      </c>
      <c r="G855" s="35" t="str">
        <f t="shared" si="161"/>
        <v>Pre-2006</v>
      </c>
      <c r="H855" s="71"/>
      <c r="I855" s="71"/>
      <c r="J855" s="61"/>
      <c r="K855" s="62"/>
      <c r="L855" s="63"/>
      <c r="M855" s="59" t="str">
        <f t="shared" si="157"/>
        <v>NA</v>
      </c>
      <c r="N855" s="17"/>
    </row>
    <row r="856">
      <c r="A856" s="9"/>
      <c r="B856" s="38">
        <f t="shared" si="5"/>
        <v>854</v>
      </c>
      <c r="C856" s="34">
        <v>39823.0</v>
      </c>
      <c r="D856" s="48" t="s">
        <v>700</v>
      </c>
      <c r="E856" s="13" t="s">
        <v>613</v>
      </c>
      <c r="F856" s="13">
        <v>12.0</v>
      </c>
      <c r="G856" s="35" t="str">
        <f t="shared" si="161"/>
        <v>2009</v>
      </c>
      <c r="H856" s="13" t="s">
        <v>27</v>
      </c>
      <c r="I856" s="13" t="s">
        <v>26</v>
      </c>
      <c r="J856" s="14">
        <v>2008.0</v>
      </c>
      <c r="K856" s="15">
        <v>0.76</v>
      </c>
      <c r="L856" s="14">
        <v>116.0</v>
      </c>
      <c r="M856" s="16">
        <f t="shared" si="157"/>
        <v>0.6551724138</v>
      </c>
      <c r="N856" s="17"/>
    </row>
    <row r="857">
      <c r="A857" s="9"/>
      <c r="B857" s="38">
        <f t="shared" si="5"/>
        <v>855</v>
      </c>
      <c r="C857" s="34">
        <v>45327.0</v>
      </c>
      <c r="D857" s="12" t="str">
        <f>hyperlink("https://www.rottentomatoes.com/m/the_greatest_night_in_pop","Greatest Night in Pop, The")</f>
        <v>Greatest Night in Pop, The</v>
      </c>
      <c r="E857" s="33" t="s">
        <v>613</v>
      </c>
      <c r="F857" s="33">
        <v>12.0</v>
      </c>
      <c r="G857" s="36">
        <v>2024.0</v>
      </c>
      <c r="H857" s="33" t="s">
        <v>58</v>
      </c>
      <c r="I857" s="33" t="s">
        <v>77</v>
      </c>
      <c r="J857" s="57">
        <v>2024.0</v>
      </c>
      <c r="K857" s="58">
        <v>0.98</v>
      </c>
      <c r="L857" s="37">
        <v>96.0</v>
      </c>
      <c r="M857" s="16">
        <f t="shared" si="157"/>
        <v>1.020833333</v>
      </c>
      <c r="N857" s="17"/>
    </row>
    <row r="858">
      <c r="A858" s="9"/>
      <c r="B858" s="38">
        <f t="shared" si="5"/>
        <v>856</v>
      </c>
      <c r="C858" s="70"/>
      <c r="D858" s="48" t="s">
        <v>701</v>
      </c>
      <c r="E858" s="13" t="s">
        <v>613</v>
      </c>
      <c r="F858" s="13">
        <v>12.0</v>
      </c>
      <c r="G858" s="35" t="str">
        <f t="shared" ref="G858:G865" si="162">IF(C858&gt;40908,"2012",IF(C858&gt;40543,"2011",IF(C858&gt;40178,"2010",IF(C858&gt;=39814,"2009",IF(C858&gt;=39448,"2008",IF(C858&gt;39082,"2007",IF(C858&lt;38717,"Pre-2006","2006")))))))</f>
        <v>Pre-2006</v>
      </c>
      <c r="H858" s="71"/>
      <c r="I858" s="71"/>
      <c r="J858" s="61"/>
      <c r="K858" s="62"/>
      <c r="L858" s="63"/>
      <c r="M858" s="59" t="str">
        <f t="shared" si="157"/>
        <v>NA</v>
      </c>
      <c r="N858" s="17"/>
    </row>
    <row r="859">
      <c r="A859" s="9"/>
      <c r="B859" s="38">
        <f t="shared" si="5"/>
        <v>857</v>
      </c>
      <c r="C859" s="70"/>
      <c r="D859" s="48" t="s">
        <v>702</v>
      </c>
      <c r="E859" s="13" t="s">
        <v>613</v>
      </c>
      <c r="F859" s="13">
        <v>12.0</v>
      </c>
      <c r="G859" s="35" t="str">
        <f t="shared" si="162"/>
        <v>Pre-2006</v>
      </c>
      <c r="H859" s="71"/>
      <c r="I859" s="71"/>
      <c r="J859" s="61"/>
      <c r="K859" s="62"/>
      <c r="L859" s="63"/>
      <c r="M859" s="59" t="str">
        <f t="shared" si="157"/>
        <v>NA</v>
      </c>
      <c r="N859" s="17"/>
    </row>
    <row r="860">
      <c r="A860" s="9"/>
      <c r="B860" s="38">
        <f t="shared" si="5"/>
        <v>858</v>
      </c>
      <c r="C860" s="34">
        <v>39699.0</v>
      </c>
      <c r="D860" s="48" t="s">
        <v>703</v>
      </c>
      <c r="E860" s="13" t="s">
        <v>613</v>
      </c>
      <c r="F860" s="13">
        <v>12.0</v>
      </c>
      <c r="G860" s="35" t="str">
        <f t="shared" si="162"/>
        <v>2008</v>
      </c>
      <c r="H860" s="13" t="s">
        <v>35</v>
      </c>
      <c r="I860" s="13" t="s">
        <v>26</v>
      </c>
      <c r="J860" s="14">
        <v>2008.0</v>
      </c>
      <c r="K860" s="15">
        <v>0.62</v>
      </c>
      <c r="L860" s="14">
        <v>92.0</v>
      </c>
      <c r="M860" s="16">
        <f t="shared" si="157"/>
        <v>0.6739130435</v>
      </c>
      <c r="N860" s="17"/>
    </row>
    <row r="861">
      <c r="A861" s="9"/>
      <c r="B861" s="38">
        <f t="shared" si="5"/>
        <v>859</v>
      </c>
      <c r="C861" s="34">
        <v>39983.0</v>
      </c>
      <c r="D861" s="48" t="s">
        <v>704</v>
      </c>
      <c r="E861" s="13" t="s">
        <v>613</v>
      </c>
      <c r="F861" s="13">
        <v>12.0</v>
      </c>
      <c r="G861" s="35" t="str">
        <f t="shared" si="162"/>
        <v>2009</v>
      </c>
      <c r="H861" s="13" t="s">
        <v>27</v>
      </c>
      <c r="I861" s="13" t="s">
        <v>26</v>
      </c>
      <c r="J861" s="14">
        <v>2009.0</v>
      </c>
      <c r="K861" s="15">
        <v>0.78</v>
      </c>
      <c r="L861" s="14">
        <v>100.0</v>
      </c>
      <c r="M861" s="16">
        <f t="shared" si="157"/>
        <v>0.78</v>
      </c>
      <c r="N861" s="17"/>
    </row>
    <row r="862">
      <c r="A862" s="9"/>
      <c r="B862" s="38">
        <f t="shared" si="5"/>
        <v>860</v>
      </c>
      <c r="C862" s="34">
        <v>40648.0</v>
      </c>
      <c r="D862" s="48" t="s">
        <v>705</v>
      </c>
      <c r="E862" s="13" t="s">
        <v>613</v>
      </c>
      <c r="F862" s="13">
        <v>12.0</v>
      </c>
      <c r="G862" s="35" t="str">
        <f t="shared" si="162"/>
        <v>2011</v>
      </c>
      <c r="H862" s="13" t="s">
        <v>25</v>
      </c>
      <c r="I862" s="13" t="s">
        <v>26</v>
      </c>
      <c r="J862" s="14">
        <v>2011.0</v>
      </c>
      <c r="K862" s="15">
        <v>0.71</v>
      </c>
      <c r="L862" s="14">
        <v>111.0</v>
      </c>
      <c r="M862" s="16">
        <f t="shared" si="157"/>
        <v>0.6396396396</v>
      </c>
      <c r="N862" s="17"/>
    </row>
    <row r="863">
      <c r="A863" s="9"/>
      <c r="B863" s="38">
        <f t="shared" si="5"/>
        <v>861</v>
      </c>
      <c r="C863" s="70"/>
      <c r="D863" s="48" t="s">
        <v>706</v>
      </c>
      <c r="E863" s="13" t="s">
        <v>613</v>
      </c>
      <c r="F863" s="13">
        <v>12.0</v>
      </c>
      <c r="G863" s="35" t="str">
        <f t="shared" si="162"/>
        <v>Pre-2006</v>
      </c>
      <c r="H863" s="71"/>
      <c r="I863" s="71"/>
      <c r="J863" s="61"/>
      <c r="K863" s="62"/>
      <c r="L863" s="63"/>
      <c r="M863" s="59" t="str">
        <f t="shared" si="157"/>
        <v>NA</v>
      </c>
      <c r="N863" s="17"/>
    </row>
    <row r="864">
      <c r="A864" s="9"/>
      <c r="B864" s="38">
        <f t="shared" si="5"/>
        <v>862</v>
      </c>
      <c r="C864" s="70"/>
      <c r="D864" s="48" t="s">
        <v>707</v>
      </c>
      <c r="E864" s="13" t="s">
        <v>613</v>
      </c>
      <c r="F864" s="13">
        <v>12.0</v>
      </c>
      <c r="G864" s="35" t="str">
        <f t="shared" si="162"/>
        <v>Pre-2006</v>
      </c>
      <c r="H864" s="71"/>
      <c r="I864" s="71"/>
      <c r="J864" s="61"/>
      <c r="K864" s="62"/>
      <c r="L864" s="63"/>
      <c r="M864" s="59" t="str">
        <f t="shared" si="157"/>
        <v>NA</v>
      </c>
      <c r="N864" s="17"/>
    </row>
    <row r="865">
      <c r="A865" s="9"/>
      <c r="B865" s="38">
        <f t="shared" si="5"/>
        <v>863</v>
      </c>
      <c r="C865" s="70"/>
      <c r="D865" s="48" t="s">
        <v>708</v>
      </c>
      <c r="E865" s="13" t="s">
        <v>613</v>
      </c>
      <c r="F865" s="13">
        <v>12.0</v>
      </c>
      <c r="G865" s="35" t="str">
        <f t="shared" si="162"/>
        <v>Pre-2006</v>
      </c>
      <c r="H865" s="71"/>
      <c r="I865" s="71"/>
      <c r="J865" s="61"/>
      <c r="K865" s="62"/>
      <c r="L865" s="63"/>
      <c r="M865" s="59" t="str">
        <f t="shared" si="157"/>
        <v>NA</v>
      </c>
      <c r="N865" s="17"/>
    </row>
    <row r="866">
      <c r="A866" s="9"/>
      <c r="B866" s="38">
        <f t="shared" si="5"/>
        <v>864</v>
      </c>
      <c r="C866" s="34">
        <v>41854.0</v>
      </c>
      <c r="D866" s="12" t="str">
        <f>hyperlink("http://www.rottentomatoes.com/m/helvetica/","Helvetica")</f>
        <v>Helvetica</v>
      </c>
      <c r="E866" s="13" t="s">
        <v>613</v>
      </c>
      <c r="F866" s="13">
        <v>12.0</v>
      </c>
      <c r="G866" s="13">
        <v>2014.0</v>
      </c>
      <c r="H866" s="13" t="s">
        <v>25</v>
      </c>
      <c r="I866" s="13" t="s">
        <v>47</v>
      </c>
      <c r="J866" s="55">
        <v>2007.0</v>
      </c>
      <c r="K866" s="56">
        <v>0.89</v>
      </c>
      <c r="L866" s="14">
        <v>80.0</v>
      </c>
      <c r="M866" s="16">
        <f t="shared" si="157"/>
        <v>1.1125</v>
      </c>
      <c r="N866" s="17"/>
    </row>
    <row r="867">
      <c r="A867" s="9"/>
      <c r="B867" s="38">
        <f t="shared" si="5"/>
        <v>865</v>
      </c>
      <c r="C867" s="70"/>
      <c r="D867" s="48" t="s">
        <v>709</v>
      </c>
      <c r="E867" s="13" t="s">
        <v>613</v>
      </c>
      <c r="F867" s="13">
        <v>12.0</v>
      </c>
      <c r="G867" s="35" t="str">
        <f t="shared" ref="G867:G868" si="163">IF(C867&gt;40908,"2012",IF(C867&gt;40543,"2011",IF(C867&gt;40178,"2010",IF(C867&gt;=39814,"2009",IF(C867&gt;=39448,"2008",IF(C867&gt;39082,"2007",IF(C867&lt;38717,"Pre-2006","2006")))))))</f>
        <v>Pre-2006</v>
      </c>
      <c r="H867" s="71"/>
      <c r="I867" s="71"/>
      <c r="J867" s="61"/>
      <c r="K867" s="62"/>
      <c r="L867" s="63"/>
      <c r="M867" s="59" t="str">
        <f t="shared" si="157"/>
        <v>NA</v>
      </c>
      <c r="N867" s="17"/>
    </row>
    <row r="868">
      <c r="A868" s="9"/>
      <c r="B868" s="38">
        <f t="shared" si="5"/>
        <v>866</v>
      </c>
      <c r="C868" s="34">
        <v>38995.0</v>
      </c>
      <c r="D868" s="48" t="s">
        <v>710</v>
      </c>
      <c r="E868" s="13" t="s">
        <v>613</v>
      </c>
      <c r="F868" s="13">
        <v>12.0</v>
      </c>
      <c r="G868" s="35" t="str">
        <f t="shared" si="163"/>
        <v>2006</v>
      </c>
      <c r="H868" s="71"/>
      <c r="I868" s="71"/>
      <c r="J868" s="61"/>
      <c r="K868" s="62"/>
      <c r="L868" s="63"/>
      <c r="M868" s="59" t="str">
        <f t="shared" si="157"/>
        <v>NA</v>
      </c>
      <c r="N868" s="17"/>
    </row>
    <row r="869">
      <c r="A869" s="9"/>
      <c r="B869" s="38">
        <f t="shared" si="5"/>
        <v>867</v>
      </c>
      <c r="C869" s="34">
        <v>44856.0</v>
      </c>
      <c r="D869" s="12" t="str">
        <f>hyperlink("https://www.rottentomatoes.com/m/hope_springs_2012","Hope Springs")</f>
        <v>Hope Springs</v>
      </c>
      <c r="E869" s="33" t="s">
        <v>613</v>
      </c>
      <c r="F869" s="33">
        <v>12.0</v>
      </c>
      <c r="G869" s="36">
        <v>2022.0</v>
      </c>
      <c r="H869" s="33" t="s">
        <v>411</v>
      </c>
      <c r="I869" s="33" t="s">
        <v>77</v>
      </c>
      <c r="J869" s="57">
        <v>2022.0</v>
      </c>
      <c r="K869" s="58">
        <v>0.75</v>
      </c>
      <c r="L869" s="37">
        <v>100.0</v>
      </c>
      <c r="M869" s="16">
        <f t="shared" si="157"/>
        <v>0.75</v>
      </c>
      <c r="N869" s="17"/>
    </row>
    <row r="870">
      <c r="A870" s="9"/>
      <c r="B870" s="38">
        <f t="shared" si="5"/>
        <v>868</v>
      </c>
      <c r="C870" s="70"/>
      <c r="D870" s="48" t="s">
        <v>711</v>
      </c>
      <c r="E870" s="13" t="s">
        <v>613</v>
      </c>
      <c r="F870" s="13">
        <v>12.0</v>
      </c>
      <c r="G870" s="35" t="str">
        <f t="shared" ref="G870:G873" si="164">IF(C870&gt;40908,"2012",IF(C870&gt;40543,"2011",IF(C870&gt;40178,"2010",IF(C870&gt;=39814,"2009",IF(C870&gt;=39448,"2008",IF(C870&gt;39082,"2007",IF(C870&lt;38717,"Pre-2006","2006")))))))</f>
        <v>Pre-2006</v>
      </c>
      <c r="H870" s="71"/>
      <c r="I870" s="71"/>
      <c r="J870" s="61"/>
      <c r="K870" s="62"/>
      <c r="L870" s="63"/>
      <c r="M870" s="59" t="str">
        <f t="shared" si="157"/>
        <v>NA</v>
      </c>
      <c r="N870" s="17"/>
    </row>
    <row r="871">
      <c r="A871" s="9"/>
      <c r="B871" s="38">
        <f t="shared" si="5"/>
        <v>869</v>
      </c>
      <c r="C871" s="70"/>
      <c r="D871" s="48" t="s">
        <v>712</v>
      </c>
      <c r="E871" s="13" t="s">
        <v>613</v>
      </c>
      <c r="F871" s="13">
        <v>12.0</v>
      </c>
      <c r="G871" s="35" t="str">
        <f t="shared" si="164"/>
        <v>Pre-2006</v>
      </c>
      <c r="H871" s="71"/>
      <c r="I871" s="71"/>
      <c r="J871" s="61"/>
      <c r="K871" s="62"/>
      <c r="L871" s="63"/>
      <c r="M871" s="59" t="str">
        <f t="shared" si="157"/>
        <v>NA</v>
      </c>
      <c r="N871" s="17"/>
    </row>
    <row r="872">
      <c r="A872" s="9"/>
      <c r="B872" s="38">
        <f t="shared" si="5"/>
        <v>870</v>
      </c>
      <c r="C872" s="70"/>
      <c r="D872" s="48" t="s">
        <v>713</v>
      </c>
      <c r="E872" s="13" t="s">
        <v>613</v>
      </c>
      <c r="F872" s="13">
        <v>12.0</v>
      </c>
      <c r="G872" s="35" t="str">
        <f t="shared" si="164"/>
        <v>Pre-2006</v>
      </c>
      <c r="H872" s="71"/>
      <c r="I872" s="71"/>
      <c r="J872" s="61"/>
      <c r="K872" s="62"/>
      <c r="L872" s="63"/>
      <c r="M872" s="59" t="str">
        <f t="shared" si="157"/>
        <v>NA</v>
      </c>
      <c r="N872" s="17"/>
    </row>
    <row r="873">
      <c r="A873" s="9"/>
      <c r="B873" s="38">
        <f t="shared" si="5"/>
        <v>871</v>
      </c>
      <c r="C873" s="70"/>
      <c r="D873" s="48" t="s">
        <v>714</v>
      </c>
      <c r="E873" s="13" t="s">
        <v>613</v>
      </c>
      <c r="F873" s="13">
        <v>12.0</v>
      </c>
      <c r="G873" s="35" t="str">
        <f t="shared" si="164"/>
        <v>Pre-2006</v>
      </c>
      <c r="H873" s="71"/>
      <c r="I873" s="71"/>
      <c r="J873" s="61"/>
      <c r="K873" s="62"/>
      <c r="L873" s="63"/>
      <c r="M873" s="59" t="str">
        <f t="shared" si="157"/>
        <v>NA</v>
      </c>
      <c r="N873" s="17"/>
    </row>
    <row r="874">
      <c r="A874" s="9"/>
      <c r="B874" s="38">
        <f t="shared" si="5"/>
        <v>872</v>
      </c>
      <c r="C874" s="34">
        <v>42366.0</v>
      </c>
      <c r="D874" s="12" t="str">
        <f>hyperlink("http://www.rottentomatoes.com/m/the_hunger_games_mockingjay_part_2/?search=hunger%20games","Hunger Games, The; The Mockingjay Part 2)")</f>
        <v>Hunger Games, The; The Mockingjay Part 2)</v>
      </c>
      <c r="E874" s="33" t="s">
        <v>613</v>
      </c>
      <c r="F874" s="33">
        <v>12.0</v>
      </c>
      <c r="G874" s="36">
        <v>2015.0</v>
      </c>
      <c r="H874" s="33" t="s">
        <v>25</v>
      </c>
      <c r="I874" s="33" t="s">
        <v>26</v>
      </c>
      <c r="J874" s="57">
        <v>2015.0</v>
      </c>
      <c r="K874" s="58">
        <v>0.7</v>
      </c>
      <c r="L874" s="37">
        <v>136.0</v>
      </c>
      <c r="M874" s="59">
        <f t="shared" si="157"/>
        <v>0.5147058824</v>
      </c>
      <c r="N874" s="17"/>
    </row>
    <row r="875">
      <c r="A875" s="9"/>
      <c r="B875" s="38">
        <f t="shared" si="5"/>
        <v>873</v>
      </c>
      <c r="C875" s="34">
        <v>42733.0</v>
      </c>
      <c r="D875" s="12" t="str">
        <f>hyperlink("https://www.rottentomatoes.com/m/the_iceman_2013","Iceman, The")</f>
        <v>Iceman, The</v>
      </c>
      <c r="E875" s="33" t="s">
        <v>613</v>
      </c>
      <c r="F875" s="33">
        <v>12.0</v>
      </c>
      <c r="G875" s="33">
        <v>2016.0</v>
      </c>
      <c r="H875" s="33" t="s">
        <v>58</v>
      </c>
      <c r="I875" s="33" t="s">
        <v>77</v>
      </c>
      <c r="J875" s="57">
        <v>2013.0</v>
      </c>
      <c r="K875" s="58">
        <v>0.66</v>
      </c>
      <c r="L875" s="37">
        <v>105.0</v>
      </c>
      <c r="M875" s="59">
        <f t="shared" si="157"/>
        <v>0.6285714286</v>
      </c>
      <c r="N875" s="17"/>
    </row>
    <row r="876">
      <c r="A876" s="9"/>
      <c r="B876" s="38">
        <f t="shared" si="5"/>
        <v>874</v>
      </c>
      <c r="C876" s="34">
        <v>41679.0</v>
      </c>
      <c r="D876" s="48" t="s">
        <v>715</v>
      </c>
      <c r="E876" s="13" t="s">
        <v>613</v>
      </c>
      <c r="F876" s="13">
        <v>12.0</v>
      </c>
      <c r="G876" s="13">
        <v>2013.0</v>
      </c>
      <c r="H876" s="13" t="s">
        <v>25</v>
      </c>
      <c r="I876" s="13" t="s">
        <v>47</v>
      </c>
      <c r="J876" s="55">
        <v>2013.0</v>
      </c>
      <c r="K876" s="56">
        <v>0.92</v>
      </c>
      <c r="L876" s="14">
        <v>91.0</v>
      </c>
      <c r="M876" s="16">
        <f t="shared" si="157"/>
        <v>1.010989011</v>
      </c>
      <c r="N876" s="17"/>
    </row>
    <row r="877">
      <c r="A877" s="9"/>
      <c r="B877" s="38">
        <f t="shared" si="5"/>
        <v>875</v>
      </c>
      <c r="C877" s="70"/>
      <c r="D877" s="48" t="s">
        <v>716</v>
      </c>
      <c r="E877" s="13" t="s">
        <v>613</v>
      </c>
      <c r="F877" s="13">
        <v>12.0</v>
      </c>
      <c r="G877" s="35" t="str">
        <f t="shared" ref="G877:G881" si="165">IF(C877&gt;40908,"2012",IF(C877&gt;40543,"2011",IF(C877&gt;40178,"2010",IF(C877&gt;=39814,"2009",IF(C877&gt;=39448,"2008",IF(C877&gt;39082,"2007",IF(C877&lt;38717,"Pre-2006","2006")))))))</f>
        <v>Pre-2006</v>
      </c>
      <c r="H877" s="71"/>
      <c r="I877" s="71"/>
      <c r="J877" s="61"/>
      <c r="K877" s="62"/>
      <c r="L877" s="63"/>
      <c r="M877" s="59" t="str">
        <f t="shared" si="157"/>
        <v>NA</v>
      </c>
      <c r="N877" s="17"/>
    </row>
    <row r="878">
      <c r="A878" s="9"/>
      <c r="B878" s="38">
        <f t="shared" si="5"/>
        <v>876</v>
      </c>
      <c r="C878" s="34">
        <v>39638.0</v>
      </c>
      <c r="D878" s="48" t="s">
        <v>717</v>
      </c>
      <c r="E878" s="13" t="s">
        <v>613</v>
      </c>
      <c r="F878" s="13">
        <v>12.0</v>
      </c>
      <c r="G878" s="35" t="str">
        <f t="shared" si="165"/>
        <v>2008</v>
      </c>
      <c r="H878" s="13" t="s">
        <v>15</v>
      </c>
      <c r="I878" s="13" t="s">
        <v>26</v>
      </c>
      <c r="J878" s="14">
        <v>2008.0</v>
      </c>
      <c r="K878" s="15">
        <v>1.0</v>
      </c>
      <c r="L878" s="14">
        <v>90.0</v>
      </c>
      <c r="M878" s="16">
        <f t="shared" si="157"/>
        <v>1.111111111</v>
      </c>
      <c r="N878" s="17"/>
    </row>
    <row r="879">
      <c r="A879" s="9"/>
      <c r="B879" s="38">
        <f t="shared" si="5"/>
        <v>877</v>
      </c>
      <c r="C879" s="70"/>
      <c r="D879" s="48" t="s">
        <v>718</v>
      </c>
      <c r="E879" s="13" t="s">
        <v>613</v>
      </c>
      <c r="F879" s="13">
        <v>12.0</v>
      </c>
      <c r="G879" s="35" t="str">
        <f t="shared" si="165"/>
        <v>Pre-2006</v>
      </c>
      <c r="H879" s="71"/>
      <c r="I879" s="71"/>
      <c r="J879" s="61"/>
      <c r="K879" s="62"/>
      <c r="L879" s="63"/>
      <c r="M879" s="59" t="str">
        <f t="shared" si="157"/>
        <v>NA</v>
      </c>
      <c r="N879" s="17"/>
    </row>
    <row r="880">
      <c r="A880" s="9"/>
      <c r="B880" s="38">
        <f t="shared" si="5"/>
        <v>878</v>
      </c>
      <c r="C880" s="70"/>
      <c r="D880" s="48" t="s">
        <v>719</v>
      </c>
      <c r="E880" s="13" t="s">
        <v>613</v>
      </c>
      <c r="F880" s="13">
        <v>12.0</v>
      </c>
      <c r="G880" s="35" t="str">
        <f t="shared" si="165"/>
        <v>Pre-2006</v>
      </c>
      <c r="H880" s="71"/>
      <c r="I880" s="71"/>
      <c r="J880" s="61"/>
      <c r="K880" s="62"/>
      <c r="L880" s="63"/>
      <c r="M880" s="59" t="str">
        <f t="shared" si="157"/>
        <v>NA</v>
      </c>
      <c r="N880" s="17"/>
    </row>
    <row r="881">
      <c r="A881" s="9"/>
      <c r="B881" s="38">
        <f t="shared" si="5"/>
        <v>879</v>
      </c>
      <c r="C881" s="34">
        <v>39590.0</v>
      </c>
      <c r="D881" s="48" t="s">
        <v>720</v>
      </c>
      <c r="E881" s="13" t="s">
        <v>613</v>
      </c>
      <c r="F881" s="13">
        <v>12.0</v>
      </c>
      <c r="G881" s="35" t="str">
        <f t="shared" si="165"/>
        <v>2008</v>
      </c>
      <c r="H881" s="13" t="s">
        <v>17</v>
      </c>
      <c r="I881" s="13" t="s">
        <v>26</v>
      </c>
      <c r="J881" s="14">
        <v>2008.0</v>
      </c>
      <c r="K881" s="15">
        <v>0.77</v>
      </c>
      <c r="L881" s="14">
        <v>124.0</v>
      </c>
      <c r="M881" s="16">
        <f t="shared" si="157"/>
        <v>0.6209677419</v>
      </c>
      <c r="N881" s="17"/>
    </row>
    <row r="882" ht="15.75" customHeight="1">
      <c r="A882" s="9"/>
      <c r="B882" s="38">
        <f t="shared" si="5"/>
        <v>880</v>
      </c>
      <c r="C882" s="34">
        <v>42749.0</v>
      </c>
      <c r="D882" s="12" t="str">
        <f>hyperlink("https://www.rottentomatoes.com/m/the_infiltrator","Infiltrator, The")</f>
        <v>Infiltrator, The</v>
      </c>
      <c r="E882" s="33" t="s">
        <v>613</v>
      </c>
      <c r="F882" s="33">
        <v>12.0</v>
      </c>
      <c r="G882" s="36">
        <v>2017.0</v>
      </c>
      <c r="H882" s="33" t="s">
        <v>58</v>
      </c>
      <c r="I882" s="33" t="s">
        <v>47</v>
      </c>
      <c r="J882" s="37">
        <v>2016.0</v>
      </c>
      <c r="K882" s="15">
        <v>0.69</v>
      </c>
      <c r="L882" s="37">
        <v>127.0</v>
      </c>
      <c r="M882" s="16">
        <f t="shared" si="157"/>
        <v>0.5433070866</v>
      </c>
      <c r="N882" s="17"/>
    </row>
    <row r="883" ht="8.25" customHeight="1">
      <c r="A883" s="9"/>
      <c r="B883" s="38">
        <f t="shared" si="5"/>
        <v>881</v>
      </c>
      <c r="C883" s="34">
        <v>40237.0</v>
      </c>
      <c r="D883" s="48" t="s">
        <v>721</v>
      </c>
      <c r="E883" s="13" t="s">
        <v>613</v>
      </c>
      <c r="F883" s="13">
        <v>12.0</v>
      </c>
      <c r="G883" s="35" t="str">
        <f>IF(C883&gt;40908,"2012",IF(C883&gt;40543,"2011",IF(C883&gt;40178,"2010",IF(C883&gt;=39814,"2009",IF(C883&gt;=39448,"2008",IF(C883&gt;39082,"2007",IF(C883&lt;38717,"Pre-2006","2006")))))))</f>
        <v>2010</v>
      </c>
      <c r="H883" s="13" t="s">
        <v>15</v>
      </c>
      <c r="I883" s="13" t="s">
        <v>47</v>
      </c>
      <c r="J883" s="14">
        <v>2009.0</v>
      </c>
      <c r="K883" s="15">
        <v>0.77</v>
      </c>
      <c r="L883" s="14">
        <v>108.0</v>
      </c>
      <c r="M883" s="16">
        <f t="shared" si="157"/>
        <v>0.712962963</v>
      </c>
      <c r="N883" s="17"/>
    </row>
    <row r="884">
      <c r="A884" s="9"/>
      <c r="B884" s="38">
        <f t="shared" si="5"/>
        <v>882</v>
      </c>
      <c r="C884" s="34">
        <v>42412.0</v>
      </c>
      <c r="D884" s="74" t="str">
        <f>hyperlink("http://www.rottentomatoes.com/m/the_intern/?search=the%20intern","Intern, The")</f>
        <v>Intern, The</v>
      </c>
      <c r="E884" s="33" t="s">
        <v>613</v>
      </c>
      <c r="F884" s="33">
        <v>12.0</v>
      </c>
      <c r="G884" s="33">
        <v>2016.0</v>
      </c>
      <c r="H884" s="33" t="s">
        <v>25</v>
      </c>
      <c r="I884" s="33" t="s">
        <v>47</v>
      </c>
      <c r="J884" s="37">
        <v>2015.0</v>
      </c>
      <c r="K884" s="80">
        <v>0.6</v>
      </c>
      <c r="L884" s="37">
        <v>121.0</v>
      </c>
      <c r="M884" s="16">
        <f>K884/L884*100</f>
        <v>0.4958677686</v>
      </c>
      <c r="N884" s="17"/>
    </row>
    <row r="885">
      <c r="A885" s="9"/>
      <c r="B885" s="38">
        <f t="shared" si="5"/>
        <v>883</v>
      </c>
      <c r="C885" s="34">
        <v>41566.0</v>
      </c>
      <c r="D885" s="48" t="s">
        <v>722</v>
      </c>
      <c r="E885" s="13" t="s">
        <v>613</v>
      </c>
      <c r="F885" s="13">
        <v>12.0</v>
      </c>
      <c r="G885" s="13">
        <v>2013.0</v>
      </c>
      <c r="H885" s="13" t="s">
        <v>126</v>
      </c>
      <c r="I885" s="13" t="s">
        <v>47</v>
      </c>
      <c r="J885" s="14">
        <v>2013.0</v>
      </c>
      <c r="K885" s="15">
        <v>0.35</v>
      </c>
      <c r="L885" s="14">
        <v>119.0</v>
      </c>
      <c r="M885" s="16">
        <f t="shared" ref="M885:M892" si="166">if(iserror(K885/L885*100),"NA",K885/L885*100)</f>
        <v>0.2941176471</v>
      </c>
      <c r="N885" s="17"/>
    </row>
    <row r="886">
      <c r="A886" s="9"/>
      <c r="B886" s="38">
        <f t="shared" si="5"/>
        <v>884</v>
      </c>
      <c r="C886" s="70"/>
      <c r="D886" s="48" t="s">
        <v>723</v>
      </c>
      <c r="E886" s="13" t="s">
        <v>613</v>
      </c>
      <c r="F886" s="13">
        <v>12.0</v>
      </c>
      <c r="G886" s="35" t="str">
        <f>IF(C886&gt;40908,"2012",IF(C886&gt;40543,"2011",IF(C886&gt;40178,"2010",IF(C886&gt;=39814,"2009",IF(C886&gt;=39448,"2008",IF(C886&gt;39082,"2007",IF(C886&lt;38717,"Pre-2006","2006")))))))</f>
        <v>Pre-2006</v>
      </c>
      <c r="H886" s="71"/>
      <c r="I886" s="71"/>
      <c r="J886" s="14">
        <v>1989.0</v>
      </c>
      <c r="K886" s="15">
        <v>0.21</v>
      </c>
      <c r="L886" s="63"/>
      <c r="M886" s="59" t="str">
        <f t="shared" si="166"/>
        <v>NA</v>
      </c>
      <c r="N886" s="17"/>
    </row>
    <row r="887">
      <c r="A887" s="9"/>
      <c r="B887" s="38">
        <f t="shared" si="5"/>
        <v>885</v>
      </c>
      <c r="C887" s="34">
        <v>41969.0</v>
      </c>
      <c r="D887" s="12" t="str">
        <f>hyperlink("http://www.rottentomatoes.com/m/i_know_that_voice/?search=i%20know%20that%20voice","I Know That Voice")</f>
        <v>I Know That Voice</v>
      </c>
      <c r="E887" s="13" t="s">
        <v>613</v>
      </c>
      <c r="F887" s="13">
        <v>12.0</v>
      </c>
      <c r="G887" s="13">
        <v>2014.0</v>
      </c>
      <c r="H887" s="13" t="s">
        <v>25</v>
      </c>
      <c r="I887" s="13" t="s">
        <v>47</v>
      </c>
      <c r="J887" s="55">
        <v>2014.0</v>
      </c>
      <c r="K887" s="88" t="s">
        <v>169</v>
      </c>
      <c r="L887" s="14">
        <v>90.0</v>
      </c>
      <c r="M887" s="89" t="str">
        <f t="shared" si="166"/>
        <v>NA</v>
      </c>
      <c r="N887" s="17"/>
    </row>
    <row r="888">
      <c r="A888" s="9"/>
      <c r="B888" s="38">
        <f t="shared" si="5"/>
        <v>886</v>
      </c>
      <c r="C888" s="70"/>
      <c r="D888" s="48" t="s">
        <v>724</v>
      </c>
      <c r="E888" s="13" t="s">
        <v>613</v>
      </c>
      <c r="F888" s="13">
        <v>12.0</v>
      </c>
      <c r="G888" s="35" t="str">
        <f t="shared" ref="G888:G890" si="167">IF(C888&gt;40908,"2012",IF(C888&gt;40543,"2011",IF(C888&gt;40178,"2010",IF(C888&gt;=39814,"2009",IF(C888&gt;=39448,"2008",IF(C888&gt;39082,"2007",IF(C888&lt;38717,"Pre-2006","2006")))))))</f>
        <v>Pre-2006</v>
      </c>
      <c r="H888" s="13" t="s">
        <v>15</v>
      </c>
      <c r="I888" s="13" t="s">
        <v>16</v>
      </c>
      <c r="J888" s="61"/>
      <c r="K888" s="62"/>
      <c r="L888" s="63"/>
      <c r="M888" s="59" t="str">
        <f t="shared" si="166"/>
        <v>NA</v>
      </c>
      <c r="N888" s="17"/>
    </row>
    <row r="889">
      <c r="A889" s="9"/>
      <c r="B889" s="38">
        <f t="shared" si="5"/>
        <v>887</v>
      </c>
      <c r="C889" s="70"/>
      <c r="D889" s="48" t="s">
        <v>725</v>
      </c>
      <c r="E889" s="13" t="s">
        <v>613</v>
      </c>
      <c r="F889" s="13">
        <v>12.0</v>
      </c>
      <c r="G889" s="35" t="str">
        <f t="shared" si="167"/>
        <v>Pre-2006</v>
      </c>
      <c r="H889" s="71"/>
      <c r="I889" s="71"/>
      <c r="J889" s="61"/>
      <c r="K889" s="62"/>
      <c r="L889" s="63"/>
      <c r="M889" s="59" t="str">
        <f t="shared" si="166"/>
        <v>NA</v>
      </c>
      <c r="N889" s="17"/>
    </row>
    <row r="890">
      <c r="A890" s="9"/>
      <c r="B890" s="38">
        <f t="shared" si="5"/>
        <v>888</v>
      </c>
      <c r="C890" s="70"/>
      <c r="D890" s="48" t="s">
        <v>726</v>
      </c>
      <c r="E890" s="13" t="s">
        <v>613</v>
      </c>
      <c r="F890" s="13">
        <v>12.0</v>
      </c>
      <c r="G890" s="35" t="str">
        <f t="shared" si="167"/>
        <v>Pre-2006</v>
      </c>
      <c r="H890" s="71"/>
      <c r="I890" s="71"/>
      <c r="J890" s="61"/>
      <c r="K890" s="62"/>
      <c r="L890" s="63"/>
      <c r="M890" s="59" t="str">
        <f t="shared" si="166"/>
        <v>NA</v>
      </c>
      <c r="N890" s="17"/>
    </row>
    <row r="891">
      <c r="A891" s="9"/>
      <c r="B891" s="38">
        <f t="shared" si="5"/>
        <v>889</v>
      </c>
      <c r="C891" s="34">
        <v>43275.0</v>
      </c>
      <c r="D891" s="12" t="str">
        <f>hyperlink("https://www.rottentomatoes.com/m/jumanji_welcome_to_the_jungle","Jumanji: Welcome to the Jungle")</f>
        <v>Jumanji: Welcome to the Jungle</v>
      </c>
      <c r="E891" s="33" t="s">
        <v>613</v>
      </c>
      <c r="F891" s="33">
        <v>12.0</v>
      </c>
      <c r="G891" s="36">
        <v>2018.0</v>
      </c>
      <c r="H891" s="33" t="s">
        <v>58</v>
      </c>
      <c r="I891" s="33" t="s">
        <v>47</v>
      </c>
      <c r="J891" s="57">
        <v>2017.0</v>
      </c>
      <c r="K891" s="58">
        <v>0.76</v>
      </c>
      <c r="L891" s="37">
        <v>112.0</v>
      </c>
      <c r="M891" s="59">
        <f t="shared" si="166"/>
        <v>0.6785714286</v>
      </c>
      <c r="N891" s="17"/>
    </row>
    <row r="892">
      <c r="A892" s="9"/>
      <c r="B892" s="38">
        <f t="shared" si="5"/>
        <v>890</v>
      </c>
      <c r="C892" s="70"/>
      <c r="D892" s="48" t="s">
        <v>727</v>
      </c>
      <c r="E892" s="13" t="s">
        <v>613</v>
      </c>
      <c r="F892" s="13">
        <v>12.0</v>
      </c>
      <c r="G892" s="35" t="str">
        <f>IF(C892&gt;40908,"2012",IF(C892&gt;40543,"2011",IF(C892&gt;40178,"2010",IF(C892&gt;=39814,"2009",IF(C892&gt;=39448,"2008",IF(C892&gt;39082,"2007",IF(C892&lt;38717,"Pre-2006","2006")))))))</f>
        <v>Pre-2006</v>
      </c>
      <c r="H892" s="71"/>
      <c r="I892" s="71"/>
      <c r="J892" s="61"/>
      <c r="K892" s="62"/>
      <c r="L892" s="63"/>
      <c r="M892" s="59" t="str">
        <f t="shared" si="166"/>
        <v>NA</v>
      </c>
      <c r="N892" s="17"/>
    </row>
    <row r="893">
      <c r="A893" s="9"/>
      <c r="B893" s="38">
        <f t="shared" si="5"/>
        <v>891</v>
      </c>
      <c r="C893" s="34">
        <v>43595.0</v>
      </c>
      <c r="D893" s="64" t="s">
        <v>728</v>
      </c>
      <c r="E893" s="33" t="s">
        <v>613</v>
      </c>
      <c r="F893" s="33">
        <v>12.0</v>
      </c>
      <c r="G893" s="36">
        <v>2019.0</v>
      </c>
      <c r="H893" s="33" t="s">
        <v>58</v>
      </c>
      <c r="I893" s="33" t="s">
        <v>77</v>
      </c>
      <c r="J893" s="57">
        <v>2019.0</v>
      </c>
      <c r="K893" s="82" t="s">
        <v>169</v>
      </c>
      <c r="L893" s="37" t="s">
        <v>169</v>
      </c>
      <c r="M893" s="72" t="s">
        <v>169</v>
      </c>
      <c r="N893" s="17"/>
    </row>
    <row r="894">
      <c r="A894" s="9"/>
      <c r="B894" s="38">
        <f t="shared" si="5"/>
        <v>892</v>
      </c>
      <c r="C894" s="34">
        <v>44640.0</v>
      </c>
      <c r="D894" s="12" t="str">
        <f>hyperlink("https://www.rottentomatoes.com/m/the_king_of_staten_island","King of Staten Island,The")</f>
        <v>King of Staten Island,The</v>
      </c>
      <c r="E894" s="33" t="s">
        <v>613</v>
      </c>
      <c r="F894" s="33">
        <v>12.0</v>
      </c>
      <c r="G894" s="36">
        <v>2022.0</v>
      </c>
      <c r="H894" s="33" t="s">
        <v>58</v>
      </c>
      <c r="I894" s="13" t="s">
        <v>47</v>
      </c>
      <c r="J894" s="57">
        <v>2020.0</v>
      </c>
      <c r="K894" s="58">
        <v>0.75</v>
      </c>
      <c r="L894" s="37">
        <v>137.0</v>
      </c>
      <c r="M894" s="59">
        <f t="shared" ref="M894:M907" si="168">if(iserror(K894/L894*100),"NA",K894/L894*100)</f>
        <v>0.5474452555</v>
      </c>
      <c r="N894" s="17"/>
    </row>
    <row r="895">
      <c r="A895" s="9"/>
      <c r="B895" s="38">
        <f t="shared" si="5"/>
        <v>893</v>
      </c>
      <c r="C895" s="34">
        <v>44864.0</v>
      </c>
      <c r="D895" s="12" t="str">
        <f>hyperlink("https://www.rottentomatoes.com/m/king_richard","King Richard")</f>
        <v>King Richard</v>
      </c>
      <c r="E895" s="33" t="s">
        <v>613</v>
      </c>
      <c r="F895" s="33">
        <v>12.0</v>
      </c>
      <c r="G895" s="36">
        <v>2022.0</v>
      </c>
      <c r="H895" s="33" t="s">
        <v>58</v>
      </c>
      <c r="I895" s="33" t="s">
        <v>208</v>
      </c>
      <c r="J895" s="57">
        <v>2021.0</v>
      </c>
      <c r="K895" s="58">
        <v>0.9</v>
      </c>
      <c r="L895" s="37">
        <v>146.0</v>
      </c>
      <c r="M895" s="59">
        <f t="shared" si="168"/>
        <v>0.6164383562</v>
      </c>
      <c r="N895" s="17"/>
    </row>
    <row r="896">
      <c r="A896" s="9"/>
      <c r="B896" s="38">
        <f t="shared" si="5"/>
        <v>894</v>
      </c>
      <c r="C896" s="34"/>
      <c r="D896" s="48" t="s">
        <v>729</v>
      </c>
      <c r="E896" s="13" t="s">
        <v>613</v>
      </c>
      <c r="F896" s="13">
        <v>12.0</v>
      </c>
      <c r="G896" s="35" t="str">
        <f t="shared" ref="G896:G897" si="169">IF(C896&gt;40908,"2012",IF(C896&gt;40543,"2011",IF(C896&gt;40178,"2010",IF(C896&gt;=39814,"2009",IF(C896&gt;=39448,"2008",IF(C896&gt;39082,"2007",IF(C896&lt;38717,"Pre-2006","2006")))))))</f>
        <v>Pre-2006</v>
      </c>
      <c r="H896" s="71"/>
      <c r="I896" s="71"/>
      <c r="J896" s="61"/>
      <c r="K896" s="62"/>
      <c r="L896" s="63"/>
      <c r="M896" s="59" t="str">
        <f t="shared" si="168"/>
        <v>NA</v>
      </c>
      <c r="N896" s="17"/>
    </row>
    <row r="897">
      <c r="A897" s="9"/>
      <c r="B897" s="38">
        <f t="shared" si="5"/>
        <v>895</v>
      </c>
      <c r="C897" s="34"/>
      <c r="D897" s="48" t="s">
        <v>730</v>
      </c>
      <c r="E897" s="13" t="s">
        <v>613</v>
      </c>
      <c r="F897" s="13">
        <v>12.0</v>
      </c>
      <c r="G897" s="35" t="str">
        <f t="shared" si="169"/>
        <v>Pre-2006</v>
      </c>
      <c r="H897" s="71"/>
      <c r="I897" s="71"/>
      <c r="J897" s="61"/>
      <c r="K897" s="62"/>
      <c r="L897" s="63"/>
      <c r="M897" s="59" t="str">
        <f t="shared" si="168"/>
        <v>NA</v>
      </c>
      <c r="N897" s="17"/>
    </row>
    <row r="898" ht="12.75" customHeight="1">
      <c r="A898" s="9"/>
      <c r="B898" s="38">
        <f t="shared" si="5"/>
        <v>896</v>
      </c>
      <c r="C898" s="34">
        <v>43648.0</v>
      </c>
      <c r="D898" s="12" t="str">
        <f>hyperlink("https://rottentomatoes.com/m/late_night_2019","Late Night")</f>
        <v>Late Night</v>
      </c>
      <c r="E898" s="33" t="s">
        <v>613</v>
      </c>
      <c r="F898" s="33">
        <v>12.0</v>
      </c>
      <c r="G898" s="36">
        <v>2019.0</v>
      </c>
      <c r="H898" s="33" t="s">
        <v>731</v>
      </c>
      <c r="I898" s="33" t="s">
        <v>26</v>
      </c>
      <c r="J898" s="57">
        <v>2019.0</v>
      </c>
      <c r="K898" s="58">
        <v>0.8</v>
      </c>
      <c r="L898" s="37">
        <v>102.0</v>
      </c>
      <c r="M898" s="59">
        <f t="shared" si="168"/>
        <v>0.7843137255</v>
      </c>
      <c r="N898" s="17"/>
    </row>
    <row r="899">
      <c r="A899" s="9"/>
      <c r="B899" s="38">
        <f t="shared" si="5"/>
        <v>897</v>
      </c>
      <c r="C899" s="70"/>
      <c r="D899" s="48" t="s">
        <v>732</v>
      </c>
      <c r="E899" s="13" t="s">
        <v>613</v>
      </c>
      <c r="F899" s="13">
        <v>12.0</v>
      </c>
      <c r="G899" s="35" t="str">
        <f t="shared" ref="G899:G902" si="170">IF(C899&gt;40908,"2012",IF(C899&gt;40543,"2011",IF(C899&gt;40178,"2010",IF(C899&gt;=39814,"2009",IF(C899&gt;=39448,"2008",IF(C899&gt;39082,"2007",IF(C899&lt;38717,"Pre-2006","2006")))))))</f>
        <v>Pre-2006</v>
      </c>
      <c r="H899" s="71"/>
      <c r="I899" s="71"/>
      <c r="J899" s="61"/>
      <c r="K899" s="62"/>
      <c r="L899" s="63"/>
      <c r="M899" s="59" t="str">
        <f t="shared" si="168"/>
        <v>NA</v>
      </c>
      <c r="N899" s="17"/>
    </row>
    <row r="900">
      <c r="A900" s="9"/>
      <c r="B900" s="38">
        <f t="shared" si="5"/>
        <v>898</v>
      </c>
      <c r="C900" s="70"/>
      <c r="D900" s="48" t="s">
        <v>733</v>
      </c>
      <c r="E900" s="13" t="s">
        <v>613</v>
      </c>
      <c r="F900" s="13">
        <v>12.0</v>
      </c>
      <c r="G900" s="35" t="str">
        <f t="shared" si="170"/>
        <v>Pre-2006</v>
      </c>
      <c r="H900" s="71"/>
      <c r="I900" s="71"/>
      <c r="J900" s="61"/>
      <c r="K900" s="62"/>
      <c r="L900" s="63"/>
      <c r="M900" s="59" t="str">
        <f t="shared" si="168"/>
        <v>NA</v>
      </c>
      <c r="N900" s="17"/>
    </row>
    <row r="901">
      <c r="A901" s="9"/>
      <c r="B901" s="38">
        <f t="shared" si="5"/>
        <v>899</v>
      </c>
      <c r="C901" s="70"/>
      <c r="D901" s="48" t="s">
        <v>734</v>
      </c>
      <c r="E901" s="13" t="s">
        <v>613</v>
      </c>
      <c r="F901" s="13">
        <v>12.0</v>
      </c>
      <c r="G901" s="35" t="str">
        <f t="shared" si="170"/>
        <v>Pre-2006</v>
      </c>
      <c r="H901" s="71"/>
      <c r="I901" s="71"/>
      <c r="J901" s="61"/>
      <c r="K901" s="62"/>
      <c r="L901" s="63"/>
      <c r="M901" s="59" t="str">
        <f t="shared" si="168"/>
        <v>NA</v>
      </c>
      <c r="N901" s="17"/>
    </row>
    <row r="902">
      <c r="A902" s="9"/>
      <c r="B902" s="38">
        <f t="shared" si="5"/>
        <v>900</v>
      </c>
      <c r="C902" s="34">
        <v>40796.0</v>
      </c>
      <c r="D902" s="48" t="s">
        <v>735</v>
      </c>
      <c r="E902" s="13" t="s">
        <v>613</v>
      </c>
      <c r="F902" s="13">
        <v>12.0</v>
      </c>
      <c r="G902" s="35" t="str">
        <f t="shared" si="170"/>
        <v>2011</v>
      </c>
      <c r="H902" s="13" t="s">
        <v>25</v>
      </c>
      <c r="I902" s="13" t="s">
        <v>47</v>
      </c>
      <c r="J902" s="14">
        <v>2011.0</v>
      </c>
      <c r="K902" s="15">
        <v>0.7</v>
      </c>
      <c r="L902" s="14">
        <v>105.0</v>
      </c>
      <c r="M902" s="16">
        <f t="shared" si="168"/>
        <v>0.6666666667</v>
      </c>
      <c r="N902" s="17"/>
    </row>
    <row r="903">
      <c r="A903" s="9"/>
      <c r="B903" s="38">
        <f t="shared" si="5"/>
        <v>901</v>
      </c>
      <c r="C903" s="34">
        <v>44677.0</v>
      </c>
      <c r="D903" s="12" t="str">
        <f>hyperlink("https://www.rottentomatoes.com/m/the_little_mermaid_1989","Little Mermaid, The")</f>
        <v>Little Mermaid, The</v>
      </c>
      <c r="E903" s="33" t="s">
        <v>613</v>
      </c>
      <c r="F903" s="33">
        <v>12.0</v>
      </c>
      <c r="G903" s="36">
        <v>2022.0</v>
      </c>
      <c r="H903" s="33" t="s">
        <v>58</v>
      </c>
      <c r="I903" s="33" t="s">
        <v>230</v>
      </c>
      <c r="J903" s="57">
        <v>1989.0</v>
      </c>
      <c r="K903" s="58">
        <v>0.93</v>
      </c>
      <c r="L903" s="37">
        <v>82.0</v>
      </c>
      <c r="M903" s="16">
        <f t="shared" si="168"/>
        <v>1.134146341</v>
      </c>
      <c r="N903" s="17"/>
    </row>
    <row r="904">
      <c r="A904" s="9"/>
      <c r="B904" s="38">
        <f t="shared" si="5"/>
        <v>902</v>
      </c>
      <c r="C904" s="34">
        <v>39116.0</v>
      </c>
      <c r="D904" s="48" t="s">
        <v>736</v>
      </c>
      <c r="E904" s="13" t="s">
        <v>613</v>
      </c>
      <c r="F904" s="13">
        <v>12.0</v>
      </c>
      <c r="G904" s="35" t="str">
        <f t="shared" ref="G904:G907" si="171">IF(C904&gt;40908,"2012",IF(C904&gt;40543,"2011",IF(C904&gt;40178,"2010",IF(C904&gt;=39814,"2009",IF(C904&gt;=39448,"2008",IF(C904&gt;39082,"2007",IF(C904&lt;38717,"Pre-2006","2006")))))))</f>
        <v>2007</v>
      </c>
      <c r="H904" s="71"/>
      <c r="I904" s="71"/>
      <c r="J904" s="61"/>
      <c r="K904" s="62"/>
      <c r="L904" s="63"/>
      <c r="M904" s="59" t="str">
        <f t="shared" si="168"/>
        <v>NA</v>
      </c>
      <c r="N904" s="17"/>
    </row>
    <row r="905">
      <c r="A905" s="9"/>
      <c r="B905" s="38">
        <f t="shared" si="5"/>
        <v>903</v>
      </c>
      <c r="C905" s="34"/>
      <c r="D905" s="48" t="s">
        <v>737</v>
      </c>
      <c r="E905" s="13" t="s">
        <v>613</v>
      </c>
      <c r="F905" s="13">
        <v>12.0</v>
      </c>
      <c r="G905" s="35" t="str">
        <f t="shared" si="171"/>
        <v>Pre-2006</v>
      </c>
      <c r="H905" s="71"/>
      <c r="I905" s="71"/>
      <c r="J905" s="61"/>
      <c r="K905" s="62"/>
      <c r="L905" s="63"/>
      <c r="M905" s="59" t="str">
        <f t="shared" si="168"/>
        <v>NA</v>
      </c>
      <c r="N905" s="17"/>
    </row>
    <row r="906">
      <c r="A906" s="9"/>
      <c r="B906" s="38">
        <f t="shared" si="5"/>
        <v>904</v>
      </c>
      <c r="C906" s="34"/>
      <c r="D906" s="48" t="s">
        <v>738</v>
      </c>
      <c r="E906" s="13" t="s">
        <v>613</v>
      </c>
      <c r="F906" s="13">
        <v>12.0</v>
      </c>
      <c r="G906" s="35" t="str">
        <f t="shared" si="171"/>
        <v>Pre-2006</v>
      </c>
      <c r="H906" s="71"/>
      <c r="I906" s="71"/>
      <c r="J906" s="61"/>
      <c r="K906" s="62"/>
      <c r="L906" s="63"/>
      <c r="M906" s="59" t="str">
        <f t="shared" si="168"/>
        <v>NA</v>
      </c>
      <c r="N906" s="17"/>
    </row>
    <row r="907">
      <c r="A907" s="9"/>
      <c r="B907" s="38">
        <f t="shared" si="5"/>
        <v>905</v>
      </c>
      <c r="C907" s="34"/>
      <c r="D907" s="48" t="s">
        <v>739</v>
      </c>
      <c r="E907" s="13" t="s">
        <v>613</v>
      </c>
      <c r="F907" s="13">
        <v>12.0</v>
      </c>
      <c r="G907" s="35" t="str">
        <f t="shared" si="171"/>
        <v>Pre-2006</v>
      </c>
      <c r="H907" s="71"/>
      <c r="I907" s="71"/>
      <c r="J907" s="61"/>
      <c r="K907" s="62"/>
      <c r="L907" s="63"/>
      <c r="M907" s="59" t="str">
        <f t="shared" si="168"/>
        <v>NA</v>
      </c>
      <c r="N907" s="17"/>
    </row>
    <row r="908">
      <c r="A908" s="9"/>
      <c r="B908" s="38">
        <f t="shared" si="5"/>
        <v>906</v>
      </c>
      <c r="C908" s="34">
        <v>43454.0</v>
      </c>
      <c r="D908" s="12" t="str">
        <f>hyperlink("https://www.rottentomatoes.com/m/losing_sight_of_shore","Losing Sight of Shore")</f>
        <v>Losing Sight of Shore</v>
      </c>
      <c r="E908" s="33" t="s">
        <v>613</v>
      </c>
      <c r="F908" s="33">
        <v>12.0</v>
      </c>
      <c r="G908" s="36">
        <v>2018.0</v>
      </c>
      <c r="H908" s="33" t="s">
        <v>58</v>
      </c>
      <c r="I908" s="33" t="s">
        <v>77</v>
      </c>
      <c r="J908" s="57">
        <v>2017.0</v>
      </c>
      <c r="K908" s="82" t="s">
        <v>169</v>
      </c>
      <c r="L908" s="37">
        <v>92.0</v>
      </c>
      <c r="M908" s="72" t="s">
        <v>169</v>
      </c>
      <c r="N908" s="17"/>
    </row>
    <row r="909">
      <c r="A909" s="9"/>
      <c r="B909" s="38">
        <f t="shared" si="5"/>
        <v>907</v>
      </c>
      <c r="C909" s="34"/>
      <c r="D909" s="84" t="s">
        <v>740</v>
      </c>
      <c r="E909" s="13" t="s">
        <v>613</v>
      </c>
      <c r="F909" s="13">
        <v>12.0</v>
      </c>
      <c r="G909" s="35" t="str">
        <f>IF(C909&gt;40908,"2012",IF(C909&gt;40543,"2011",IF(C909&gt;40178,"2010",IF(C909&gt;=39814,"2009",IF(C909&gt;=39448,"2008",IF(C909&gt;39082,"2007",IF(C909&lt;38717,"Pre-2006","2006")))))))</f>
        <v>Pre-2006</v>
      </c>
      <c r="H909" s="71"/>
      <c r="I909" s="71"/>
      <c r="J909" s="61"/>
      <c r="K909" s="62"/>
      <c r="L909" s="63"/>
      <c r="M909" s="59" t="str">
        <f t="shared" ref="M909:M1059" si="172">if(iserror(K909/L909*100),"NA",K909/L909*100)</f>
        <v>NA</v>
      </c>
      <c r="N909" s="17"/>
    </row>
    <row r="910">
      <c r="A910" s="9"/>
      <c r="B910" s="38">
        <f t="shared" si="5"/>
        <v>908</v>
      </c>
      <c r="C910" s="34">
        <v>42251.0</v>
      </c>
      <c r="D910" s="12" t="str">
        <f>hyperlink("http://www.rottentomatoes.com/m/mad_max_fury_road/?search=mad%20max","Mad Max: Fury Road")</f>
        <v>Mad Max: Fury Road</v>
      </c>
      <c r="E910" s="33" t="s">
        <v>613</v>
      </c>
      <c r="F910" s="33">
        <v>12.0</v>
      </c>
      <c r="G910" s="36">
        <v>2015.0</v>
      </c>
      <c r="H910" s="33" t="s">
        <v>58</v>
      </c>
      <c r="I910" s="33" t="s">
        <v>47</v>
      </c>
      <c r="J910" s="57">
        <v>2015.0</v>
      </c>
      <c r="K910" s="58">
        <v>0.97</v>
      </c>
      <c r="L910" s="37">
        <v>120.0</v>
      </c>
      <c r="M910" s="59">
        <f t="shared" si="172"/>
        <v>0.8083333333</v>
      </c>
      <c r="N910" s="17"/>
    </row>
    <row r="911">
      <c r="A911" s="9"/>
      <c r="B911" s="38">
        <f t="shared" si="5"/>
        <v>909</v>
      </c>
      <c r="C911" s="70"/>
      <c r="D911" s="48" t="s">
        <v>741</v>
      </c>
      <c r="E911" s="13" t="s">
        <v>613</v>
      </c>
      <c r="F911" s="13">
        <v>12.0</v>
      </c>
      <c r="G911" s="35" t="str">
        <f t="shared" ref="G911:G912" si="173">IF(C911&gt;40908,"2012",IF(C911&gt;40543,"2011",IF(C911&gt;40178,"2010",IF(C911&gt;=39814,"2009",IF(C911&gt;=39448,"2008",IF(C911&gt;39082,"2007",IF(C911&lt;38717,"Pre-2006","2006")))))))</f>
        <v>Pre-2006</v>
      </c>
      <c r="H911" s="71"/>
      <c r="I911" s="71"/>
      <c r="J911" s="61"/>
      <c r="K911" s="62"/>
      <c r="L911" s="63"/>
      <c r="M911" s="59" t="str">
        <f t="shared" si="172"/>
        <v>NA</v>
      </c>
      <c r="N911" s="17"/>
    </row>
    <row r="912">
      <c r="A912" s="9"/>
      <c r="B912" s="38">
        <f t="shared" si="5"/>
        <v>910</v>
      </c>
      <c r="C912" s="70"/>
      <c r="D912" s="48" t="s">
        <v>742</v>
      </c>
      <c r="E912" s="13" t="s">
        <v>613</v>
      </c>
      <c r="F912" s="13">
        <v>12.0</v>
      </c>
      <c r="G912" s="35" t="str">
        <f t="shared" si="173"/>
        <v>Pre-2006</v>
      </c>
      <c r="H912" s="71"/>
      <c r="I912" s="71"/>
      <c r="J912" s="61"/>
      <c r="K912" s="62"/>
      <c r="L912" s="63"/>
      <c r="M912" s="59" t="str">
        <f t="shared" si="172"/>
        <v>NA</v>
      </c>
      <c r="N912" s="17"/>
    </row>
    <row r="913">
      <c r="A913" s="9"/>
      <c r="B913" s="38">
        <f t="shared" si="5"/>
        <v>911</v>
      </c>
      <c r="C913" s="34">
        <v>42744.0</v>
      </c>
      <c r="D913" s="12" t="str">
        <f>hyperlink("https://www.rottentomatoes.com/m/manchester_by_the_sea","Manchester by the Sea")</f>
        <v>Manchester by the Sea</v>
      </c>
      <c r="E913" s="33" t="s">
        <v>613</v>
      </c>
      <c r="F913" s="33">
        <v>12.0</v>
      </c>
      <c r="G913" s="36">
        <v>2017.0</v>
      </c>
      <c r="H913" s="33" t="s">
        <v>743</v>
      </c>
      <c r="I913" s="33" t="s">
        <v>26</v>
      </c>
      <c r="J913" s="37">
        <v>2016.0</v>
      </c>
      <c r="K913" s="15">
        <v>0.97</v>
      </c>
      <c r="L913" s="37">
        <v>135.0</v>
      </c>
      <c r="M913" s="59">
        <f t="shared" si="172"/>
        <v>0.7185185185</v>
      </c>
      <c r="N913" s="17"/>
    </row>
    <row r="914">
      <c r="A914" s="9"/>
      <c r="B914" s="38">
        <f t="shared" si="5"/>
        <v>912</v>
      </c>
      <c r="C914" s="34">
        <v>39652.0</v>
      </c>
      <c r="D914" s="48" t="s">
        <v>744</v>
      </c>
      <c r="E914" s="13" t="s">
        <v>613</v>
      </c>
      <c r="F914" s="13">
        <v>12.0</v>
      </c>
      <c r="G914" s="35" t="str">
        <f t="shared" ref="G914:G915" si="174">IF(C914&gt;40908,"2012",IF(C914&gt;40543,"2011",IF(C914&gt;40178,"2010",IF(C914&gt;=39814,"2009",IF(C914&gt;=39448,"2008",IF(C914&gt;39082,"2007",IF(C914&lt;38717,"Pre-2006","2006")))))))</f>
        <v>2008</v>
      </c>
      <c r="H914" s="13" t="s">
        <v>155</v>
      </c>
      <c r="I914" s="13" t="s">
        <v>47</v>
      </c>
      <c r="J914" s="14">
        <v>2008.0</v>
      </c>
      <c r="K914" s="15">
        <v>0.58</v>
      </c>
      <c r="L914" s="14">
        <v>91.0</v>
      </c>
      <c r="M914" s="16">
        <f t="shared" si="172"/>
        <v>0.6373626374</v>
      </c>
      <c r="N914" s="17"/>
    </row>
    <row r="915">
      <c r="A915" s="9"/>
      <c r="B915" s="38">
        <f t="shared" si="5"/>
        <v>913</v>
      </c>
      <c r="C915" s="70"/>
      <c r="D915" s="48" t="s">
        <v>745</v>
      </c>
      <c r="E915" s="13" t="s">
        <v>613</v>
      </c>
      <c r="F915" s="13">
        <v>12.0</v>
      </c>
      <c r="G915" s="35" t="str">
        <f t="shared" si="174"/>
        <v>Pre-2006</v>
      </c>
      <c r="H915" s="71"/>
      <c r="I915" s="71"/>
      <c r="J915" s="61"/>
      <c r="K915" s="62"/>
      <c r="L915" s="63"/>
      <c r="M915" s="59" t="str">
        <f t="shared" si="172"/>
        <v>NA</v>
      </c>
      <c r="N915" s="17"/>
    </row>
    <row r="916">
      <c r="A916" s="9"/>
      <c r="B916" s="38">
        <f t="shared" si="5"/>
        <v>914</v>
      </c>
      <c r="C916" s="34">
        <v>44837.0</v>
      </c>
      <c r="D916" s="12" t="str">
        <f>hyperlink("https://www.rottentomatoes.com/m/the_master_2011","Master, The")</f>
        <v>Master, The</v>
      </c>
      <c r="E916" s="33" t="s">
        <v>613</v>
      </c>
      <c r="F916" s="33">
        <v>12.0</v>
      </c>
      <c r="G916" s="36">
        <v>2022.0</v>
      </c>
      <c r="H916" s="33" t="s">
        <v>58</v>
      </c>
      <c r="I916" s="33" t="s">
        <v>47</v>
      </c>
      <c r="J916" s="57">
        <v>2012.0</v>
      </c>
      <c r="K916" s="58">
        <v>0.84</v>
      </c>
      <c r="L916" s="37">
        <v>136.0</v>
      </c>
      <c r="M916" s="16">
        <f t="shared" si="172"/>
        <v>0.6176470588</v>
      </c>
      <c r="N916" s="17"/>
    </row>
    <row r="917">
      <c r="A917" s="9"/>
      <c r="B917" s="38">
        <f t="shared" si="5"/>
        <v>915</v>
      </c>
      <c r="C917" s="70"/>
      <c r="D917" s="48" t="s">
        <v>746</v>
      </c>
      <c r="E917" s="13" t="s">
        <v>613</v>
      </c>
      <c r="F917" s="13">
        <v>12.0</v>
      </c>
      <c r="G917" s="35" t="str">
        <f t="shared" ref="G917:G918" si="175">IF(C917&gt;40908,"2012",IF(C917&gt;40543,"2011",IF(C917&gt;40178,"2010",IF(C917&gt;=39814,"2009",IF(C917&gt;=39448,"2008",IF(C917&gt;39082,"2007",IF(C917&lt;38717,"Pre-2006","2006")))))))</f>
        <v>Pre-2006</v>
      </c>
      <c r="H917" s="71"/>
      <c r="I917" s="71"/>
      <c r="J917" s="61"/>
      <c r="K917" s="62"/>
      <c r="L917" s="63"/>
      <c r="M917" s="59" t="str">
        <f t="shared" si="172"/>
        <v>NA</v>
      </c>
      <c r="N917" s="17"/>
    </row>
    <row r="918">
      <c r="A918" s="9"/>
      <c r="B918" s="38">
        <f t="shared" si="5"/>
        <v>916</v>
      </c>
      <c r="C918" s="34">
        <v>38838.0</v>
      </c>
      <c r="D918" s="48" t="s">
        <v>522</v>
      </c>
      <c r="E918" s="13" t="s">
        <v>613</v>
      </c>
      <c r="F918" s="13">
        <v>12.0</v>
      </c>
      <c r="G918" s="35" t="str">
        <f t="shared" si="175"/>
        <v>2006</v>
      </c>
      <c r="H918" s="71"/>
      <c r="I918" s="71"/>
      <c r="J918" s="61"/>
      <c r="K918" s="62"/>
      <c r="L918" s="63"/>
      <c r="M918" s="59" t="str">
        <f t="shared" si="172"/>
        <v>NA</v>
      </c>
      <c r="N918" s="17"/>
    </row>
    <row r="919">
      <c r="A919" s="9"/>
      <c r="B919" s="38">
        <f t="shared" si="5"/>
        <v>917</v>
      </c>
      <c r="C919" s="34">
        <v>45394.0</v>
      </c>
      <c r="D919" s="12" t="str">
        <f>hyperlink("https://www.rottentomatoes.com/m/may_december","May December")</f>
        <v>May December</v>
      </c>
      <c r="E919" s="33" t="s">
        <v>613</v>
      </c>
      <c r="F919" s="33">
        <v>12.0</v>
      </c>
      <c r="G919" s="36">
        <v>2024.0</v>
      </c>
      <c r="H919" s="33" t="s">
        <v>58</v>
      </c>
      <c r="I919" s="33" t="s">
        <v>77</v>
      </c>
      <c r="J919" s="57">
        <v>2023.0</v>
      </c>
      <c r="K919" s="58">
        <v>0.91</v>
      </c>
      <c r="L919" s="37">
        <v>113.0</v>
      </c>
      <c r="M919" s="16">
        <f t="shared" si="172"/>
        <v>0.8053097345</v>
      </c>
      <c r="N919" s="17"/>
    </row>
    <row r="920">
      <c r="A920" s="9"/>
      <c r="B920" s="38">
        <f t="shared" si="5"/>
        <v>918</v>
      </c>
      <c r="C920" s="34">
        <v>38777.0</v>
      </c>
      <c r="D920" s="48" t="s">
        <v>747</v>
      </c>
      <c r="E920" s="13" t="s">
        <v>613</v>
      </c>
      <c r="F920" s="13">
        <v>12.0</v>
      </c>
      <c r="G920" s="35" t="str">
        <f t="shared" ref="G920:G923" si="176">IF(C920&gt;40908,"2012",IF(C920&gt;40543,"2011",IF(C920&gt;40178,"2010",IF(C920&gt;=39814,"2009",IF(C920&gt;=39448,"2008",IF(C920&gt;39082,"2007",IF(C920&lt;38717,"Pre-2006","2006")))))))</f>
        <v>2006</v>
      </c>
      <c r="H920" s="71"/>
      <c r="I920" s="71"/>
      <c r="J920" s="61"/>
      <c r="K920" s="62"/>
      <c r="L920" s="63"/>
      <c r="M920" s="59" t="str">
        <f t="shared" si="172"/>
        <v>NA</v>
      </c>
      <c r="N920" s="17"/>
    </row>
    <row r="921">
      <c r="A921" s="9"/>
      <c r="B921" s="38">
        <f t="shared" si="5"/>
        <v>919</v>
      </c>
      <c r="C921" s="70"/>
      <c r="D921" s="48" t="s">
        <v>748</v>
      </c>
      <c r="E921" s="13" t="s">
        <v>613</v>
      </c>
      <c r="F921" s="13">
        <v>12.0</v>
      </c>
      <c r="G921" s="35" t="str">
        <f t="shared" si="176"/>
        <v>Pre-2006</v>
      </c>
      <c r="H921" s="71"/>
      <c r="I921" s="71"/>
      <c r="J921" s="61"/>
      <c r="K921" s="62"/>
      <c r="L921" s="63"/>
      <c r="M921" s="59" t="str">
        <f t="shared" si="172"/>
        <v>NA</v>
      </c>
      <c r="N921" s="17"/>
    </row>
    <row r="922">
      <c r="A922" s="9"/>
      <c r="B922" s="38">
        <f t="shared" si="5"/>
        <v>920</v>
      </c>
      <c r="C922" s="34">
        <v>39322.0</v>
      </c>
      <c r="D922" s="48" t="s">
        <v>749</v>
      </c>
      <c r="E922" s="13" t="s">
        <v>613</v>
      </c>
      <c r="F922" s="13">
        <v>12.0</v>
      </c>
      <c r="G922" s="35" t="str">
        <f t="shared" si="176"/>
        <v>2007</v>
      </c>
      <c r="H922" s="13" t="s">
        <v>103</v>
      </c>
      <c r="I922" s="13" t="s">
        <v>47</v>
      </c>
      <c r="J922" s="61"/>
      <c r="K922" s="62"/>
      <c r="L922" s="63"/>
      <c r="M922" s="59" t="str">
        <f t="shared" si="172"/>
        <v>NA</v>
      </c>
      <c r="N922" s="17"/>
    </row>
    <row r="923">
      <c r="A923" s="9"/>
      <c r="B923" s="38">
        <f t="shared" si="5"/>
        <v>921</v>
      </c>
      <c r="C923" s="70"/>
      <c r="D923" s="48" t="s">
        <v>750</v>
      </c>
      <c r="E923" s="13" t="s">
        <v>613</v>
      </c>
      <c r="F923" s="13">
        <v>12.0</v>
      </c>
      <c r="G923" s="35" t="str">
        <f t="shared" si="176"/>
        <v>Pre-2006</v>
      </c>
      <c r="H923" s="71"/>
      <c r="I923" s="71"/>
      <c r="J923" s="61"/>
      <c r="K923" s="62"/>
      <c r="L923" s="63"/>
      <c r="M923" s="59" t="str">
        <f t="shared" si="172"/>
        <v>NA</v>
      </c>
      <c r="N923" s="17"/>
    </row>
    <row r="924">
      <c r="A924" s="9"/>
      <c r="B924" s="38">
        <f t="shared" si="5"/>
        <v>922</v>
      </c>
      <c r="C924" s="34">
        <v>44856.0</v>
      </c>
      <c r="D924" s="12" t="str">
        <f>hyperlink("https://www.rottentomatoes.com/m/the_meyerowitz_stories","Meyerowitz, Stories, The")</f>
        <v>Meyerowitz, Stories, The</v>
      </c>
      <c r="E924" s="33" t="s">
        <v>613</v>
      </c>
      <c r="F924" s="33">
        <v>12.0</v>
      </c>
      <c r="G924" s="36">
        <v>2022.0</v>
      </c>
      <c r="H924" s="33" t="s">
        <v>58</v>
      </c>
      <c r="I924" s="33" t="s">
        <v>77</v>
      </c>
      <c r="J924" s="57">
        <v>2022.0</v>
      </c>
      <c r="K924" s="58">
        <v>0.93</v>
      </c>
      <c r="L924" s="37">
        <v>110.0</v>
      </c>
      <c r="M924" s="59">
        <f t="shared" si="172"/>
        <v>0.8454545455</v>
      </c>
      <c r="N924" s="17"/>
    </row>
    <row r="925">
      <c r="A925" s="9"/>
      <c r="B925" s="38">
        <f t="shared" si="5"/>
        <v>923</v>
      </c>
      <c r="C925" s="70"/>
      <c r="D925" s="48" t="s">
        <v>751</v>
      </c>
      <c r="E925" s="13" t="s">
        <v>613</v>
      </c>
      <c r="F925" s="13">
        <v>12.0</v>
      </c>
      <c r="G925" s="35" t="str">
        <f>IF(C925&gt;40908,"2012",IF(C925&gt;40543,"2011",IF(C925&gt;40178,"2010",IF(C925&gt;=39814,"2009",IF(C925&gt;=39448,"2008",IF(C925&gt;39082,"2007",IF(C925&lt;38717,"Pre-2006","2006")))))))</f>
        <v>Pre-2006</v>
      </c>
      <c r="H925" s="71"/>
      <c r="I925" s="71"/>
      <c r="J925" s="61"/>
      <c r="K925" s="62"/>
      <c r="L925" s="63"/>
      <c r="M925" s="59" t="str">
        <f t="shared" si="172"/>
        <v>NA</v>
      </c>
      <c r="N925" s="17"/>
    </row>
    <row r="926">
      <c r="A926" s="9"/>
      <c r="B926" s="38">
        <f t="shared" si="5"/>
        <v>924</v>
      </c>
      <c r="C926" s="34">
        <v>44853.0</v>
      </c>
      <c r="D926" s="12" t="str">
        <f>hyperlink("https://www.rottentomatoes.com/m/mid90s","Mid90s")</f>
        <v>Mid90s</v>
      </c>
      <c r="E926" s="33" t="s">
        <v>613</v>
      </c>
      <c r="F926" s="33">
        <v>12.0</v>
      </c>
      <c r="G926" s="36">
        <v>2022.0</v>
      </c>
      <c r="H926" s="33" t="s">
        <v>58</v>
      </c>
      <c r="I926" s="33" t="s">
        <v>77</v>
      </c>
      <c r="J926" s="57">
        <v>2018.0</v>
      </c>
      <c r="K926" s="58">
        <v>0.8</v>
      </c>
      <c r="L926" s="37">
        <v>84.0</v>
      </c>
      <c r="M926" s="59">
        <f t="shared" si="172"/>
        <v>0.9523809524</v>
      </c>
      <c r="N926" s="17"/>
    </row>
    <row r="927">
      <c r="A927" s="9"/>
      <c r="B927" s="38">
        <f t="shared" si="5"/>
        <v>925</v>
      </c>
      <c r="C927" s="70"/>
      <c r="D927" s="48" t="s">
        <v>752</v>
      </c>
      <c r="E927" s="13" t="s">
        <v>613</v>
      </c>
      <c r="F927" s="13">
        <v>12.0</v>
      </c>
      <c r="G927" s="35" t="str">
        <f t="shared" ref="G927:G928" si="177">IF(C927&gt;40908,"2012",IF(C927&gt;40543,"2011",IF(C927&gt;40178,"2010",IF(C927&gt;=39814,"2009",IF(C927&gt;=39448,"2008",IF(C927&gt;39082,"2007",IF(C927&lt;38717,"Pre-2006","2006")))))))</f>
        <v>Pre-2006</v>
      </c>
      <c r="H927" s="71"/>
      <c r="I927" s="71"/>
      <c r="J927" s="61"/>
      <c r="K927" s="62"/>
      <c r="L927" s="63"/>
      <c r="M927" s="59" t="str">
        <f t="shared" si="172"/>
        <v>NA</v>
      </c>
      <c r="N927" s="17"/>
    </row>
    <row r="928">
      <c r="A928" s="9"/>
      <c r="B928" s="38">
        <f t="shared" si="5"/>
        <v>926</v>
      </c>
      <c r="C928" s="34">
        <v>38852.0</v>
      </c>
      <c r="D928" s="48" t="s">
        <v>753</v>
      </c>
      <c r="E928" s="13" t="s">
        <v>613</v>
      </c>
      <c r="F928" s="13">
        <v>12.0</v>
      </c>
      <c r="G928" s="35" t="str">
        <f t="shared" si="177"/>
        <v>2006</v>
      </c>
      <c r="H928" s="71"/>
      <c r="I928" s="71"/>
      <c r="J928" s="61"/>
      <c r="K928" s="62"/>
      <c r="L928" s="63"/>
      <c r="M928" s="59" t="str">
        <f t="shared" si="172"/>
        <v>NA</v>
      </c>
      <c r="N928" s="17"/>
    </row>
    <row r="929" ht="12.75" customHeight="1">
      <c r="A929" s="9"/>
      <c r="B929" s="38">
        <f t="shared" si="5"/>
        <v>927</v>
      </c>
      <c r="C929" s="34">
        <v>43862.0</v>
      </c>
      <c r="D929" s="12" t="str">
        <f>hyperlink("https://www.rottentomatoes.com/m/miss_americana","Miss Americana")</f>
        <v>Miss Americana</v>
      </c>
      <c r="E929" s="33" t="s">
        <v>613</v>
      </c>
      <c r="F929" s="33">
        <v>12.0</v>
      </c>
      <c r="G929" s="36">
        <v>2020.0</v>
      </c>
      <c r="H929" s="33" t="s">
        <v>754</v>
      </c>
      <c r="I929" s="33" t="s">
        <v>77</v>
      </c>
      <c r="J929" s="37">
        <v>2020.0</v>
      </c>
      <c r="K929" s="15">
        <v>0.9</v>
      </c>
      <c r="L929" s="37">
        <v>86.0</v>
      </c>
      <c r="M929" s="59">
        <f t="shared" si="172"/>
        <v>1.046511628</v>
      </c>
      <c r="N929" s="17"/>
    </row>
    <row r="930">
      <c r="A930" s="9"/>
      <c r="B930" s="38">
        <f t="shared" si="5"/>
        <v>928</v>
      </c>
      <c r="C930" s="34">
        <v>40816.0</v>
      </c>
      <c r="D930" s="48" t="s">
        <v>755</v>
      </c>
      <c r="E930" s="13" t="s">
        <v>613</v>
      </c>
      <c r="F930" s="13">
        <v>12.0</v>
      </c>
      <c r="G930" s="35" t="str">
        <f>IF(C930&gt;40908,"2012",IF(C930&gt;40543,"2011",IF(C930&gt;40178,"2010",IF(C930&gt;=39814,"2009",IF(C930&gt;=39448,"2008",IF(C930&gt;39082,"2007",IF(C930&lt;38717,"Pre-2006","2006")))))))</f>
        <v>2011</v>
      </c>
      <c r="H930" s="13" t="s">
        <v>25</v>
      </c>
      <c r="I930" s="13" t="s">
        <v>26</v>
      </c>
      <c r="J930" s="14">
        <v>2011.0</v>
      </c>
      <c r="K930" s="15">
        <v>0.95</v>
      </c>
      <c r="L930" s="14">
        <v>126.0</v>
      </c>
      <c r="M930" s="16">
        <f t="shared" si="172"/>
        <v>0.753968254</v>
      </c>
      <c r="N930" s="17"/>
    </row>
    <row r="931" ht="14.25" customHeight="1">
      <c r="A931" s="9"/>
      <c r="B931" s="38">
        <f t="shared" si="5"/>
        <v>929</v>
      </c>
      <c r="C931" s="34">
        <v>44863.0</v>
      </c>
      <c r="D931" s="12" t="str">
        <f>hyperlink("https://www.rottentomatoes.com/m/moonstruck","Moonstruck")</f>
        <v>Moonstruck</v>
      </c>
      <c r="E931" s="33" t="s">
        <v>613</v>
      </c>
      <c r="F931" s="33">
        <v>12.0</v>
      </c>
      <c r="G931" s="36">
        <v>2022.0</v>
      </c>
      <c r="H931" s="33" t="s">
        <v>754</v>
      </c>
      <c r="I931" s="13" t="s">
        <v>47</v>
      </c>
      <c r="J931" s="57">
        <v>1987.0</v>
      </c>
      <c r="K931" s="58">
        <v>0.93</v>
      </c>
      <c r="L931" s="37">
        <v>101.0</v>
      </c>
      <c r="M931" s="16">
        <f t="shared" si="172"/>
        <v>0.9207920792</v>
      </c>
      <c r="N931" s="17"/>
    </row>
    <row r="932">
      <c r="A932" s="9"/>
      <c r="B932" s="38">
        <f t="shared" si="5"/>
        <v>930</v>
      </c>
      <c r="C932" s="70"/>
      <c r="D932" s="48" t="s">
        <v>756</v>
      </c>
      <c r="E932" s="13" t="s">
        <v>613</v>
      </c>
      <c r="F932" s="13">
        <v>12.0</v>
      </c>
      <c r="G932" s="35" t="str">
        <f t="shared" ref="G932:G946" si="178">IF(C932&gt;40908,"2012",IF(C932&gt;40543,"2011",IF(C932&gt;40178,"2010",IF(C932&gt;=39814,"2009",IF(C932&gt;=39448,"2008",IF(C932&gt;39082,"2007",IF(C932&lt;38717,"Pre-2006","2006")))))))</f>
        <v>Pre-2006</v>
      </c>
      <c r="H932" s="71"/>
      <c r="I932" s="71"/>
      <c r="J932" s="61"/>
      <c r="K932" s="62"/>
      <c r="L932" s="63"/>
      <c r="M932" s="59" t="str">
        <f t="shared" si="172"/>
        <v>NA</v>
      </c>
      <c r="N932" s="17"/>
    </row>
    <row r="933">
      <c r="A933" s="9"/>
      <c r="B933" s="38">
        <f t="shared" si="5"/>
        <v>931</v>
      </c>
      <c r="C933" s="34">
        <v>38867.0</v>
      </c>
      <c r="D933" s="48" t="s">
        <v>757</v>
      </c>
      <c r="E933" s="13" t="s">
        <v>613</v>
      </c>
      <c r="F933" s="13">
        <v>12.0</v>
      </c>
      <c r="G933" s="35" t="str">
        <f t="shared" si="178"/>
        <v>2006</v>
      </c>
      <c r="H933" s="71"/>
      <c r="I933" s="71"/>
      <c r="J933" s="61"/>
      <c r="K933" s="62"/>
      <c r="L933" s="63"/>
      <c r="M933" s="59" t="str">
        <f t="shared" si="172"/>
        <v>NA</v>
      </c>
      <c r="N933" s="17"/>
    </row>
    <row r="934">
      <c r="A934" s="9"/>
      <c r="B934" s="38">
        <f t="shared" si="5"/>
        <v>932</v>
      </c>
      <c r="C934" s="70"/>
      <c r="D934" s="48" t="s">
        <v>758</v>
      </c>
      <c r="E934" s="13" t="s">
        <v>613</v>
      </c>
      <c r="F934" s="13">
        <v>12.0</v>
      </c>
      <c r="G934" s="35" t="str">
        <f t="shared" si="178"/>
        <v>Pre-2006</v>
      </c>
      <c r="H934" s="71"/>
      <c r="I934" s="71"/>
      <c r="J934" s="61"/>
      <c r="K934" s="62"/>
      <c r="L934" s="63"/>
      <c r="M934" s="59" t="str">
        <f t="shared" si="172"/>
        <v>NA</v>
      </c>
      <c r="N934" s="17"/>
    </row>
    <row r="935">
      <c r="A935" s="9"/>
      <c r="B935" s="38">
        <f t="shared" si="5"/>
        <v>933</v>
      </c>
      <c r="C935" s="70"/>
      <c r="D935" s="48" t="s">
        <v>759</v>
      </c>
      <c r="E935" s="13" t="s">
        <v>613</v>
      </c>
      <c r="F935" s="13">
        <v>12.0</v>
      </c>
      <c r="G935" s="35" t="str">
        <f t="shared" si="178"/>
        <v>Pre-2006</v>
      </c>
      <c r="H935" s="71"/>
      <c r="I935" s="71"/>
      <c r="J935" s="61"/>
      <c r="K935" s="62"/>
      <c r="L935" s="63"/>
      <c r="M935" s="59" t="str">
        <f t="shared" si="172"/>
        <v>NA</v>
      </c>
      <c r="N935" s="17"/>
    </row>
    <row r="936">
      <c r="A936" s="9"/>
      <c r="B936" s="38">
        <f t="shared" si="5"/>
        <v>934</v>
      </c>
      <c r="C936" s="34">
        <v>39128.0</v>
      </c>
      <c r="D936" s="48" t="s">
        <v>760</v>
      </c>
      <c r="E936" s="13" t="s">
        <v>613</v>
      </c>
      <c r="F936" s="13">
        <v>12.0</v>
      </c>
      <c r="G936" s="35" t="str">
        <f t="shared" si="178"/>
        <v>2007</v>
      </c>
      <c r="H936" s="71"/>
      <c r="I936" s="71"/>
      <c r="J936" s="61"/>
      <c r="K936" s="62"/>
      <c r="L936" s="63"/>
      <c r="M936" s="59" t="str">
        <f t="shared" si="172"/>
        <v>NA</v>
      </c>
      <c r="N936" s="17"/>
    </row>
    <row r="937">
      <c r="A937" s="9"/>
      <c r="B937" s="38">
        <f t="shared" si="5"/>
        <v>935</v>
      </c>
      <c r="C937" s="70"/>
      <c r="D937" s="48" t="s">
        <v>761</v>
      </c>
      <c r="E937" s="13" t="s">
        <v>613</v>
      </c>
      <c r="F937" s="13">
        <v>12.0</v>
      </c>
      <c r="G937" s="35" t="str">
        <f t="shared" si="178"/>
        <v>Pre-2006</v>
      </c>
      <c r="H937" s="71"/>
      <c r="I937" s="71"/>
      <c r="J937" s="61"/>
      <c r="K937" s="62"/>
      <c r="L937" s="63"/>
      <c r="M937" s="59" t="str">
        <f t="shared" si="172"/>
        <v>NA</v>
      </c>
      <c r="N937" s="17"/>
    </row>
    <row r="938">
      <c r="A938" s="9"/>
      <c r="B938" s="38">
        <f t="shared" si="5"/>
        <v>936</v>
      </c>
      <c r="C938" s="70"/>
      <c r="D938" s="48" t="s">
        <v>762</v>
      </c>
      <c r="E938" s="13" t="s">
        <v>613</v>
      </c>
      <c r="F938" s="13">
        <v>12.0</v>
      </c>
      <c r="G938" s="35" t="str">
        <f t="shared" si="178"/>
        <v>Pre-2006</v>
      </c>
      <c r="H938" s="71"/>
      <c r="I938" s="71"/>
      <c r="J938" s="61"/>
      <c r="K938" s="62"/>
      <c r="L938" s="63"/>
      <c r="M938" s="59" t="str">
        <f t="shared" si="172"/>
        <v>NA</v>
      </c>
      <c r="N938" s="17"/>
    </row>
    <row r="939">
      <c r="A939" s="9"/>
      <c r="B939" s="38">
        <f t="shared" si="5"/>
        <v>937</v>
      </c>
      <c r="C939" s="70"/>
      <c r="D939" s="48" t="s">
        <v>763</v>
      </c>
      <c r="E939" s="13" t="s">
        <v>613</v>
      </c>
      <c r="F939" s="13">
        <v>12.0</v>
      </c>
      <c r="G939" s="35" t="str">
        <f t="shared" si="178"/>
        <v>Pre-2006</v>
      </c>
      <c r="H939" s="71"/>
      <c r="I939" s="71"/>
      <c r="J939" s="61"/>
      <c r="K939" s="62"/>
      <c r="L939" s="63"/>
      <c r="M939" s="59" t="str">
        <f t="shared" si="172"/>
        <v>NA</v>
      </c>
      <c r="N939" s="17"/>
    </row>
    <row r="940">
      <c r="A940" s="9"/>
      <c r="B940" s="38">
        <f t="shared" si="5"/>
        <v>938</v>
      </c>
      <c r="C940" s="70"/>
      <c r="D940" s="48" t="s">
        <v>764</v>
      </c>
      <c r="E940" s="13" t="s">
        <v>613</v>
      </c>
      <c r="F940" s="13">
        <v>12.0</v>
      </c>
      <c r="G940" s="35" t="str">
        <f t="shared" si="178"/>
        <v>Pre-2006</v>
      </c>
      <c r="H940" s="71"/>
      <c r="I940" s="71"/>
      <c r="J940" s="61"/>
      <c r="K940" s="62"/>
      <c r="L940" s="63"/>
      <c r="M940" s="59" t="str">
        <f t="shared" si="172"/>
        <v>NA</v>
      </c>
      <c r="N940" s="17"/>
    </row>
    <row r="941">
      <c r="A941" s="9"/>
      <c r="B941" s="38">
        <f t="shared" si="5"/>
        <v>939</v>
      </c>
      <c r="C941" s="70"/>
      <c r="D941" s="48" t="s">
        <v>765</v>
      </c>
      <c r="E941" s="13" t="s">
        <v>613</v>
      </c>
      <c r="F941" s="13">
        <v>12.0</v>
      </c>
      <c r="G941" s="35" t="str">
        <f t="shared" si="178"/>
        <v>Pre-2006</v>
      </c>
      <c r="H941" s="71"/>
      <c r="I941" s="71"/>
      <c r="J941" s="61"/>
      <c r="K941" s="62"/>
      <c r="L941" s="63"/>
      <c r="M941" s="59" t="str">
        <f t="shared" si="172"/>
        <v>NA</v>
      </c>
      <c r="N941" s="17"/>
    </row>
    <row r="942">
      <c r="A942" s="9"/>
      <c r="B942" s="38">
        <f t="shared" si="5"/>
        <v>940</v>
      </c>
      <c r="C942" s="70"/>
      <c r="D942" s="48" t="s">
        <v>766</v>
      </c>
      <c r="E942" s="13" t="s">
        <v>613</v>
      </c>
      <c r="F942" s="13">
        <v>12.0</v>
      </c>
      <c r="G942" s="35" t="str">
        <f t="shared" si="178"/>
        <v>Pre-2006</v>
      </c>
      <c r="H942" s="71"/>
      <c r="I942" s="71"/>
      <c r="J942" s="61"/>
      <c r="K942" s="62"/>
      <c r="L942" s="63"/>
      <c r="M942" s="59" t="str">
        <f t="shared" si="172"/>
        <v>NA</v>
      </c>
      <c r="N942" s="17"/>
    </row>
    <row r="943">
      <c r="A943" s="9"/>
      <c r="B943" s="38">
        <f t="shared" si="5"/>
        <v>941</v>
      </c>
      <c r="C943" s="70"/>
      <c r="D943" s="48" t="s">
        <v>767</v>
      </c>
      <c r="E943" s="13" t="s">
        <v>613</v>
      </c>
      <c r="F943" s="13">
        <v>12.0</v>
      </c>
      <c r="G943" s="35" t="str">
        <f t="shared" si="178"/>
        <v>Pre-2006</v>
      </c>
      <c r="H943" s="71"/>
      <c r="I943" s="71"/>
      <c r="J943" s="61"/>
      <c r="K943" s="62"/>
      <c r="L943" s="63"/>
      <c r="M943" s="59" t="str">
        <f t="shared" si="172"/>
        <v>NA</v>
      </c>
      <c r="N943" s="17"/>
    </row>
    <row r="944">
      <c r="A944" s="9"/>
      <c r="B944" s="38">
        <f t="shared" si="5"/>
        <v>942</v>
      </c>
      <c r="C944" s="34">
        <v>40664.0</v>
      </c>
      <c r="D944" s="48" t="s">
        <v>768</v>
      </c>
      <c r="E944" s="13" t="s">
        <v>613</v>
      </c>
      <c r="F944" s="13">
        <v>12.0</v>
      </c>
      <c r="G944" s="35" t="str">
        <f t="shared" si="178"/>
        <v>2011</v>
      </c>
      <c r="H944" s="13" t="s">
        <v>769</v>
      </c>
      <c r="I944" s="13" t="s">
        <v>47</v>
      </c>
      <c r="J944" s="14">
        <v>2011.0</v>
      </c>
      <c r="K944" s="15">
        <v>0.64</v>
      </c>
      <c r="L944" s="14">
        <v>105.0</v>
      </c>
      <c r="M944" s="16">
        <f t="shared" si="172"/>
        <v>0.6095238095</v>
      </c>
      <c r="N944" s="17"/>
    </row>
    <row r="945">
      <c r="A945" s="9"/>
      <c r="B945" s="38">
        <f t="shared" si="5"/>
        <v>943</v>
      </c>
      <c r="C945" s="70"/>
      <c r="D945" s="48" t="s">
        <v>770</v>
      </c>
      <c r="E945" s="13" t="s">
        <v>613</v>
      </c>
      <c r="F945" s="13">
        <v>12.0</v>
      </c>
      <c r="G945" s="35" t="str">
        <f t="shared" si="178"/>
        <v>Pre-2006</v>
      </c>
      <c r="H945" s="71"/>
      <c r="I945" s="71"/>
      <c r="J945" s="61"/>
      <c r="K945" s="62"/>
      <c r="L945" s="63"/>
      <c r="M945" s="59" t="str">
        <f t="shared" si="172"/>
        <v>NA</v>
      </c>
      <c r="N945" s="17"/>
    </row>
    <row r="946">
      <c r="A946" s="9"/>
      <c r="B946" s="38">
        <f t="shared" si="5"/>
        <v>944</v>
      </c>
      <c r="C946" s="70"/>
      <c r="D946" s="48" t="s">
        <v>771</v>
      </c>
      <c r="E946" s="13" t="s">
        <v>613</v>
      </c>
      <c r="F946" s="13">
        <v>12.0</v>
      </c>
      <c r="G946" s="35" t="str">
        <f t="shared" si="178"/>
        <v>Pre-2006</v>
      </c>
      <c r="H946" s="71"/>
      <c r="I946" s="71"/>
      <c r="J946" s="61"/>
      <c r="K946" s="62"/>
      <c r="L946" s="63"/>
      <c r="M946" s="59" t="str">
        <f t="shared" si="172"/>
        <v>NA</v>
      </c>
      <c r="N946" s="17"/>
    </row>
    <row r="947">
      <c r="A947" s="9"/>
      <c r="B947" s="38">
        <f t="shared" si="5"/>
        <v>945</v>
      </c>
      <c r="C947" s="34">
        <v>42890.0</v>
      </c>
      <c r="D947" s="74" t="str">
        <f>hyperlink("https://www.rottentomatoes.com/m/the_nice_guys","Nice Guys, The")</f>
        <v>Nice Guys, The</v>
      </c>
      <c r="E947" s="33" t="s">
        <v>613</v>
      </c>
      <c r="F947" s="33">
        <v>12.0</v>
      </c>
      <c r="G947" s="36">
        <v>2017.0</v>
      </c>
      <c r="H947" s="33" t="s">
        <v>58</v>
      </c>
      <c r="I947" s="33" t="s">
        <v>47</v>
      </c>
      <c r="J947" s="57">
        <v>2016.0</v>
      </c>
      <c r="K947" s="58">
        <v>0.92</v>
      </c>
      <c r="L947" s="37">
        <v>116.0</v>
      </c>
      <c r="M947" s="59">
        <f t="shared" si="172"/>
        <v>0.7931034483</v>
      </c>
      <c r="N947" s="17"/>
    </row>
    <row r="948">
      <c r="A948" s="9"/>
      <c r="B948" s="38">
        <f t="shared" si="5"/>
        <v>946</v>
      </c>
      <c r="C948" s="70"/>
      <c r="D948" s="64" t="s">
        <v>772</v>
      </c>
      <c r="E948" s="13" t="s">
        <v>613</v>
      </c>
      <c r="F948" s="13">
        <v>12.0</v>
      </c>
      <c r="G948" s="35" t="str">
        <f t="shared" ref="G948:G952" si="179">IF(C948&gt;40908,"2012",IF(C948&gt;40543,"2011",IF(C948&gt;40178,"2010",IF(C948&gt;=39814,"2009",IF(C948&gt;=39448,"2008",IF(C948&gt;39082,"2007",IF(C948&lt;38717,"Pre-2006","2006")))))))</f>
        <v>Pre-2006</v>
      </c>
      <c r="H948" s="71"/>
      <c r="I948" s="71"/>
      <c r="J948" s="61"/>
      <c r="K948" s="62"/>
      <c r="L948" s="63"/>
      <c r="M948" s="59" t="str">
        <f t="shared" si="172"/>
        <v>NA</v>
      </c>
      <c r="N948" s="17"/>
    </row>
    <row r="949">
      <c r="A949" s="9"/>
      <c r="B949" s="38">
        <f t="shared" si="5"/>
        <v>947</v>
      </c>
      <c r="C949" s="70"/>
      <c r="D949" s="48" t="s">
        <v>773</v>
      </c>
      <c r="E949" s="13" t="s">
        <v>613</v>
      </c>
      <c r="F949" s="13">
        <v>12.0</v>
      </c>
      <c r="G949" s="35" t="str">
        <f t="shared" si="179"/>
        <v>Pre-2006</v>
      </c>
      <c r="H949" s="71"/>
      <c r="I949" s="71"/>
      <c r="J949" s="61"/>
      <c r="K949" s="62"/>
      <c r="L949" s="63"/>
      <c r="M949" s="59" t="str">
        <f t="shared" si="172"/>
        <v>NA</v>
      </c>
      <c r="N949" s="17"/>
    </row>
    <row r="950">
      <c r="A950" s="9"/>
      <c r="B950" s="38">
        <f t="shared" si="5"/>
        <v>948</v>
      </c>
      <c r="C950" s="70"/>
      <c r="D950" s="48" t="s">
        <v>774</v>
      </c>
      <c r="E950" s="13" t="s">
        <v>613</v>
      </c>
      <c r="F950" s="13">
        <v>12.0</v>
      </c>
      <c r="G950" s="35" t="str">
        <f t="shared" si="179"/>
        <v>Pre-2006</v>
      </c>
      <c r="H950" s="71"/>
      <c r="I950" s="71"/>
      <c r="J950" s="61"/>
      <c r="K950" s="62"/>
      <c r="L950" s="63"/>
      <c r="M950" s="59" t="str">
        <f t="shared" si="172"/>
        <v>NA</v>
      </c>
      <c r="N950" s="17"/>
    </row>
    <row r="951">
      <c r="A951" s="9"/>
      <c r="B951" s="38">
        <f t="shared" si="5"/>
        <v>949</v>
      </c>
      <c r="C951" s="70"/>
      <c r="D951" s="48" t="s">
        <v>775</v>
      </c>
      <c r="E951" s="13" t="s">
        <v>613</v>
      </c>
      <c r="F951" s="13">
        <v>12.0</v>
      </c>
      <c r="G951" s="35" t="str">
        <f t="shared" si="179"/>
        <v>Pre-2006</v>
      </c>
      <c r="H951" s="71"/>
      <c r="I951" s="71"/>
      <c r="J951" s="61"/>
      <c r="K951" s="62"/>
      <c r="L951" s="63"/>
      <c r="M951" s="59" t="str">
        <f t="shared" si="172"/>
        <v>NA</v>
      </c>
      <c r="N951" s="17"/>
    </row>
    <row r="952">
      <c r="A952" s="9"/>
      <c r="B952" s="38">
        <f t="shared" si="5"/>
        <v>950</v>
      </c>
      <c r="C952" s="70"/>
      <c r="D952" s="48" t="s">
        <v>776</v>
      </c>
      <c r="E952" s="13" t="s">
        <v>613</v>
      </c>
      <c r="F952" s="13">
        <v>12.0</v>
      </c>
      <c r="G952" s="35" t="str">
        <f t="shared" si="179"/>
        <v>Pre-2006</v>
      </c>
      <c r="H952" s="71"/>
      <c r="I952" s="71"/>
      <c r="J952" s="61"/>
      <c r="K952" s="62"/>
      <c r="L952" s="63"/>
      <c r="M952" s="59" t="str">
        <f t="shared" si="172"/>
        <v>NA</v>
      </c>
      <c r="N952" s="17"/>
    </row>
    <row r="953">
      <c r="A953" s="9"/>
      <c r="B953" s="38">
        <f t="shared" si="5"/>
        <v>951</v>
      </c>
      <c r="C953" s="34">
        <v>44110.0</v>
      </c>
      <c r="D953" s="64" t="s">
        <v>777</v>
      </c>
      <c r="E953" s="33" t="s">
        <v>613</v>
      </c>
      <c r="F953" s="33">
        <v>12.0</v>
      </c>
      <c r="G953" s="36">
        <v>2020.0</v>
      </c>
      <c r="H953" s="33" t="s">
        <v>58</v>
      </c>
      <c r="I953" s="33" t="s">
        <v>47</v>
      </c>
      <c r="J953" s="57">
        <v>2006.0</v>
      </c>
      <c r="K953" s="58">
        <v>0.97</v>
      </c>
      <c r="L953" s="37">
        <v>86.0</v>
      </c>
      <c r="M953" s="59">
        <f t="shared" si="172"/>
        <v>1.127906977</v>
      </c>
      <c r="N953" s="17"/>
    </row>
    <row r="954">
      <c r="A954" s="9"/>
      <c r="B954" s="38">
        <f t="shared" si="5"/>
        <v>952</v>
      </c>
      <c r="C954" s="70"/>
      <c r="D954" s="48" t="s">
        <v>778</v>
      </c>
      <c r="E954" s="13" t="s">
        <v>613</v>
      </c>
      <c r="F954" s="13">
        <v>12.0</v>
      </c>
      <c r="G954" s="35" t="str">
        <f>IF(C954&gt;40908,"2012",IF(C954&gt;40543,"2011",IF(C954&gt;40178,"2010",IF(C954&gt;=39814,"2009",IF(C954&gt;=39448,"2008",IF(C954&gt;39082,"2007",IF(C954&lt;38717,"Pre-2006","2006")))))))</f>
        <v>Pre-2006</v>
      </c>
      <c r="H954" s="71"/>
      <c r="I954" s="71"/>
      <c r="J954" s="61"/>
      <c r="K954" s="62"/>
      <c r="L954" s="63"/>
      <c r="M954" s="59" t="str">
        <f t="shared" si="172"/>
        <v>NA</v>
      </c>
      <c r="N954" s="17"/>
    </row>
    <row r="955">
      <c r="A955" s="9"/>
      <c r="B955" s="38">
        <f t="shared" si="5"/>
        <v>953</v>
      </c>
      <c r="C955" s="34">
        <v>44778.0</v>
      </c>
      <c r="D955" s="12" t="str">
        <f>hyperlink("https://www.rottentomatoes.com/m/the_outfit_2022","Outfit, The")</f>
        <v>Outfit, The</v>
      </c>
      <c r="E955" s="33" t="s">
        <v>613</v>
      </c>
      <c r="F955" s="33">
        <v>12.0</v>
      </c>
      <c r="G955" s="36">
        <v>2022.0</v>
      </c>
      <c r="H955" s="33" t="s">
        <v>58</v>
      </c>
      <c r="I955" s="33" t="s">
        <v>77</v>
      </c>
      <c r="J955" s="57">
        <v>2022.0</v>
      </c>
      <c r="K955" s="58">
        <v>0.85</v>
      </c>
      <c r="L955" s="37">
        <v>105.0</v>
      </c>
      <c r="M955" s="59">
        <f t="shared" si="172"/>
        <v>0.8095238095</v>
      </c>
      <c r="N955" s="17"/>
    </row>
    <row r="956">
      <c r="A956" s="9"/>
      <c r="B956" s="38">
        <f t="shared" si="5"/>
        <v>954</v>
      </c>
      <c r="C956" s="70"/>
      <c r="D956" s="48" t="s">
        <v>779</v>
      </c>
      <c r="E956" s="13" t="s">
        <v>613</v>
      </c>
      <c r="F956" s="13">
        <v>12.0</v>
      </c>
      <c r="G956" s="35" t="str">
        <f t="shared" ref="G956:G957" si="180">IF(C956&gt;40908,"2012",IF(C956&gt;40543,"2011",IF(C956&gt;40178,"2010",IF(C956&gt;=39814,"2009",IF(C956&gt;=39448,"2008",IF(C956&gt;39082,"2007",IF(C956&lt;38717,"Pre-2006","2006")))))))</f>
        <v>Pre-2006</v>
      </c>
      <c r="H956" s="71"/>
      <c r="I956" s="71"/>
      <c r="J956" s="61"/>
      <c r="K956" s="62"/>
      <c r="L956" s="63"/>
      <c r="M956" s="59" t="str">
        <f t="shared" si="172"/>
        <v>NA</v>
      </c>
      <c r="N956" s="17"/>
    </row>
    <row r="957">
      <c r="A957" s="9"/>
      <c r="B957" s="38">
        <f t="shared" si="5"/>
        <v>955</v>
      </c>
      <c r="C957" s="70"/>
      <c r="D957" s="48" t="s">
        <v>780</v>
      </c>
      <c r="E957" s="13" t="s">
        <v>613</v>
      </c>
      <c r="F957" s="13">
        <v>12.0</v>
      </c>
      <c r="G957" s="35" t="str">
        <f t="shared" si="180"/>
        <v>Pre-2006</v>
      </c>
      <c r="H957" s="71"/>
      <c r="I957" s="71"/>
      <c r="J957" s="61"/>
      <c r="K957" s="62"/>
      <c r="L957" s="63"/>
      <c r="M957" s="59" t="str">
        <f t="shared" si="172"/>
        <v>NA</v>
      </c>
      <c r="N957" s="17"/>
    </row>
    <row r="958">
      <c r="A958" s="9"/>
      <c r="B958" s="38">
        <f t="shared" si="5"/>
        <v>956</v>
      </c>
      <c r="C958" s="75">
        <v>45736.0</v>
      </c>
      <c r="D958" s="12" t="str">
        <f>hyperlink("https://www.rottentomatoes.com/m/paddington_in_peru","Paddington in Peru")</f>
        <v>Paddington in Peru</v>
      </c>
      <c r="E958" s="33" t="s">
        <v>613</v>
      </c>
      <c r="F958" s="33">
        <v>12.0</v>
      </c>
      <c r="G958" s="33">
        <v>2025.0</v>
      </c>
      <c r="H958" s="33" t="s">
        <v>781</v>
      </c>
      <c r="I958" s="33" t="s">
        <v>26</v>
      </c>
      <c r="J958" s="57">
        <v>2025.0</v>
      </c>
      <c r="K958" s="56">
        <v>0.93</v>
      </c>
      <c r="L958" s="37">
        <v>106.0</v>
      </c>
      <c r="M958" s="16">
        <f t="shared" si="172"/>
        <v>0.8773584906</v>
      </c>
      <c r="N958" s="17"/>
    </row>
    <row r="959">
      <c r="A959" s="9"/>
      <c r="B959" s="38">
        <f t="shared" si="5"/>
        <v>957</v>
      </c>
      <c r="C959" s="70"/>
      <c r="D959" s="48" t="s">
        <v>20</v>
      </c>
      <c r="E959" s="13" t="s">
        <v>613</v>
      </c>
      <c r="F959" s="13">
        <v>12.0</v>
      </c>
      <c r="G959" s="13" t="s">
        <v>14</v>
      </c>
      <c r="H959" s="13" t="s">
        <v>373</v>
      </c>
      <c r="I959" s="13" t="s">
        <v>47</v>
      </c>
      <c r="J959" s="55">
        <v>2014.0</v>
      </c>
      <c r="K959" s="56">
        <v>0.71</v>
      </c>
      <c r="L959" s="14">
        <v>98.0</v>
      </c>
      <c r="M959" s="16">
        <f t="shared" si="172"/>
        <v>0.7244897959</v>
      </c>
      <c r="N959" s="17"/>
    </row>
    <row r="960">
      <c r="A960" s="9"/>
      <c r="B960" s="38">
        <f t="shared" si="5"/>
        <v>958</v>
      </c>
      <c r="C960" s="70"/>
      <c r="D960" s="48" t="s">
        <v>782</v>
      </c>
      <c r="E960" s="13" t="s">
        <v>613</v>
      </c>
      <c r="F960" s="13">
        <v>12.0</v>
      </c>
      <c r="G960" s="35" t="str">
        <f t="shared" ref="G960:G962" si="181">IF(C960&gt;40908,"2012",IF(C960&gt;40543,"2011",IF(C960&gt;40178,"2010",IF(C960&gt;=39814,"2009",IF(C960&gt;=39448,"2008",IF(C960&gt;39082,"2007",IF(C960&lt;38717,"Pre-2006","2006")))))))</f>
        <v>Pre-2006</v>
      </c>
      <c r="H960" s="71"/>
      <c r="I960" s="71"/>
      <c r="J960" s="61"/>
      <c r="K960" s="62"/>
      <c r="L960" s="63"/>
      <c r="M960" s="59" t="str">
        <f t="shared" si="172"/>
        <v>NA</v>
      </c>
      <c r="N960" s="17"/>
    </row>
    <row r="961">
      <c r="A961" s="9"/>
      <c r="B961" s="38">
        <f t="shared" si="5"/>
        <v>959</v>
      </c>
      <c r="C961" s="70"/>
      <c r="D961" s="48" t="s">
        <v>783</v>
      </c>
      <c r="E961" s="13" t="s">
        <v>613</v>
      </c>
      <c r="F961" s="13">
        <v>12.0</v>
      </c>
      <c r="G961" s="35" t="str">
        <f t="shared" si="181"/>
        <v>Pre-2006</v>
      </c>
      <c r="H961" s="71"/>
      <c r="I961" s="71"/>
      <c r="J961" s="61"/>
      <c r="K961" s="62"/>
      <c r="L961" s="63"/>
      <c r="M961" s="59" t="str">
        <f t="shared" si="172"/>
        <v>NA</v>
      </c>
      <c r="N961" s="17"/>
    </row>
    <row r="962">
      <c r="A962" s="9"/>
      <c r="B962" s="38">
        <f t="shared" si="5"/>
        <v>960</v>
      </c>
      <c r="C962" s="70"/>
      <c r="D962" s="48" t="s">
        <v>784</v>
      </c>
      <c r="E962" s="13" t="s">
        <v>613</v>
      </c>
      <c r="F962" s="13">
        <v>12.0</v>
      </c>
      <c r="G962" s="35" t="str">
        <f t="shared" si="181"/>
        <v>Pre-2006</v>
      </c>
      <c r="H962" s="71"/>
      <c r="I962" s="71"/>
      <c r="J962" s="61"/>
      <c r="K962" s="62"/>
      <c r="L962" s="63"/>
      <c r="M962" s="59" t="str">
        <f t="shared" si="172"/>
        <v>NA</v>
      </c>
      <c r="N962" s="17"/>
    </row>
    <row r="963">
      <c r="A963" s="9"/>
      <c r="B963" s="38">
        <f t="shared" si="5"/>
        <v>961</v>
      </c>
      <c r="C963" s="34">
        <v>45459.0</v>
      </c>
      <c r="D963" s="12" t="str">
        <f>hyperlink("https://www.rottentomatoes.com/m/past_lives","Past Lives")</f>
        <v>Past Lives</v>
      </c>
      <c r="E963" s="33" t="s">
        <v>613</v>
      </c>
      <c r="F963" s="33">
        <v>12.0</v>
      </c>
      <c r="G963" s="36">
        <v>2024.0</v>
      </c>
      <c r="H963" s="33" t="s">
        <v>785</v>
      </c>
      <c r="I963" s="33" t="s">
        <v>47</v>
      </c>
      <c r="J963" s="57">
        <v>2023.0</v>
      </c>
      <c r="K963" s="58">
        <v>0.95</v>
      </c>
      <c r="L963" s="37">
        <v>106.0</v>
      </c>
      <c r="M963" s="16">
        <f t="shared" si="172"/>
        <v>0.8962264151</v>
      </c>
      <c r="N963" s="17"/>
    </row>
    <row r="964">
      <c r="A964" s="9"/>
      <c r="B964" s="38">
        <f t="shared" si="5"/>
        <v>962</v>
      </c>
      <c r="C964" s="70"/>
      <c r="D964" s="48" t="s">
        <v>786</v>
      </c>
      <c r="E964" s="13" t="s">
        <v>613</v>
      </c>
      <c r="F964" s="13">
        <v>12.0</v>
      </c>
      <c r="G964" s="35" t="str">
        <f t="shared" ref="G964:G974" si="182">IF(C964&gt;40908,"2012",IF(C964&gt;40543,"2011",IF(C964&gt;40178,"2010",IF(C964&gt;=39814,"2009",IF(C964&gt;=39448,"2008",IF(C964&gt;39082,"2007",IF(C964&lt;38717,"Pre-2006","2006")))))))</f>
        <v>Pre-2006</v>
      </c>
      <c r="H964" s="71"/>
      <c r="I964" s="71"/>
      <c r="J964" s="61"/>
      <c r="K964" s="62"/>
      <c r="L964" s="63"/>
      <c r="M964" s="59" t="str">
        <f t="shared" si="172"/>
        <v>NA</v>
      </c>
      <c r="N964" s="17"/>
    </row>
    <row r="965">
      <c r="A965" s="9"/>
      <c r="B965" s="38">
        <f t="shared" si="5"/>
        <v>963</v>
      </c>
      <c r="C965" s="70"/>
      <c r="D965" s="48" t="s">
        <v>787</v>
      </c>
      <c r="E965" s="13" t="s">
        <v>613</v>
      </c>
      <c r="F965" s="13">
        <v>12.0</v>
      </c>
      <c r="G965" s="35" t="str">
        <f t="shared" si="182"/>
        <v>Pre-2006</v>
      </c>
      <c r="H965" s="71"/>
      <c r="I965" s="71"/>
      <c r="J965" s="61"/>
      <c r="K965" s="62"/>
      <c r="L965" s="63"/>
      <c r="M965" s="59" t="str">
        <f t="shared" si="172"/>
        <v>NA</v>
      </c>
      <c r="N965" s="17"/>
    </row>
    <row r="966">
      <c r="A966" s="9"/>
      <c r="B966" s="38">
        <f t="shared" si="5"/>
        <v>964</v>
      </c>
      <c r="C966" s="70"/>
      <c r="D966" s="48" t="s">
        <v>788</v>
      </c>
      <c r="E966" s="13" t="s">
        <v>613</v>
      </c>
      <c r="F966" s="13">
        <v>12.0</v>
      </c>
      <c r="G966" s="35" t="str">
        <f t="shared" si="182"/>
        <v>Pre-2006</v>
      </c>
      <c r="H966" s="71"/>
      <c r="I966" s="71"/>
      <c r="J966" s="61"/>
      <c r="K966" s="62"/>
      <c r="L966" s="63"/>
      <c r="M966" s="59" t="str">
        <f t="shared" si="172"/>
        <v>NA</v>
      </c>
      <c r="N966" s="17"/>
    </row>
    <row r="967">
      <c r="A967" s="9"/>
      <c r="B967" s="38">
        <f t="shared" si="5"/>
        <v>965</v>
      </c>
      <c r="C967" s="70"/>
      <c r="D967" s="48" t="s">
        <v>789</v>
      </c>
      <c r="E967" s="13" t="s">
        <v>613</v>
      </c>
      <c r="F967" s="13">
        <v>12.0</v>
      </c>
      <c r="G967" s="35" t="str">
        <f t="shared" si="182"/>
        <v>Pre-2006</v>
      </c>
      <c r="H967" s="71"/>
      <c r="I967" s="71"/>
      <c r="J967" s="61"/>
      <c r="K967" s="62"/>
      <c r="L967" s="63"/>
      <c r="M967" s="59" t="str">
        <f t="shared" si="172"/>
        <v>NA</v>
      </c>
      <c r="N967" s="17"/>
    </row>
    <row r="968">
      <c r="A968" s="9"/>
      <c r="B968" s="38">
        <f t="shared" si="5"/>
        <v>966</v>
      </c>
      <c r="C968" s="70"/>
      <c r="D968" s="48" t="s">
        <v>790</v>
      </c>
      <c r="E968" s="13" t="s">
        <v>613</v>
      </c>
      <c r="F968" s="13">
        <v>12.0</v>
      </c>
      <c r="G968" s="35" t="str">
        <f t="shared" si="182"/>
        <v>Pre-2006</v>
      </c>
      <c r="H968" s="71"/>
      <c r="I968" s="71"/>
      <c r="J968" s="61"/>
      <c r="K968" s="62"/>
      <c r="L968" s="63"/>
      <c r="M968" s="59" t="str">
        <f t="shared" si="172"/>
        <v>NA</v>
      </c>
      <c r="N968" s="17"/>
    </row>
    <row r="969">
      <c r="A969" s="9"/>
      <c r="B969" s="38">
        <f t="shared" si="5"/>
        <v>967</v>
      </c>
      <c r="C969" s="70"/>
      <c r="D969" s="48" t="s">
        <v>791</v>
      </c>
      <c r="E969" s="13" t="s">
        <v>613</v>
      </c>
      <c r="F969" s="13">
        <v>12.0</v>
      </c>
      <c r="G969" s="35" t="str">
        <f t="shared" si="182"/>
        <v>Pre-2006</v>
      </c>
      <c r="H969" s="71"/>
      <c r="I969" s="71"/>
      <c r="J969" s="61"/>
      <c r="K969" s="62"/>
      <c r="L969" s="63"/>
      <c r="M969" s="59" t="str">
        <f t="shared" si="172"/>
        <v>NA</v>
      </c>
      <c r="N969" s="17"/>
    </row>
    <row r="970">
      <c r="A970" s="9"/>
      <c r="B970" s="38">
        <f t="shared" si="5"/>
        <v>968</v>
      </c>
      <c r="C970" s="70"/>
      <c r="D970" s="48" t="s">
        <v>792</v>
      </c>
      <c r="E970" s="13" t="s">
        <v>613</v>
      </c>
      <c r="F970" s="13">
        <v>12.0</v>
      </c>
      <c r="G970" s="35" t="str">
        <f t="shared" si="182"/>
        <v>Pre-2006</v>
      </c>
      <c r="H970" s="71"/>
      <c r="I970" s="71"/>
      <c r="J970" s="61"/>
      <c r="K970" s="62"/>
      <c r="L970" s="63"/>
      <c r="M970" s="59" t="str">
        <f t="shared" si="172"/>
        <v>NA</v>
      </c>
      <c r="N970" s="17"/>
    </row>
    <row r="971">
      <c r="A971" s="9"/>
      <c r="B971" s="38">
        <f t="shared" si="5"/>
        <v>969</v>
      </c>
      <c r="C971" s="70"/>
      <c r="D971" s="48" t="s">
        <v>793</v>
      </c>
      <c r="E971" s="13" t="s">
        <v>613</v>
      </c>
      <c r="F971" s="13">
        <v>12.0</v>
      </c>
      <c r="G971" s="35" t="str">
        <f t="shared" si="182"/>
        <v>Pre-2006</v>
      </c>
      <c r="H971" s="71"/>
      <c r="I971" s="71"/>
      <c r="J971" s="61"/>
      <c r="K971" s="62"/>
      <c r="L971" s="63"/>
      <c r="M971" s="59" t="str">
        <f t="shared" si="172"/>
        <v>NA</v>
      </c>
      <c r="N971" s="17"/>
    </row>
    <row r="972">
      <c r="A972" s="9"/>
      <c r="B972" s="38">
        <f t="shared" si="5"/>
        <v>970</v>
      </c>
      <c r="C972" s="70"/>
      <c r="D972" s="48" t="s">
        <v>794</v>
      </c>
      <c r="E972" s="13" t="s">
        <v>613</v>
      </c>
      <c r="F972" s="13">
        <v>12.0</v>
      </c>
      <c r="G972" s="35" t="str">
        <f t="shared" si="182"/>
        <v>Pre-2006</v>
      </c>
      <c r="H972" s="71"/>
      <c r="I972" s="71"/>
      <c r="J972" s="61"/>
      <c r="K972" s="62"/>
      <c r="L972" s="63"/>
      <c r="M972" s="59" t="str">
        <f t="shared" si="172"/>
        <v>NA</v>
      </c>
      <c r="N972" s="17"/>
    </row>
    <row r="973">
      <c r="A973" s="9"/>
      <c r="B973" s="38">
        <f t="shared" si="5"/>
        <v>971</v>
      </c>
      <c r="C973" s="70"/>
      <c r="D973" s="48" t="s">
        <v>795</v>
      </c>
      <c r="E973" s="13" t="s">
        <v>613</v>
      </c>
      <c r="F973" s="13">
        <v>12.0</v>
      </c>
      <c r="G973" s="35" t="str">
        <f t="shared" si="182"/>
        <v>Pre-2006</v>
      </c>
      <c r="H973" s="71"/>
      <c r="I973" s="71"/>
      <c r="J973" s="61"/>
      <c r="K973" s="62"/>
      <c r="L973" s="63"/>
      <c r="M973" s="59" t="str">
        <f t="shared" si="172"/>
        <v>NA</v>
      </c>
      <c r="N973" s="17"/>
    </row>
    <row r="974">
      <c r="A974" s="9"/>
      <c r="B974" s="38">
        <f t="shared" si="5"/>
        <v>972</v>
      </c>
      <c r="C974" s="70"/>
      <c r="D974" s="48" t="s">
        <v>796</v>
      </c>
      <c r="E974" s="13" t="s">
        <v>613</v>
      </c>
      <c r="F974" s="13">
        <v>12.0</v>
      </c>
      <c r="G974" s="35" t="str">
        <f t="shared" si="182"/>
        <v>Pre-2006</v>
      </c>
      <c r="H974" s="71"/>
      <c r="I974" s="71"/>
      <c r="J974" s="61"/>
      <c r="K974" s="62"/>
      <c r="L974" s="63"/>
      <c r="M974" s="59" t="str">
        <f t="shared" si="172"/>
        <v>NA</v>
      </c>
      <c r="N974" s="17"/>
    </row>
    <row r="975">
      <c r="A975" s="9"/>
      <c r="B975" s="38">
        <f t="shared" si="5"/>
        <v>973</v>
      </c>
      <c r="C975" s="34">
        <v>44864.0</v>
      </c>
      <c r="D975" s="12" t="str">
        <f>hyperlink("postcards_from_the_edge","Postcards from the Edge")</f>
        <v>Postcards from the Edge</v>
      </c>
      <c r="E975" s="33" t="s">
        <v>613</v>
      </c>
      <c r="F975" s="33">
        <v>12.0</v>
      </c>
      <c r="G975" s="36">
        <v>2022.0</v>
      </c>
      <c r="H975" s="33" t="s">
        <v>58</v>
      </c>
      <c r="I975" s="33" t="s">
        <v>47</v>
      </c>
      <c r="J975" s="57">
        <v>1990.0</v>
      </c>
      <c r="K975" s="58">
        <v>0.83</v>
      </c>
      <c r="L975" s="37">
        <v>101.0</v>
      </c>
      <c r="M975" s="16">
        <f t="shared" si="172"/>
        <v>0.8217821782</v>
      </c>
      <c r="N975" s="17"/>
    </row>
    <row r="976">
      <c r="A976" s="9"/>
      <c r="B976" s="38">
        <f t="shared" si="5"/>
        <v>974</v>
      </c>
      <c r="C976" s="70"/>
      <c r="D976" s="48" t="s">
        <v>797</v>
      </c>
      <c r="E976" s="13" t="s">
        <v>613</v>
      </c>
      <c r="F976" s="13">
        <v>12.0</v>
      </c>
      <c r="G976" s="35" t="str">
        <f>IF(C976&gt;40908,"2012",IF(C976&gt;40543,"2011",IF(C976&gt;40178,"2010",IF(C976&gt;=39814,"2009",IF(C976&gt;=39448,"2008",IF(C976&gt;39082,"2007",IF(C976&lt;38717,"Pre-2006","2006")))))))</f>
        <v>Pre-2006</v>
      </c>
      <c r="H976" s="71"/>
      <c r="I976" s="71"/>
      <c r="J976" s="61"/>
      <c r="K976" s="62"/>
      <c r="L976" s="63"/>
      <c r="M976" s="59" t="str">
        <f t="shared" si="172"/>
        <v>NA</v>
      </c>
      <c r="N976" s="17"/>
    </row>
    <row r="977">
      <c r="A977" s="9"/>
      <c r="B977" s="38">
        <f t="shared" si="5"/>
        <v>975</v>
      </c>
      <c r="C977" s="34">
        <v>41284.0</v>
      </c>
      <c r="D977" s="48" t="s">
        <v>798</v>
      </c>
      <c r="E977" s="13" t="s">
        <v>613</v>
      </c>
      <c r="F977" s="13">
        <v>12.0</v>
      </c>
      <c r="G977" s="13">
        <v>2013.0</v>
      </c>
      <c r="H977" s="13" t="s">
        <v>25</v>
      </c>
      <c r="I977" s="13" t="s">
        <v>47</v>
      </c>
      <c r="J977" s="55">
        <v>2012.0</v>
      </c>
      <c r="K977" s="56">
        <v>0.76</v>
      </c>
      <c r="L977" s="14">
        <v>90.0</v>
      </c>
      <c r="M977" s="16">
        <f t="shared" si="172"/>
        <v>0.8444444444</v>
      </c>
      <c r="N977" s="17"/>
    </row>
    <row r="978">
      <c r="A978" s="9"/>
      <c r="B978" s="38">
        <f t="shared" si="5"/>
        <v>976</v>
      </c>
      <c r="C978" s="70"/>
      <c r="D978" s="48" t="s">
        <v>799</v>
      </c>
      <c r="E978" s="13" t="s">
        <v>613</v>
      </c>
      <c r="F978" s="13">
        <v>12.0</v>
      </c>
      <c r="G978" s="35" t="str">
        <f t="shared" ref="G978:G980" si="183">IF(C978&gt;40908,"2012",IF(C978&gt;40543,"2011",IF(C978&gt;40178,"2010",IF(C978&gt;=39814,"2009",IF(C978&gt;=39448,"2008",IF(C978&gt;39082,"2007",IF(C978&lt;38717,"Pre-2006","2006")))))))</f>
        <v>Pre-2006</v>
      </c>
      <c r="H978" s="71"/>
      <c r="I978" s="71"/>
      <c r="J978" s="61"/>
      <c r="K978" s="62"/>
      <c r="L978" s="63"/>
      <c r="M978" s="59" t="str">
        <f t="shared" si="172"/>
        <v>NA</v>
      </c>
      <c r="N978" s="17"/>
    </row>
    <row r="979">
      <c r="A979" s="9"/>
      <c r="B979" s="38">
        <f t="shared" si="5"/>
        <v>977</v>
      </c>
      <c r="C979" s="70"/>
      <c r="D979" s="48" t="s">
        <v>800</v>
      </c>
      <c r="E979" s="13" t="s">
        <v>613</v>
      </c>
      <c r="F979" s="13">
        <v>12.0</v>
      </c>
      <c r="G979" s="35" t="str">
        <f t="shared" si="183"/>
        <v>Pre-2006</v>
      </c>
      <c r="H979" s="71"/>
      <c r="I979" s="71"/>
      <c r="J979" s="61"/>
      <c r="K979" s="62"/>
      <c r="L979" s="63"/>
      <c r="M979" s="59" t="str">
        <f t="shared" si="172"/>
        <v>NA</v>
      </c>
      <c r="N979" s="17"/>
    </row>
    <row r="980">
      <c r="A980" s="9"/>
      <c r="B980" s="38">
        <f t="shared" si="5"/>
        <v>978</v>
      </c>
      <c r="C980" s="70"/>
      <c r="D980" s="48" t="s">
        <v>801</v>
      </c>
      <c r="E980" s="13" t="s">
        <v>613</v>
      </c>
      <c r="F980" s="13">
        <v>12.0</v>
      </c>
      <c r="G980" s="35" t="str">
        <f t="shared" si="183"/>
        <v>Pre-2006</v>
      </c>
      <c r="H980" s="71"/>
      <c r="I980" s="71"/>
      <c r="J980" s="61"/>
      <c r="K980" s="62"/>
      <c r="L980" s="63"/>
      <c r="M980" s="59" t="str">
        <f t="shared" si="172"/>
        <v>NA</v>
      </c>
      <c r="N980" s="17"/>
    </row>
    <row r="981">
      <c r="A981" s="9"/>
      <c r="B981" s="38">
        <f t="shared" si="5"/>
        <v>979</v>
      </c>
      <c r="C981" s="34">
        <v>43205.0</v>
      </c>
      <c r="D981" s="12" t="str">
        <f>hyperlink("https://www.rottentomatoes.com/m/the_redeemed_and_the_dominant_fittest_on_earth","Redeemed and the Dominant: Fittest on Earth, The")</f>
        <v>Redeemed and the Dominant: Fittest on Earth, The</v>
      </c>
      <c r="E981" s="33" t="s">
        <v>613</v>
      </c>
      <c r="F981" s="33">
        <v>12.0</v>
      </c>
      <c r="G981" s="36">
        <v>2018.0</v>
      </c>
      <c r="H981" s="33" t="s">
        <v>58</v>
      </c>
      <c r="I981" s="33" t="s">
        <v>47</v>
      </c>
      <c r="J981" s="57">
        <v>2018.0</v>
      </c>
      <c r="K981" s="82" t="s">
        <v>169</v>
      </c>
      <c r="L981" s="37">
        <v>102.0</v>
      </c>
      <c r="M981" s="59" t="str">
        <f t="shared" si="172"/>
        <v>NA</v>
      </c>
      <c r="N981" s="17"/>
    </row>
    <row r="982">
      <c r="A982" s="9"/>
      <c r="B982" s="38">
        <f t="shared" si="5"/>
        <v>980</v>
      </c>
      <c r="C982" s="70"/>
      <c r="D982" s="48" t="s">
        <v>802</v>
      </c>
      <c r="E982" s="13" t="s">
        <v>613</v>
      </c>
      <c r="F982" s="13">
        <v>12.0</v>
      </c>
      <c r="G982" s="35" t="str">
        <f>IF(C982&gt;40908,"2012",IF(C982&gt;40543,"2011",IF(C982&gt;40178,"2010",IF(C982&gt;=39814,"2009",IF(C982&gt;=39448,"2008",IF(C982&gt;39082,"2007",IF(C982&lt;38717,"Pre-2006","2006")))))))</f>
        <v>Pre-2006</v>
      </c>
      <c r="H982" s="71"/>
      <c r="I982" s="71"/>
      <c r="J982" s="61"/>
      <c r="K982" s="62"/>
      <c r="L982" s="63"/>
      <c r="M982" s="59" t="str">
        <f t="shared" si="172"/>
        <v>NA</v>
      </c>
      <c r="N982" s="17"/>
    </row>
    <row r="983">
      <c r="A983" s="9"/>
      <c r="B983" s="38">
        <f t="shared" si="5"/>
        <v>981</v>
      </c>
      <c r="C983" s="34">
        <v>43225.0</v>
      </c>
      <c r="D983" s="12" t="str">
        <f>hyperlink("https://www.rottentomatoes.com/m/the_road_uphill","Road Uphill, The")</f>
        <v>Road Uphill, The</v>
      </c>
      <c r="E983" s="33" t="s">
        <v>613</v>
      </c>
      <c r="F983" s="33">
        <v>12.0</v>
      </c>
      <c r="G983" s="36">
        <v>2018.0</v>
      </c>
      <c r="H983" s="33" t="s">
        <v>803</v>
      </c>
      <c r="I983" s="33" t="s">
        <v>47</v>
      </c>
      <c r="J983" s="57">
        <v>2011.0</v>
      </c>
      <c r="K983" s="82" t="s">
        <v>804</v>
      </c>
      <c r="L983" s="37">
        <v>80.0</v>
      </c>
      <c r="M983" s="59" t="str">
        <f t="shared" si="172"/>
        <v>NA</v>
      </c>
      <c r="N983" s="17"/>
    </row>
    <row r="984">
      <c r="A984" s="9"/>
      <c r="B984" s="38">
        <f t="shared" si="5"/>
        <v>982</v>
      </c>
      <c r="C984" s="70"/>
      <c r="D984" s="48" t="s">
        <v>805</v>
      </c>
      <c r="E984" s="13" t="s">
        <v>613</v>
      </c>
      <c r="F984" s="13">
        <v>12.0</v>
      </c>
      <c r="G984" s="35" t="str">
        <f t="shared" ref="G984:G988" si="184">IF(C984&gt;40908,"2012",IF(C984&gt;40543,"2011",IF(C984&gt;40178,"2010",IF(C984&gt;=39814,"2009",IF(C984&gt;=39448,"2008",IF(C984&gt;39082,"2007",IF(C984&lt;38717,"Pre-2006","2006")))))))</f>
        <v>Pre-2006</v>
      </c>
      <c r="H984" s="71"/>
      <c r="I984" s="71"/>
      <c r="J984" s="61"/>
      <c r="K984" s="62"/>
      <c r="L984" s="63"/>
      <c r="M984" s="59" t="str">
        <f t="shared" si="172"/>
        <v>NA</v>
      </c>
      <c r="N984" s="17"/>
    </row>
    <row r="985">
      <c r="A985" s="9"/>
      <c r="B985" s="38">
        <f t="shared" si="5"/>
        <v>983</v>
      </c>
      <c r="C985" s="70"/>
      <c r="D985" s="48" t="s">
        <v>806</v>
      </c>
      <c r="E985" s="13" t="s">
        <v>613</v>
      </c>
      <c r="F985" s="13">
        <v>12.0</v>
      </c>
      <c r="G985" s="35" t="str">
        <f t="shared" si="184"/>
        <v>Pre-2006</v>
      </c>
      <c r="H985" s="71"/>
      <c r="I985" s="71"/>
      <c r="J985" s="61"/>
      <c r="K985" s="62"/>
      <c r="L985" s="63"/>
      <c r="M985" s="59" t="str">
        <f t="shared" si="172"/>
        <v>NA</v>
      </c>
      <c r="N985" s="17"/>
    </row>
    <row r="986">
      <c r="A986" s="9"/>
      <c r="B986" s="38">
        <f t="shared" si="5"/>
        <v>984</v>
      </c>
      <c r="C986" s="70"/>
      <c r="D986" s="48" t="s">
        <v>807</v>
      </c>
      <c r="E986" s="13" t="s">
        <v>613</v>
      </c>
      <c r="F986" s="13">
        <v>12.0</v>
      </c>
      <c r="G986" s="35" t="str">
        <f t="shared" si="184"/>
        <v>Pre-2006</v>
      </c>
      <c r="H986" s="71"/>
      <c r="I986" s="71"/>
      <c r="J986" s="61"/>
      <c r="K986" s="62"/>
      <c r="L986" s="63"/>
      <c r="M986" s="59" t="str">
        <f t="shared" si="172"/>
        <v>NA</v>
      </c>
      <c r="N986" s="17"/>
    </row>
    <row r="987">
      <c r="A987" s="9"/>
      <c r="B987" s="38">
        <f t="shared" si="5"/>
        <v>985</v>
      </c>
      <c r="C987" s="70"/>
      <c r="D987" s="48" t="s">
        <v>808</v>
      </c>
      <c r="E987" s="13" t="s">
        <v>613</v>
      </c>
      <c r="F987" s="13">
        <v>12.0</v>
      </c>
      <c r="G987" s="35" t="str">
        <f t="shared" si="184"/>
        <v>Pre-2006</v>
      </c>
      <c r="H987" s="71"/>
      <c r="I987" s="71"/>
      <c r="J987" s="61"/>
      <c r="K987" s="62"/>
      <c r="L987" s="63"/>
      <c r="M987" s="59" t="str">
        <f t="shared" si="172"/>
        <v>NA</v>
      </c>
      <c r="N987" s="17"/>
    </row>
    <row r="988">
      <c r="A988" s="9"/>
      <c r="B988" s="38">
        <f t="shared" si="5"/>
        <v>986</v>
      </c>
      <c r="C988" s="70"/>
      <c r="D988" s="48" t="s">
        <v>809</v>
      </c>
      <c r="E988" s="13" t="s">
        <v>613</v>
      </c>
      <c r="F988" s="13">
        <v>12.0</v>
      </c>
      <c r="G988" s="35" t="str">
        <f t="shared" si="184"/>
        <v>Pre-2006</v>
      </c>
      <c r="H988" s="71"/>
      <c r="I988" s="71"/>
      <c r="J988" s="61"/>
      <c r="K988" s="62"/>
      <c r="L988" s="63"/>
      <c r="M988" s="59" t="str">
        <f t="shared" si="172"/>
        <v>NA</v>
      </c>
      <c r="N988" s="17"/>
    </row>
    <row r="989">
      <c r="A989" s="9"/>
      <c r="B989" s="38">
        <f t="shared" si="5"/>
        <v>987</v>
      </c>
      <c r="C989" s="34">
        <v>44656.0</v>
      </c>
      <c r="D989" s="12" t="str">
        <f>hyperlink("https://www.rottentomatoes.com/m/schumacher","Schumacher")</f>
        <v>Schumacher</v>
      </c>
      <c r="E989" s="33" t="s">
        <v>613</v>
      </c>
      <c r="F989" s="33">
        <v>12.0</v>
      </c>
      <c r="G989" s="36">
        <v>2022.0</v>
      </c>
      <c r="H989" s="33" t="s">
        <v>58</v>
      </c>
      <c r="I989" s="33" t="s">
        <v>77</v>
      </c>
      <c r="J989" s="57">
        <v>2021.0</v>
      </c>
      <c r="K989" s="58">
        <v>0.6</v>
      </c>
      <c r="L989" s="37">
        <v>112.0</v>
      </c>
      <c r="M989" s="16">
        <f t="shared" si="172"/>
        <v>0.5357142857</v>
      </c>
      <c r="N989" s="17"/>
    </row>
    <row r="990">
      <c r="A990" s="9"/>
      <c r="B990" s="38">
        <f t="shared" si="5"/>
        <v>988</v>
      </c>
      <c r="C990" s="34">
        <v>39084.0</v>
      </c>
      <c r="D990" s="48" t="s">
        <v>810</v>
      </c>
      <c r="E990" s="13" t="s">
        <v>613</v>
      </c>
      <c r="F990" s="13">
        <v>12.0</v>
      </c>
      <c r="G990" s="35" t="str">
        <f>IF(C990&gt;40908,"2012",IF(C990&gt;40543,"2011",IF(C990&gt;40178,"2010",IF(C990&gt;=39814,"2009",IF(C990&gt;=39448,"2008",IF(C990&gt;39082,"2007",IF(C990&lt;38717,"Pre-2006","2006")))))))</f>
        <v>2007</v>
      </c>
      <c r="H990" s="71"/>
      <c r="I990" s="71"/>
      <c r="J990" s="61"/>
      <c r="K990" s="62"/>
      <c r="L990" s="63"/>
      <c r="M990" s="59" t="str">
        <f t="shared" si="172"/>
        <v>NA</v>
      </c>
      <c r="N990" s="17"/>
    </row>
    <row r="991">
      <c r="A991" s="9"/>
      <c r="B991" s="38">
        <f t="shared" si="5"/>
        <v>989</v>
      </c>
      <c r="C991" s="75">
        <v>45557.0</v>
      </c>
      <c r="D991" s="12" t="str">
        <f>hyperlink("https://www.rottentomatoes.com/m/the_sea_beast","Sea Beast, The")</f>
        <v>Sea Beast, The</v>
      </c>
      <c r="E991" s="33" t="s">
        <v>613</v>
      </c>
      <c r="F991" s="33">
        <v>12.0</v>
      </c>
      <c r="G991" s="36">
        <v>2024.0</v>
      </c>
      <c r="H991" s="33" t="s">
        <v>58</v>
      </c>
      <c r="I991" s="33" t="s">
        <v>77</v>
      </c>
      <c r="J991" s="57">
        <v>2022.0</v>
      </c>
      <c r="K991" s="58">
        <v>0.94</v>
      </c>
      <c r="L991" s="37">
        <v>155.0</v>
      </c>
      <c r="M991" s="16">
        <f t="shared" si="172"/>
        <v>0.6064516129</v>
      </c>
      <c r="N991" s="17"/>
    </row>
    <row r="992">
      <c r="A992" s="9"/>
      <c r="B992" s="38">
        <f t="shared" si="5"/>
        <v>990</v>
      </c>
      <c r="C992" s="70"/>
      <c r="D992" s="48" t="s">
        <v>811</v>
      </c>
      <c r="E992" s="13" t="s">
        <v>613</v>
      </c>
      <c r="F992" s="13">
        <v>12.0</v>
      </c>
      <c r="G992" s="35" t="str">
        <f t="shared" ref="G992:G994" si="185">IF(C992&gt;40908,"2012",IF(C992&gt;40543,"2011",IF(C992&gt;40178,"2010",IF(C992&gt;=39814,"2009",IF(C992&gt;=39448,"2008",IF(C992&gt;39082,"2007",IF(C992&lt;38717,"Pre-2006","2006")))))))</f>
        <v>Pre-2006</v>
      </c>
      <c r="H992" s="71"/>
      <c r="I992" s="71"/>
      <c r="J992" s="61"/>
      <c r="K992" s="62"/>
      <c r="L992" s="63"/>
      <c r="M992" s="59" t="str">
        <f t="shared" si="172"/>
        <v>NA</v>
      </c>
      <c r="N992" s="17"/>
    </row>
    <row r="993">
      <c r="A993" s="9"/>
      <c r="B993" s="38">
        <f t="shared" si="5"/>
        <v>991</v>
      </c>
      <c r="C993" s="34">
        <v>40422.0</v>
      </c>
      <c r="D993" s="48" t="s">
        <v>812</v>
      </c>
      <c r="E993" s="13" t="s">
        <v>613</v>
      </c>
      <c r="F993" s="13">
        <v>12.0</v>
      </c>
      <c r="G993" s="35" t="str">
        <f t="shared" si="185"/>
        <v>2010</v>
      </c>
      <c r="H993" s="13" t="s">
        <v>25</v>
      </c>
      <c r="I993" s="13" t="s">
        <v>47</v>
      </c>
      <c r="J993" s="14">
        <v>2010.0</v>
      </c>
      <c r="K993" s="15">
        <v>0.58</v>
      </c>
      <c r="L993" s="14">
        <v>104.0</v>
      </c>
      <c r="M993" s="16">
        <f t="shared" si="172"/>
        <v>0.5576923077</v>
      </c>
      <c r="N993" s="17"/>
    </row>
    <row r="994">
      <c r="A994" s="9"/>
      <c r="B994" s="38">
        <f t="shared" si="5"/>
        <v>992</v>
      </c>
      <c r="C994" s="70"/>
      <c r="D994" s="48" t="s">
        <v>813</v>
      </c>
      <c r="E994" s="13" t="s">
        <v>613</v>
      </c>
      <c r="F994" s="13">
        <v>12.0</v>
      </c>
      <c r="G994" s="35" t="str">
        <f t="shared" si="185"/>
        <v>Pre-2006</v>
      </c>
      <c r="H994" s="71"/>
      <c r="I994" s="71"/>
      <c r="J994" s="61"/>
      <c r="K994" s="62"/>
      <c r="L994" s="63"/>
      <c r="M994" s="59" t="str">
        <f t="shared" si="172"/>
        <v>NA</v>
      </c>
      <c r="N994" s="17"/>
    </row>
    <row r="995">
      <c r="A995" s="9"/>
      <c r="B995" s="38">
        <f t="shared" si="5"/>
        <v>993</v>
      </c>
      <c r="C995" s="75">
        <v>44631.0</v>
      </c>
      <c r="D995" s="12" t="str">
        <f>hyperlink("https://www.rottentomatoes.com/m/shooterf","Shooter")</f>
        <v>Shooter</v>
      </c>
      <c r="E995" s="33" t="s">
        <v>613</v>
      </c>
      <c r="F995" s="33">
        <v>12.0</v>
      </c>
      <c r="G995" s="36">
        <v>2022.0</v>
      </c>
      <c r="H995" s="33" t="s">
        <v>58</v>
      </c>
      <c r="I995" s="33" t="s">
        <v>77</v>
      </c>
      <c r="J995" s="57">
        <v>2007.0</v>
      </c>
      <c r="K995" s="58">
        <v>0.48</v>
      </c>
      <c r="L995" s="37">
        <v>126.0</v>
      </c>
      <c r="M995" s="16">
        <f t="shared" si="172"/>
        <v>0.380952381</v>
      </c>
      <c r="N995" s="17"/>
    </row>
    <row r="996">
      <c r="A996" s="9"/>
      <c r="B996" s="38">
        <f t="shared" si="5"/>
        <v>994</v>
      </c>
      <c r="C996" s="70"/>
      <c r="D996" s="48" t="s">
        <v>814</v>
      </c>
      <c r="E996" s="13" t="s">
        <v>613</v>
      </c>
      <c r="F996" s="13">
        <v>12.0</v>
      </c>
      <c r="G996" s="35" t="str">
        <f>IF(C996&gt;40908,"2012",IF(C996&gt;40543,"2011",IF(C996&gt;40178,"2010",IF(C996&gt;=39814,"2009",IF(C996&gt;=39448,"2008",IF(C996&gt;39082,"2007",IF(C996&lt;38717,"Pre-2006","2006")))))))</f>
        <v>Pre-2006</v>
      </c>
      <c r="H996" s="71"/>
      <c r="I996" s="71"/>
      <c r="J996" s="61"/>
      <c r="K996" s="62"/>
      <c r="L996" s="63"/>
      <c r="M996" s="59" t="str">
        <f t="shared" si="172"/>
        <v>NA</v>
      </c>
      <c r="N996" s="17"/>
    </row>
    <row r="997">
      <c r="A997" s="9"/>
      <c r="B997" s="38">
        <f t="shared" si="5"/>
        <v>995</v>
      </c>
      <c r="C997" s="34">
        <v>41997.0</v>
      </c>
      <c r="D997" s="12" t="str">
        <f>hyperlink("http://www.rottentomatoes.com/m/the_short_game/?search=the%20short%20game","Short  Game, The")</f>
        <v>Short  Game, The</v>
      </c>
      <c r="E997" s="13" t="s">
        <v>613</v>
      </c>
      <c r="F997" s="13">
        <v>12.0</v>
      </c>
      <c r="G997" s="13">
        <v>2014.0</v>
      </c>
      <c r="H997" s="13" t="s">
        <v>25</v>
      </c>
      <c r="I997" s="13" t="s">
        <v>47</v>
      </c>
      <c r="J997" s="55">
        <v>2014.0</v>
      </c>
      <c r="K997" s="56">
        <v>0.83</v>
      </c>
      <c r="L997" s="14">
        <v>100.0</v>
      </c>
      <c r="M997" s="16">
        <f t="shared" si="172"/>
        <v>0.83</v>
      </c>
      <c r="N997" s="17"/>
    </row>
    <row r="998">
      <c r="A998" s="9"/>
      <c r="B998" s="38">
        <f t="shared" si="5"/>
        <v>996</v>
      </c>
      <c r="C998" s="34">
        <v>45445.0</v>
      </c>
      <c r="D998" s="12" t="str">
        <f>hyperlink("https://www.rottentomatoes.com/m/1198124-shutter_island","Shutter Island")</f>
        <v>Shutter Island</v>
      </c>
      <c r="E998" s="33" t="s">
        <v>613</v>
      </c>
      <c r="F998" s="33">
        <v>12.0</v>
      </c>
      <c r="G998" s="36">
        <v>2024.0</v>
      </c>
      <c r="H998" s="33" t="s">
        <v>785</v>
      </c>
      <c r="I998" s="33" t="s">
        <v>47</v>
      </c>
      <c r="J998" s="57">
        <v>2010.0</v>
      </c>
      <c r="K998" s="58">
        <v>0.69</v>
      </c>
      <c r="L998" s="37">
        <v>138.0</v>
      </c>
      <c r="M998" s="16">
        <f t="shared" si="172"/>
        <v>0.5</v>
      </c>
      <c r="N998" s="17"/>
    </row>
    <row r="999">
      <c r="A999" s="9"/>
      <c r="B999" s="38">
        <f t="shared" si="5"/>
        <v>997</v>
      </c>
      <c r="C999" s="70"/>
      <c r="D999" s="48" t="s">
        <v>815</v>
      </c>
      <c r="E999" s="13" t="s">
        <v>613</v>
      </c>
      <c r="F999" s="13">
        <v>12.0</v>
      </c>
      <c r="G999" s="35" t="str">
        <f>IF(C999&gt;40908,"2012",IF(C999&gt;40543,"2011",IF(C999&gt;40178,"2010",IF(C999&gt;=39814,"2009",IF(C999&gt;=39448,"2008",IF(C999&gt;39082,"2007",IF(C999&lt;38717,"Pre-2006","2006")))))))</f>
        <v>Pre-2006</v>
      </c>
      <c r="H999" s="71"/>
      <c r="I999" s="71"/>
      <c r="J999" s="61"/>
      <c r="K999" s="62"/>
      <c r="L999" s="63"/>
      <c r="M999" s="59" t="str">
        <f t="shared" si="172"/>
        <v>NA</v>
      </c>
      <c r="N999" s="17"/>
    </row>
    <row r="1000">
      <c r="A1000" s="9"/>
      <c r="B1000" s="38">
        <f t="shared" si="5"/>
        <v>998</v>
      </c>
      <c r="C1000" s="34">
        <v>43514.0</v>
      </c>
      <c r="D1000" s="12" t="str">
        <f>hyperlink("https://www.rottentomatoes.com/m/a_simple_favor","A Simple Favor")</f>
        <v>A Simple Favor</v>
      </c>
      <c r="E1000" s="33" t="s">
        <v>613</v>
      </c>
      <c r="F1000" s="33">
        <v>12.0</v>
      </c>
      <c r="G1000" s="36">
        <v>2019.0</v>
      </c>
      <c r="H1000" s="33" t="s">
        <v>25</v>
      </c>
      <c r="I1000" s="33" t="s">
        <v>47</v>
      </c>
      <c r="J1000" s="57">
        <v>2018.0</v>
      </c>
      <c r="K1000" s="58">
        <v>0.85</v>
      </c>
      <c r="L1000" s="37">
        <v>116.0</v>
      </c>
      <c r="M1000" s="16">
        <f t="shared" si="172"/>
        <v>0.7327586207</v>
      </c>
      <c r="N1000" s="17"/>
    </row>
    <row r="1001">
      <c r="A1001" s="9"/>
      <c r="B1001" s="38">
        <f t="shared" si="5"/>
        <v>999</v>
      </c>
      <c r="C1001" s="34">
        <v>39436.0</v>
      </c>
      <c r="D1001" s="48" t="s">
        <v>816</v>
      </c>
      <c r="E1001" s="13" t="s">
        <v>613</v>
      </c>
      <c r="F1001" s="13">
        <v>12.0</v>
      </c>
      <c r="G1001" s="35" t="str">
        <f t="shared" ref="G1001:G1004" si="186">IF(C1001&gt;40908,"2012",IF(C1001&gt;40543,"2011",IF(C1001&gt;40178,"2010",IF(C1001&gt;=39814,"2009",IF(C1001&gt;=39448,"2008",IF(C1001&gt;39082,"2007",IF(C1001&lt;38717,"Pre-2006","2006")))))))</f>
        <v>2007</v>
      </c>
      <c r="H1001" s="13" t="s">
        <v>124</v>
      </c>
      <c r="I1001" s="13" t="s">
        <v>21</v>
      </c>
      <c r="J1001" s="61"/>
      <c r="K1001" s="62"/>
      <c r="L1001" s="63"/>
      <c r="M1001" s="59" t="str">
        <f t="shared" si="172"/>
        <v>NA</v>
      </c>
      <c r="N1001" s="17"/>
    </row>
    <row r="1002">
      <c r="A1002" s="9"/>
      <c r="B1002" s="38">
        <f t="shared" si="5"/>
        <v>1000</v>
      </c>
      <c r="C1002" s="70"/>
      <c r="D1002" s="48" t="s">
        <v>817</v>
      </c>
      <c r="E1002" s="13" t="s">
        <v>613</v>
      </c>
      <c r="F1002" s="13">
        <v>12.0</v>
      </c>
      <c r="G1002" s="35" t="str">
        <f t="shared" si="186"/>
        <v>Pre-2006</v>
      </c>
      <c r="H1002" s="71"/>
      <c r="I1002" s="71"/>
      <c r="J1002" s="61"/>
      <c r="K1002" s="62"/>
      <c r="L1002" s="63"/>
      <c r="M1002" s="59" t="str">
        <f t="shared" si="172"/>
        <v>NA</v>
      </c>
      <c r="N1002" s="17"/>
    </row>
    <row r="1003">
      <c r="A1003" s="9"/>
      <c r="B1003" s="38">
        <f t="shared" si="5"/>
        <v>1001</v>
      </c>
      <c r="C1003" s="70"/>
      <c r="D1003" s="48" t="s">
        <v>818</v>
      </c>
      <c r="E1003" s="13" t="s">
        <v>613</v>
      </c>
      <c r="F1003" s="13">
        <v>12.0</v>
      </c>
      <c r="G1003" s="35" t="str">
        <f t="shared" si="186"/>
        <v>Pre-2006</v>
      </c>
      <c r="H1003" s="71"/>
      <c r="I1003" s="71"/>
      <c r="J1003" s="61"/>
      <c r="K1003" s="62"/>
      <c r="L1003" s="63"/>
      <c r="M1003" s="59" t="str">
        <f t="shared" si="172"/>
        <v>NA</v>
      </c>
      <c r="N1003" s="17"/>
    </row>
    <row r="1004">
      <c r="A1004" s="9"/>
      <c r="B1004" s="38">
        <f t="shared" si="5"/>
        <v>1002</v>
      </c>
      <c r="C1004" s="34">
        <v>39033.0</v>
      </c>
      <c r="D1004" s="48" t="s">
        <v>819</v>
      </c>
      <c r="E1004" s="13" t="s">
        <v>613</v>
      </c>
      <c r="F1004" s="13">
        <v>12.0</v>
      </c>
      <c r="G1004" s="35" t="str">
        <f t="shared" si="186"/>
        <v>2006</v>
      </c>
      <c r="H1004" s="71"/>
      <c r="I1004" s="71"/>
      <c r="J1004" s="61"/>
      <c r="K1004" s="62"/>
      <c r="L1004" s="63"/>
      <c r="M1004" s="59" t="str">
        <f t="shared" si="172"/>
        <v>NA</v>
      </c>
      <c r="N1004" s="17"/>
    </row>
    <row r="1005">
      <c r="A1005" s="9"/>
      <c r="B1005" s="38">
        <f t="shared" si="5"/>
        <v>1003</v>
      </c>
      <c r="C1005" s="34">
        <v>41851.0</v>
      </c>
      <c r="D1005" s="48" t="s">
        <v>820</v>
      </c>
      <c r="E1005" s="13" t="s">
        <v>613</v>
      </c>
      <c r="F1005" s="13">
        <v>12.0</v>
      </c>
      <c r="G1005" s="13">
        <v>2014.0</v>
      </c>
      <c r="H1005" s="13" t="s">
        <v>373</v>
      </c>
      <c r="I1005" s="13" t="s">
        <v>47</v>
      </c>
      <c r="J1005" s="55" t="s">
        <v>169</v>
      </c>
      <c r="K1005" s="88" t="s">
        <v>169</v>
      </c>
      <c r="L1005" s="14" t="s">
        <v>169</v>
      </c>
      <c r="M1005" s="89" t="str">
        <f t="shared" si="172"/>
        <v>NA</v>
      </c>
      <c r="N1005" s="17"/>
    </row>
    <row r="1006">
      <c r="A1006" s="9"/>
      <c r="B1006" s="38">
        <f t="shared" si="5"/>
        <v>1004</v>
      </c>
      <c r="C1006" s="70"/>
      <c r="D1006" s="48" t="s">
        <v>821</v>
      </c>
      <c r="E1006" s="13" t="s">
        <v>613</v>
      </c>
      <c r="F1006" s="13">
        <v>12.0</v>
      </c>
      <c r="G1006" s="35" t="str">
        <f>IF(C1006&gt;40908,"2012",IF(C1006&gt;40543,"2011",IF(C1006&gt;40178,"2010",IF(C1006&gt;=39814,"2009",IF(C1006&gt;=39448,"2008",IF(C1006&gt;39082,"2007",IF(C1006&lt;38717,"Pre-2006","2006")))))))</f>
        <v>Pre-2006</v>
      </c>
      <c r="H1006" s="71"/>
      <c r="I1006" s="71"/>
      <c r="J1006" s="61"/>
      <c r="K1006" s="62"/>
      <c r="L1006" s="63"/>
      <c r="M1006" s="59" t="str">
        <f t="shared" si="172"/>
        <v>NA</v>
      </c>
      <c r="N1006" s="17"/>
    </row>
    <row r="1007">
      <c r="A1007" s="9"/>
      <c r="B1007" s="38">
        <f t="shared" si="5"/>
        <v>1005</v>
      </c>
      <c r="C1007" s="34">
        <v>45254.0</v>
      </c>
      <c r="D1007" s="12" t="str">
        <f>hyperlink("https://www.rottentomatoes.com/m/sly_2023","Sly")</f>
        <v>Sly</v>
      </c>
      <c r="E1007" s="13" t="s">
        <v>613</v>
      </c>
      <c r="F1007" s="33">
        <v>12.0</v>
      </c>
      <c r="G1007" s="36">
        <v>2023.0</v>
      </c>
      <c r="H1007" s="33" t="s">
        <v>58</v>
      </c>
      <c r="I1007" s="33" t="s">
        <v>77</v>
      </c>
      <c r="J1007" s="37">
        <v>2023.0</v>
      </c>
      <c r="K1007" s="15">
        <v>0.78</v>
      </c>
      <c r="L1007" s="37">
        <v>95.0</v>
      </c>
      <c r="M1007" s="16">
        <f t="shared" si="172"/>
        <v>0.8210526316</v>
      </c>
      <c r="N1007" s="17"/>
    </row>
    <row r="1008">
      <c r="A1008" s="9"/>
      <c r="B1008" s="38">
        <f t="shared" si="5"/>
        <v>1006</v>
      </c>
      <c r="C1008" s="34">
        <v>39686.0</v>
      </c>
      <c r="D1008" s="48" t="s">
        <v>822</v>
      </c>
      <c r="E1008" s="13" t="s">
        <v>613</v>
      </c>
      <c r="F1008" s="13">
        <v>12.0</v>
      </c>
      <c r="G1008" s="35" t="str">
        <f t="shared" ref="G1008:G1013" si="187">IF(C1008&gt;40908,"2012",IF(C1008&gt;40543,"2011",IF(C1008&gt;40178,"2010",IF(C1008&gt;=39814,"2009",IF(C1008&gt;=39448,"2008",IF(C1008&gt;39082,"2007",IF(C1008&lt;38717,"Pre-2006","2006")))))))</f>
        <v>2008</v>
      </c>
      <c r="H1008" s="13" t="s">
        <v>155</v>
      </c>
      <c r="I1008" s="13" t="s">
        <v>47</v>
      </c>
      <c r="J1008" s="14">
        <v>2008.0</v>
      </c>
      <c r="K1008" s="15">
        <v>0.48</v>
      </c>
      <c r="L1008" s="14">
        <v>95.0</v>
      </c>
      <c r="M1008" s="16">
        <f t="shared" si="172"/>
        <v>0.5052631579</v>
      </c>
      <c r="N1008" s="17"/>
    </row>
    <row r="1009">
      <c r="A1009" s="9"/>
      <c r="B1009" s="38">
        <f t="shared" si="5"/>
        <v>1007</v>
      </c>
      <c r="C1009" s="70"/>
      <c r="D1009" s="48" t="s">
        <v>823</v>
      </c>
      <c r="E1009" s="13" t="s">
        <v>613</v>
      </c>
      <c r="F1009" s="13">
        <v>12.0</v>
      </c>
      <c r="G1009" s="35" t="str">
        <f t="shared" si="187"/>
        <v>Pre-2006</v>
      </c>
      <c r="H1009" s="71"/>
      <c r="I1009" s="71"/>
      <c r="J1009" s="61"/>
      <c r="K1009" s="62"/>
      <c r="L1009" s="63"/>
      <c r="M1009" s="59" t="str">
        <f t="shared" si="172"/>
        <v>NA</v>
      </c>
      <c r="N1009" s="17"/>
    </row>
    <row r="1010">
      <c r="A1010" s="9"/>
      <c r="B1010" s="38">
        <f t="shared" si="5"/>
        <v>1008</v>
      </c>
      <c r="C1010" s="34">
        <v>39214.0</v>
      </c>
      <c r="D1010" s="48" t="s">
        <v>824</v>
      </c>
      <c r="E1010" s="13" t="s">
        <v>613</v>
      </c>
      <c r="F1010" s="13">
        <v>12.0</v>
      </c>
      <c r="G1010" s="35" t="str">
        <f t="shared" si="187"/>
        <v>2007</v>
      </c>
      <c r="H1010" s="71"/>
      <c r="I1010" s="71"/>
      <c r="J1010" s="61"/>
      <c r="K1010" s="62"/>
      <c r="L1010" s="63"/>
      <c r="M1010" s="59" t="str">
        <f t="shared" si="172"/>
        <v>NA</v>
      </c>
      <c r="N1010" s="17"/>
    </row>
    <row r="1011">
      <c r="A1011" s="9"/>
      <c r="B1011" s="38">
        <f t="shared" si="5"/>
        <v>1009</v>
      </c>
      <c r="C1011" s="70"/>
      <c r="D1011" s="48" t="s">
        <v>825</v>
      </c>
      <c r="E1011" s="13" t="s">
        <v>613</v>
      </c>
      <c r="F1011" s="13">
        <v>12.0</v>
      </c>
      <c r="G1011" s="35" t="str">
        <f t="shared" si="187"/>
        <v>Pre-2006</v>
      </c>
      <c r="H1011" s="71"/>
      <c r="I1011" s="71"/>
      <c r="J1011" s="61"/>
      <c r="K1011" s="62"/>
      <c r="L1011" s="63"/>
      <c r="M1011" s="59" t="str">
        <f t="shared" si="172"/>
        <v>NA</v>
      </c>
      <c r="N1011" s="17"/>
    </row>
    <row r="1012">
      <c r="A1012" s="9"/>
      <c r="B1012" s="38">
        <f t="shared" si="5"/>
        <v>1010</v>
      </c>
      <c r="C1012" s="70"/>
      <c r="D1012" s="48" t="s">
        <v>826</v>
      </c>
      <c r="E1012" s="13" t="s">
        <v>613</v>
      </c>
      <c r="F1012" s="13">
        <v>12.0</v>
      </c>
      <c r="G1012" s="35" t="str">
        <f t="shared" si="187"/>
        <v>Pre-2006</v>
      </c>
      <c r="H1012" s="71"/>
      <c r="I1012" s="71"/>
      <c r="J1012" s="61"/>
      <c r="K1012" s="62"/>
      <c r="L1012" s="63"/>
      <c r="M1012" s="59" t="str">
        <f t="shared" si="172"/>
        <v>NA</v>
      </c>
      <c r="N1012" s="17"/>
    </row>
    <row r="1013">
      <c r="A1013" s="9"/>
      <c r="B1013" s="38">
        <f t="shared" si="5"/>
        <v>1011</v>
      </c>
      <c r="C1013" s="70"/>
      <c r="D1013" s="48" t="s">
        <v>827</v>
      </c>
      <c r="E1013" s="13" t="s">
        <v>613</v>
      </c>
      <c r="F1013" s="13">
        <v>12.0</v>
      </c>
      <c r="G1013" s="35" t="str">
        <f t="shared" si="187"/>
        <v>Pre-2006</v>
      </c>
      <c r="H1013" s="71"/>
      <c r="I1013" s="71"/>
      <c r="J1013" s="61"/>
      <c r="K1013" s="62"/>
      <c r="L1013" s="63"/>
      <c r="M1013" s="59" t="str">
        <f t="shared" si="172"/>
        <v>NA</v>
      </c>
      <c r="N1013" s="17"/>
    </row>
    <row r="1014">
      <c r="A1014" s="9"/>
      <c r="B1014" s="38">
        <f t="shared" si="5"/>
        <v>1012</v>
      </c>
      <c r="C1014" s="34">
        <v>44836.0</v>
      </c>
      <c r="D1014" s="12" t="str">
        <f>hyperlink("https://www.rottentomatoes.com/m/steel_magnolias","Steel Magnolias")</f>
        <v>Steel Magnolias</v>
      </c>
      <c r="E1014" s="33" t="s">
        <v>613</v>
      </c>
      <c r="F1014" s="33">
        <v>12.0</v>
      </c>
      <c r="G1014" s="36">
        <v>2022.0</v>
      </c>
      <c r="H1014" s="33" t="s">
        <v>58</v>
      </c>
      <c r="I1014" s="33" t="s">
        <v>47</v>
      </c>
      <c r="J1014" s="57">
        <v>1989.0</v>
      </c>
      <c r="K1014" s="58">
        <v>0.68</v>
      </c>
      <c r="L1014" s="37">
        <v>118.0</v>
      </c>
      <c r="M1014" s="16">
        <f t="shared" si="172"/>
        <v>0.5762711864</v>
      </c>
      <c r="N1014" s="17"/>
    </row>
    <row r="1015">
      <c r="A1015" s="9"/>
      <c r="B1015" s="38">
        <f t="shared" si="5"/>
        <v>1013</v>
      </c>
      <c r="C1015" s="34">
        <v>41983.0</v>
      </c>
      <c r="D1015" s="12" t="str">
        <f>hyperlink("http://www.rottentomatoes.com/m/stop_at_nothing_the_lance_armstrong_story","Stop At Nothing: The Lance Armstrong Story")</f>
        <v>Stop At Nothing: The Lance Armstrong Story</v>
      </c>
      <c r="E1015" s="13" t="s">
        <v>613</v>
      </c>
      <c r="F1015" s="13">
        <v>12.0</v>
      </c>
      <c r="G1015" s="13">
        <v>2014.0</v>
      </c>
      <c r="H1015" s="13" t="s">
        <v>25</v>
      </c>
      <c r="I1015" s="13" t="s">
        <v>47</v>
      </c>
      <c r="J1015" s="55">
        <v>2014.0</v>
      </c>
      <c r="K1015" s="88" t="s">
        <v>169</v>
      </c>
      <c r="L1015" s="14">
        <v>100.0</v>
      </c>
      <c r="M1015" s="89" t="str">
        <f t="shared" si="172"/>
        <v>NA</v>
      </c>
      <c r="N1015" s="17"/>
    </row>
    <row r="1016">
      <c r="A1016" s="9"/>
      <c r="B1016" s="38">
        <f t="shared" si="5"/>
        <v>1014</v>
      </c>
      <c r="C1016" s="34">
        <v>39643.0</v>
      </c>
      <c r="D1016" s="64" t="s">
        <v>828</v>
      </c>
      <c r="E1016" s="13" t="s">
        <v>613</v>
      </c>
      <c r="F1016" s="13">
        <v>12.0</v>
      </c>
      <c r="G1016" s="35" t="str">
        <f t="shared" ref="G1016:G1023" si="188">IF(C1016&gt;40908,"2012",IF(C1016&gt;40543,"2011",IF(C1016&gt;40178,"2010",IF(C1016&gt;=39814,"2009",IF(C1016&gt;=39448,"2008",IF(C1016&gt;39082,"2007",IF(C1016&lt;38717,"Pre-2006","2006")))))))</f>
        <v>2008</v>
      </c>
      <c r="H1016" s="13" t="s">
        <v>126</v>
      </c>
      <c r="I1016" s="13" t="s">
        <v>47</v>
      </c>
      <c r="J1016" s="14">
        <v>2008.0</v>
      </c>
      <c r="K1016" s="15">
        <v>0.36</v>
      </c>
      <c r="L1016" s="14">
        <v>109.0</v>
      </c>
      <c r="M1016" s="16">
        <f t="shared" si="172"/>
        <v>0.3302752294</v>
      </c>
      <c r="N1016" s="17"/>
    </row>
    <row r="1017">
      <c r="A1017" s="9"/>
      <c r="B1017" s="38">
        <f t="shared" si="5"/>
        <v>1015</v>
      </c>
      <c r="C1017" s="70"/>
      <c r="D1017" s="64" t="s">
        <v>829</v>
      </c>
      <c r="E1017" s="13" t="s">
        <v>613</v>
      </c>
      <c r="F1017" s="13">
        <v>12.0</v>
      </c>
      <c r="G1017" s="35" t="str">
        <f t="shared" si="188"/>
        <v>Pre-2006</v>
      </c>
      <c r="H1017" s="71"/>
      <c r="I1017" s="71"/>
      <c r="J1017" s="61"/>
      <c r="K1017" s="62"/>
      <c r="L1017" s="63"/>
      <c r="M1017" s="59" t="str">
        <f t="shared" si="172"/>
        <v>NA</v>
      </c>
      <c r="N1017" s="17"/>
    </row>
    <row r="1018">
      <c r="A1018" s="9"/>
      <c r="B1018" s="38">
        <f t="shared" si="5"/>
        <v>1016</v>
      </c>
      <c r="C1018" s="34">
        <v>40082.0</v>
      </c>
      <c r="D1018" s="48" t="s">
        <v>830</v>
      </c>
      <c r="E1018" s="13" t="s">
        <v>613</v>
      </c>
      <c r="F1018" s="13">
        <v>12.0</v>
      </c>
      <c r="G1018" s="35" t="str">
        <f t="shared" si="188"/>
        <v>2009</v>
      </c>
      <c r="H1018" s="13" t="s">
        <v>27</v>
      </c>
      <c r="I1018" s="13" t="s">
        <v>47</v>
      </c>
      <c r="J1018" s="14">
        <v>2009.0</v>
      </c>
      <c r="K1018" s="15">
        <v>0.72</v>
      </c>
      <c r="L1018" s="14">
        <v>102.0</v>
      </c>
      <c r="M1018" s="16">
        <f t="shared" si="172"/>
        <v>0.7058823529</v>
      </c>
      <c r="N1018" s="17"/>
    </row>
    <row r="1019">
      <c r="A1019" s="9"/>
      <c r="B1019" s="38">
        <f t="shared" si="5"/>
        <v>1017</v>
      </c>
      <c r="C1019" s="70"/>
      <c r="D1019" s="48" t="s">
        <v>831</v>
      </c>
      <c r="E1019" s="13" t="s">
        <v>613</v>
      </c>
      <c r="F1019" s="13">
        <v>12.0</v>
      </c>
      <c r="G1019" s="35" t="str">
        <f t="shared" si="188"/>
        <v>Pre-2006</v>
      </c>
      <c r="H1019" s="71"/>
      <c r="I1019" s="71"/>
      <c r="J1019" s="61"/>
      <c r="K1019" s="62"/>
      <c r="L1019" s="63"/>
      <c r="M1019" s="59" t="str">
        <f t="shared" si="172"/>
        <v>NA</v>
      </c>
      <c r="N1019" s="17"/>
    </row>
    <row r="1020">
      <c r="A1020" s="9"/>
      <c r="B1020" s="38">
        <f t="shared" si="5"/>
        <v>1018</v>
      </c>
      <c r="C1020" s="70"/>
      <c r="D1020" s="48" t="s">
        <v>832</v>
      </c>
      <c r="E1020" s="13" t="s">
        <v>613</v>
      </c>
      <c r="F1020" s="13">
        <v>12.0</v>
      </c>
      <c r="G1020" s="35" t="str">
        <f t="shared" si="188"/>
        <v>Pre-2006</v>
      </c>
      <c r="H1020" s="71"/>
      <c r="I1020" s="71"/>
      <c r="J1020" s="61"/>
      <c r="K1020" s="62"/>
      <c r="L1020" s="63"/>
      <c r="M1020" s="59" t="str">
        <f t="shared" si="172"/>
        <v>NA</v>
      </c>
      <c r="N1020" s="17"/>
    </row>
    <row r="1021">
      <c r="A1021" s="9"/>
      <c r="B1021" s="38">
        <f t="shared" si="5"/>
        <v>1019</v>
      </c>
      <c r="C1021" s="70"/>
      <c r="D1021" s="48" t="s">
        <v>833</v>
      </c>
      <c r="E1021" s="13" t="s">
        <v>613</v>
      </c>
      <c r="F1021" s="13">
        <v>12.0</v>
      </c>
      <c r="G1021" s="35" t="str">
        <f t="shared" si="188"/>
        <v>Pre-2006</v>
      </c>
      <c r="H1021" s="71"/>
      <c r="I1021" s="71"/>
      <c r="J1021" s="61"/>
      <c r="K1021" s="62"/>
      <c r="L1021" s="63"/>
      <c r="M1021" s="59" t="str">
        <f t="shared" si="172"/>
        <v>NA</v>
      </c>
      <c r="N1021" s="17"/>
    </row>
    <row r="1022">
      <c r="A1022" s="9"/>
      <c r="B1022" s="38">
        <f t="shared" si="5"/>
        <v>1020</v>
      </c>
      <c r="C1022" s="70"/>
      <c r="D1022" s="48" t="s">
        <v>834</v>
      </c>
      <c r="E1022" s="13" t="s">
        <v>613</v>
      </c>
      <c r="F1022" s="13">
        <v>12.0</v>
      </c>
      <c r="G1022" s="35" t="str">
        <f t="shared" si="188"/>
        <v>Pre-2006</v>
      </c>
      <c r="H1022" s="71"/>
      <c r="I1022" s="71"/>
      <c r="J1022" s="61"/>
      <c r="K1022" s="62"/>
      <c r="L1022" s="63"/>
      <c r="M1022" s="59" t="str">
        <f t="shared" si="172"/>
        <v>NA</v>
      </c>
      <c r="N1022" s="17"/>
    </row>
    <row r="1023">
      <c r="A1023" s="9"/>
      <c r="B1023" s="38">
        <f t="shared" si="5"/>
        <v>1021</v>
      </c>
      <c r="C1023" s="70"/>
      <c r="D1023" s="48" t="s">
        <v>835</v>
      </c>
      <c r="E1023" s="13" t="s">
        <v>613</v>
      </c>
      <c r="F1023" s="13">
        <v>12.0</v>
      </c>
      <c r="G1023" s="35" t="str">
        <f t="shared" si="188"/>
        <v>Pre-2006</v>
      </c>
      <c r="H1023" s="71"/>
      <c r="I1023" s="71"/>
      <c r="J1023" s="61"/>
      <c r="K1023" s="62"/>
      <c r="L1023" s="63"/>
      <c r="M1023" s="59" t="str">
        <f t="shared" si="172"/>
        <v>NA</v>
      </c>
      <c r="N1023" s="17"/>
    </row>
    <row r="1024">
      <c r="A1024" s="9"/>
      <c r="B1024" s="38">
        <f t="shared" si="5"/>
        <v>1022</v>
      </c>
      <c r="C1024" s="34">
        <v>41387.0</v>
      </c>
      <c r="D1024" s="48" t="s">
        <v>836</v>
      </c>
      <c r="E1024" s="13" t="s">
        <v>613</v>
      </c>
      <c r="F1024" s="13">
        <v>12.0</v>
      </c>
      <c r="G1024" s="13">
        <v>2013.0</v>
      </c>
      <c r="H1024" s="13" t="s">
        <v>25</v>
      </c>
      <c r="I1024" s="13" t="s">
        <v>47</v>
      </c>
      <c r="J1024" s="55">
        <v>2012.0</v>
      </c>
      <c r="K1024" s="56">
        <v>0.52</v>
      </c>
      <c r="L1024" s="14">
        <v>134.0</v>
      </c>
      <c r="M1024" s="16">
        <f t="shared" si="172"/>
        <v>0.3880597015</v>
      </c>
      <c r="N1024" s="17"/>
    </row>
    <row r="1025">
      <c r="A1025" s="9"/>
      <c r="B1025" s="38">
        <f t="shared" si="5"/>
        <v>1023</v>
      </c>
      <c r="C1025" s="70"/>
      <c r="D1025" s="48" t="s">
        <v>837</v>
      </c>
      <c r="E1025" s="13" t="s">
        <v>613</v>
      </c>
      <c r="F1025" s="13">
        <v>12.0</v>
      </c>
      <c r="G1025" s="35" t="str">
        <f t="shared" ref="G1025:G1029" si="189">IF(C1025&gt;40908,"2012",IF(C1025&gt;40543,"2011",IF(C1025&gt;40178,"2010",IF(C1025&gt;=39814,"2009",IF(C1025&gt;=39448,"2008",IF(C1025&gt;39082,"2007",IF(C1025&lt;38717,"Pre-2006","2006")))))))</f>
        <v>Pre-2006</v>
      </c>
      <c r="H1025" s="71"/>
      <c r="I1025" s="71"/>
      <c r="J1025" s="61"/>
      <c r="K1025" s="62"/>
      <c r="L1025" s="63"/>
      <c r="M1025" s="59" t="str">
        <f t="shared" si="172"/>
        <v>NA</v>
      </c>
      <c r="N1025" s="17"/>
    </row>
    <row r="1026">
      <c r="A1026" s="9"/>
      <c r="B1026" s="38">
        <f t="shared" si="5"/>
        <v>1024</v>
      </c>
      <c r="C1026" s="70"/>
      <c r="D1026" s="48" t="s">
        <v>838</v>
      </c>
      <c r="E1026" s="13" t="s">
        <v>613</v>
      </c>
      <c r="F1026" s="13">
        <v>12.0</v>
      </c>
      <c r="G1026" s="35" t="str">
        <f t="shared" si="189"/>
        <v>Pre-2006</v>
      </c>
      <c r="H1026" s="71"/>
      <c r="I1026" s="71"/>
      <c r="J1026" s="61"/>
      <c r="K1026" s="62"/>
      <c r="L1026" s="63"/>
      <c r="M1026" s="59" t="str">
        <f t="shared" si="172"/>
        <v>NA</v>
      </c>
      <c r="N1026" s="17"/>
    </row>
    <row r="1027">
      <c r="A1027" s="9"/>
      <c r="B1027" s="38">
        <f t="shared" si="5"/>
        <v>1025</v>
      </c>
      <c r="C1027" s="70"/>
      <c r="D1027" s="48" t="s">
        <v>839</v>
      </c>
      <c r="E1027" s="13" t="s">
        <v>613</v>
      </c>
      <c r="F1027" s="13">
        <v>12.0</v>
      </c>
      <c r="G1027" s="35" t="str">
        <f t="shared" si="189"/>
        <v>Pre-2006</v>
      </c>
      <c r="H1027" s="71"/>
      <c r="I1027" s="71"/>
      <c r="J1027" s="61"/>
      <c r="K1027" s="62"/>
      <c r="L1027" s="63"/>
      <c r="M1027" s="59" t="str">
        <f t="shared" si="172"/>
        <v>NA</v>
      </c>
      <c r="N1027" s="17"/>
    </row>
    <row r="1028">
      <c r="A1028" s="9"/>
      <c r="B1028" s="38">
        <f t="shared" si="5"/>
        <v>1026</v>
      </c>
      <c r="C1028" s="70"/>
      <c r="D1028" s="48" t="s">
        <v>840</v>
      </c>
      <c r="E1028" s="13" t="s">
        <v>613</v>
      </c>
      <c r="F1028" s="13">
        <v>12.0</v>
      </c>
      <c r="G1028" s="35" t="str">
        <f t="shared" si="189"/>
        <v>Pre-2006</v>
      </c>
      <c r="H1028" s="71"/>
      <c r="I1028" s="71"/>
      <c r="J1028" s="61"/>
      <c r="K1028" s="62"/>
      <c r="L1028" s="63"/>
      <c r="M1028" s="59" t="str">
        <f t="shared" si="172"/>
        <v>NA</v>
      </c>
      <c r="N1028" s="17"/>
    </row>
    <row r="1029">
      <c r="A1029" s="9"/>
      <c r="B1029" s="38">
        <f t="shared" si="5"/>
        <v>1027</v>
      </c>
      <c r="C1029" s="70"/>
      <c r="D1029" s="48" t="s">
        <v>841</v>
      </c>
      <c r="E1029" s="13" t="s">
        <v>613</v>
      </c>
      <c r="F1029" s="13">
        <v>12.0</v>
      </c>
      <c r="G1029" s="35" t="str">
        <f t="shared" si="189"/>
        <v>Pre-2006</v>
      </c>
      <c r="H1029" s="71"/>
      <c r="I1029" s="71"/>
      <c r="J1029" s="61"/>
      <c r="K1029" s="62"/>
      <c r="L1029" s="63"/>
      <c r="M1029" s="59" t="str">
        <f t="shared" si="172"/>
        <v>NA</v>
      </c>
      <c r="N1029" s="17"/>
    </row>
    <row r="1030">
      <c r="A1030" s="9"/>
      <c r="B1030" s="38">
        <f t="shared" si="5"/>
        <v>1028</v>
      </c>
      <c r="C1030" s="34">
        <v>44749.0</v>
      </c>
      <c r="D1030" s="12" t="str">
        <f>hyperlink("https://www.rottentomatoes.com/m/tony_hawk_until_the_wheels_fall_off","Tony Hawk: Until The Wheels Fall Off")</f>
        <v>Tony Hawk: Until The Wheels Fall Off</v>
      </c>
      <c r="E1030" s="33" t="s">
        <v>613</v>
      </c>
      <c r="F1030" s="33">
        <v>12.0</v>
      </c>
      <c r="G1030" s="36">
        <v>2022.0</v>
      </c>
      <c r="H1030" s="33" t="s">
        <v>58</v>
      </c>
      <c r="I1030" s="33" t="s">
        <v>47</v>
      </c>
      <c r="J1030" s="37">
        <v>2022.0</v>
      </c>
      <c r="K1030" s="15">
        <v>0.96</v>
      </c>
      <c r="L1030" s="37">
        <v>135.0</v>
      </c>
      <c r="M1030" s="16">
        <f t="shared" si="172"/>
        <v>0.7111111111</v>
      </c>
      <c r="N1030" s="17"/>
    </row>
    <row r="1031">
      <c r="A1031" s="9"/>
      <c r="B1031" s="38">
        <f t="shared" si="5"/>
        <v>1029</v>
      </c>
      <c r="C1031" s="70"/>
      <c r="D1031" s="48" t="s">
        <v>842</v>
      </c>
      <c r="E1031" s="13" t="s">
        <v>613</v>
      </c>
      <c r="F1031" s="13">
        <v>12.0</v>
      </c>
      <c r="G1031" s="35" t="str">
        <f>IF(C1031&gt;40908,"2012",IF(C1031&gt;40543,"2011",IF(C1031&gt;40178,"2010",IF(C1031&gt;=39814,"2009",IF(C1031&gt;=39448,"2008",IF(C1031&gt;39082,"2007",IF(C1031&lt;38717,"Pre-2006","2006")))))))</f>
        <v>Pre-2006</v>
      </c>
      <c r="H1031" s="71"/>
      <c r="I1031" s="13" t="s">
        <v>26</v>
      </c>
      <c r="J1031" s="14">
        <v>2004.0</v>
      </c>
      <c r="K1031" s="15">
        <v>0.93</v>
      </c>
      <c r="L1031" s="14">
        <v>107.0</v>
      </c>
      <c r="M1031" s="16">
        <f t="shared" si="172"/>
        <v>0.8691588785</v>
      </c>
      <c r="N1031" s="17"/>
    </row>
    <row r="1032">
      <c r="A1032" s="9"/>
      <c r="B1032" s="38">
        <f t="shared" si="5"/>
        <v>1030</v>
      </c>
      <c r="C1032" s="34">
        <v>44572.0</v>
      </c>
      <c r="D1032" s="12" t="str">
        <f>hyperlink("https://www.rottentomatoes.com/m/triple_frontier","Triple Frontier")</f>
        <v>Triple Frontier</v>
      </c>
      <c r="E1032" s="33" t="s">
        <v>613</v>
      </c>
      <c r="F1032" s="33">
        <v>12.0</v>
      </c>
      <c r="G1032" s="36">
        <v>2022.0</v>
      </c>
      <c r="H1032" s="33" t="s">
        <v>58</v>
      </c>
      <c r="I1032" s="33" t="s">
        <v>77</v>
      </c>
      <c r="J1032" s="57">
        <v>2022.0</v>
      </c>
      <c r="K1032" s="58">
        <v>0.71</v>
      </c>
      <c r="L1032" s="37">
        <v>125.0</v>
      </c>
      <c r="M1032" s="16">
        <f t="shared" si="172"/>
        <v>0.568</v>
      </c>
      <c r="N1032" s="17"/>
    </row>
    <row r="1033">
      <c r="A1033" s="9"/>
      <c r="B1033" s="38">
        <f t="shared" si="5"/>
        <v>1031</v>
      </c>
      <c r="C1033" s="70"/>
      <c r="D1033" s="48" t="s">
        <v>843</v>
      </c>
      <c r="E1033" s="13" t="s">
        <v>613</v>
      </c>
      <c r="F1033" s="13">
        <v>12.0</v>
      </c>
      <c r="G1033" s="35" t="str">
        <f t="shared" ref="G1033:G1035" si="190">IF(C1033&gt;40908,"2012",IF(C1033&gt;40543,"2011",IF(C1033&gt;40178,"2010",IF(C1033&gt;=39814,"2009",IF(C1033&gt;=39448,"2008",IF(C1033&gt;39082,"2007",IF(C1033&lt;38717,"Pre-2006","2006")))))))</f>
        <v>Pre-2006</v>
      </c>
      <c r="H1033" s="71"/>
      <c r="I1033" s="71"/>
      <c r="J1033" s="61"/>
      <c r="K1033" s="62"/>
      <c r="L1033" s="63"/>
      <c r="M1033" s="59" t="str">
        <f t="shared" si="172"/>
        <v>NA</v>
      </c>
      <c r="N1033" s="17"/>
    </row>
    <row r="1034">
      <c r="A1034" s="9"/>
      <c r="B1034" s="38">
        <f t="shared" si="5"/>
        <v>1032</v>
      </c>
      <c r="C1034" s="70"/>
      <c r="D1034" s="48" t="s">
        <v>844</v>
      </c>
      <c r="E1034" s="13" t="s">
        <v>613</v>
      </c>
      <c r="F1034" s="13">
        <v>12.0</v>
      </c>
      <c r="G1034" s="35" t="str">
        <f t="shared" si="190"/>
        <v>Pre-2006</v>
      </c>
      <c r="H1034" s="71"/>
      <c r="I1034" s="71"/>
      <c r="J1034" s="61"/>
      <c r="K1034" s="62"/>
      <c r="L1034" s="63"/>
      <c r="M1034" s="59" t="str">
        <f t="shared" si="172"/>
        <v>NA</v>
      </c>
      <c r="N1034" s="17"/>
    </row>
    <row r="1035">
      <c r="A1035" s="9"/>
      <c r="B1035" s="38">
        <f t="shared" si="5"/>
        <v>1033</v>
      </c>
      <c r="C1035" s="70"/>
      <c r="D1035" s="48" t="s">
        <v>845</v>
      </c>
      <c r="E1035" s="13" t="s">
        <v>613</v>
      </c>
      <c r="F1035" s="13">
        <v>12.0</v>
      </c>
      <c r="G1035" s="35" t="str">
        <f t="shared" si="190"/>
        <v>Pre-2006</v>
      </c>
      <c r="H1035" s="71"/>
      <c r="I1035" s="71"/>
      <c r="J1035" s="61"/>
      <c r="K1035" s="62"/>
      <c r="L1035" s="63"/>
      <c r="M1035" s="59" t="str">
        <f t="shared" si="172"/>
        <v>NA</v>
      </c>
      <c r="N1035" s="17"/>
    </row>
    <row r="1036">
      <c r="A1036" s="9"/>
      <c r="B1036" s="38">
        <f t="shared" si="5"/>
        <v>1034</v>
      </c>
      <c r="C1036" s="34">
        <v>44745.0</v>
      </c>
      <c r="D1036" s="12" t="str">
        <f>hyperlink("https://www.rottentomatoes.com/m/unstoppable-2010","Unstoppable")</f>
        <v>Unstoppable</v>
      </c>
      <c r="E1036" s="33" t="s">
        <v>613</v>
      </c>
      <c r="F1036" s="33">
        <v>12.0</v>
      </c>
      <c r="G1036" s="36">
        <v>2022.0</v>
      </c>
      <c r="H1036" s="33" t="s">
        <v>58</v>
      </c>
      <c r="I1036" s="33" t="s">
        <v>47</v>
      </c>
      <c r="J1036" s="57">
        <v>2010.0</v>
      </c>
      <c r="K1036" s="58">
        <v>0.87</v>
      </c>
      <c r="L1036" s="37">
        <v>94.0</v>
      </c>
      <c r="M1036" s="16">
        <f t="shared" si="172"/>
        <v>0.9255319149</v>
      </c>
      <c r="N1036" s="17"/>
    </row>
    <row r="1037">
      <c r="A1037" s="9"/>
      <c r="B1037" s="38">
        <f t="shared" si="5"/>
        <v>1035</v>
      </c>
      <c r="C1037" s="70"/>
      <c r="D1037" s="48" t="s">
        <v>846</v>
      </c>
      <c r="E1037" s="13" t="s">
        <v>613</v>
      </c>
      <c r="F1037" s="13">
        <v>12.0</v>
      </c>
      <c r="G1037" s="35" t="str">
        <f t="shared" ref="G1037:G1038" si="191">IF(C1037&gt;40908,"2012",IF(C1037&gt;40543,"2011",IF(C1037&gt;40178,"2010",IF(C1037&gt;=39814,"2009",IF(C1037&gt;=39448,"2008",IF(C1037&gt;39082,"2007",IF(C1037&lt;38717,"Pre-2006","2006")))))))</f>
        <v>Pre-2006</v>
      </c>
      <c r="H1037" s="71"/>
      <c r="I1037" s="71"/>
      <c r="J1037" s="61"/>
      <c r="K1037" s="62"/>
      <c r="L1037" s="63"/>
      <c r="M1037" s="59" t="str">
        <f t="shared" si="172"/>
        <v>NA</v>
      </c>
      <c r="N1037" s="17"/>
    </row>
    <row r="1038">
      <c r="A1038" s="9"/>
      <c r="B1038" s="38">
        <f t="shared" si="5"/>
        <v>1036</v>
      </c>
      <c r="C1038" s="70"/>
      <c r="D1038" s="48" t="s">
        <v>847</v>
      </c>
      <c r="E1038" s="13" t="s">
        <v>613</v>
      </c>
      <c r="F1038" s="13">
        <v>12.0</v>
      </c>
      <c r="G1038" s="35" t="str">
        <f t="shared" si="191"/>
        <v>Pre-2006</v>
      </c>
      <c r="H1038" s="71"/>
      <c r="I1038" s="71"/>
      <c r="J1038" s="61"/>
      <c r="K1038" s="62"/>
      <c r="L1038" s="63"/>
      <c r="M1038" s="59" t="str">
        <f t="shared" si="172"/>
        <v>NA</v>
      </c>
      <c r="N1038" s="17"/>
    </row>
    <row r="1039">
      <c r="A1039" s="9"/>
      <c r="B1039" s="38">
        <f t="shared" si="5"/>
        <v>1037</v>
      </c>
      <c r="C1039" s="34">
        <v>44776.0</v>
      </c>
      <c r="D1039" s="12" t="str">
        <f>hyperlink("https://www.rottentomatoes.com/m/vengeance_2022","Vengeance")</f>
        <v>Vengeance</v>
      </c>
      <c r="E1039" s="33" t="s">
        <v>613</v>
      </c>
      <c r="F1039" s="33">
        <v>12.0</v>
      </c>
      <c r="G1039" s="36">
        <v>2022.0</v>
      </c>
      <c r="H1039" s="33" t="s">
        <v>143</v>
      </c>
      <c r="I1039" s="33" t="s">
        <v>26</v>
      </c>
      <c r="J1039" s="57">
        <v>2022.0</v>
      </c>
      <c r="K1039" s="58">
        <v>0.81</v>
      </c>
      <c r="L1039" s="37">
        <v>107.0</v>
      </c>
      <c r="M1039" s="16">
        <f t="shared" si="172"/>
        <v>0.7570093458</v>
      </c>
      <c r="N1039" s="17"/>
    </row>
    <row r="1040">
      <c r="A1040" s="9"/>
      <c r="B1040" s="38">
        <f t="shared" si="5"/>
        <v>1038</v>
      </c>
      <c r="C1040" s="70"/>
      <c r="D1040" s="48" t="s">
        <v>848</v>
      </c>
      <c r="E1040" s="13" t="s">
        <v>613</v>
      </c>
      <c r="F1040" s="13">
        <v>12.0</v>
      </c>
      <c r="G1040" s="35" t="str">
        <f>IF(C1040&gt;40908,"2012",IF(C1040&gt;40543,"2011",IF(C1040&gt;40178,"2010",IF(C1040&gt;=39814,"2009",IF(C1040&gt;=39448,"2008",IF(C1040&gt;39082,"2007",IF(C1040&lt;38717,"Pre-2006","2006")))))))</f>
        <v>Pre-2006</v>
      </c>
      <c r="H1040" s="71"/>
      <c r="I1040" s="71"/>
      <c r="J1040" s="61"/>
      <c r="K1040" s="62"/>
      <c r="L1040" s="63"/>
      <c r="M1040" s="59" t="str">
        <f t="shared" si="172"/>
        <v>NA</v>
      </c>
      <c r="N1040" s="17"/>
    </row>
    <row r="1041">
      <c r="A1041" s="9"/>
      <c r="B1041" s="38">
        <f t="shared" si="5"/>
        <v>1039</v>
      </c>
      <c r="C1041" s="34">
        <v>41608.0</v>
      </c>
      <c r="D1041" s="12" t="str">
        <f>hyperlink("http://www.rottentomatoes.com/m/the_way_way_back/","Way Way Back, The")</f>
        <v>Way Way Back, The</v>
      </c>
      <c r="E1041" s="13" t="s">
        <v>613</v>
      </c>
      <c r="F1041" s="13">
        <v>12.0</v>
      </c>
      <c r="G1041" s="13">
        <v>2013.0</v>
      </c>
      <c r="H1041" s="13" t="s">
        <v>58</v>
      </c>
      <c r="I1041" s="13" t="s">
        <v>47</v>
      </c>
      <c r="J1041" s="55">
        <v>2013.0</v>
      </c>
      <c r="K1041" s="56">
        <v>0.85</v>
      </c>
      <c r="L1041" s="14">
        <v>103.0</v>
      </c>
      <c r="M1041" s="16">
        <f t="shared" si="172"/>
        <v>0.8252427184</v>
      </c>
      <c r="N1041" s="17"/>
    </row>
    <row r="1042">
      <c r="A1042" s="9"/>
      <c r="B1042" s="38">
        <f t="shared" si="5"/>
        <v>1040</v>
      </c>
      <c r="C1042" s="34">
        <v>39369.0</v>
      </c>
      <c r="D1042" s="48" t="s">
        <v>849</v>
      </c>
      <c r="E1042" s="13" t="s">
        <v>613</v>
      </c>
      <c r="F1042" s="13">
        <v>12.0</v>
      </c>
      <c r="G1042" s="35" t="str">
        <f t="shared" ref="G1042:G1044" si="192">IF(C1042&gt;40908,"2012",IF(C1042&gt;40543,"2011",IF(C1042&gt;40178,"2010",IF(C1042&gt;=39814,"2009",IF(C1042&gt;=39448,"2008",IF(C1042&gt;39082,"2007",IF(C1042&lt;38717,"Pre-2006","2006")))))))</f>
        <v>2007</v>
      </c>
      <c r="H1042" s="13" t="s">
        <v>17</v>
      </c>
      <c r="I1042" s="13" t="s">
        <v>26</v>
      </c>
      <c r="J1042" s="61"/>
      <c r="K1042" s="62"/>
      <c r="L1042" s="63"/>
      <c r="M1042" s="59" t="str">
        <f t="shared" si="172"/>
        <v>NA</v>
      </c>
      <c r="N1042" s="17"/>
    </row>
    <row r="1043">
      <c r="A1043" s="9"/>
      <c r="B1043" s="38">
        <f t="shared" si="5"/>
        <v>1041</v>
      </c>
      <c r="C1043" s="70"/>
      <c r="D1043" s="48" t="s">
        <v>850</v>
      </c>
      <c r="E1043" s="13" t="s">
        <v>613</v>
      </c>
      <c r="F1043" s="13">
        <v>12.0</v>
      </c>
      <c r="G1043" s="35" t="str">
        <f t="shared" si="192"/>
        <v>Pre-2006</v>
      </c>
      <c r="H1043" s="71"/>
      <c r="I1043" s="71"/>
      <c r="J1043" s="61"/>
      <c r="K1043" s="62"/>
      <c r="L1043" s="63"/>
      <c r="M1043" s="59" t="str">
        <f t="shared" si="172"/>
        <v>NA</v>
      </c>
      <c r="N1043" s="17"/>
    </row>
    <row r="1044">
      <c r="A1044" s="9"/>
      <c r="B1044" s="38">
        <f t="shared" si="5"/>
        <v>1042</v>
      </c>
      <c r="C1044" s="70"/>
      <c r="D1044" s="48" t="s">
        <v>851</v>
      </c>
      <c r="E1044" s="13" t="s">
        <v>613</v>
      </c>
      <c r="F1044" s="13">
        <v>12.0</v>
      </c>
      <c r="G1044" s="35" t="str">
        <f t="shared" si="192"/>
        <v>Pre-2006</v>
      </c>
      <c r="H1044" s="71"/>
      <c r="I1044" s="71"/>
      <c r="J1044" s="61"/>
      <c r="K1044" s="62"/>
      <c r="L1044" s="63"/>
      <c r="M1044" s="59" t="str">
        <f t="shared" si="172"/>
        <v>NA</v>
      </c>
      <c r="N1044" s="17"/>
    </row>
    <row r="1045">
      <c r="A1045" s="9"/>
      <c r="B1045" s="38">
        <f t="shared" si="5"/>
        <v>1043</v>
      </c>
      <c r="C1045" s="34">
        <v>45112.0</v>
      </c>
      <c r="D1045" s="12" t="str">
        <f>hyperlink("https://www.rottentomatoes.com/m/wham","Wham")</f>
        <v>Wham</v>
      </c>
      <c r="E1045" s="33" t="s">
        <v>613</v>
      </c>
      <c r="F1045" s="33">
        <v>12.0</v>
      </c>
      <c r="G1045" s="36">
        <v>2023.0</v>
      </c>
      <c r="H1045" s="33" t="s">
        <v>58</v>
      </c>
      <c r="I1045" s="33" t="s">
        <v>77</v>
      </c>
      <c r="J1045" s="57">
        <v>2023.0</v>
      </c>
      <c r="K1045" s="58">
        <v>0.93</v>
      </c>
      <c r="L1045" s="37">
        <v>92.0</v>
      </c>
      <c r="M1045" s="16">
        <f t="shared" si="172"/>
        <v>1.010869565</v>
      </c>
      <c r="N1045" s="17"/>
    </row>
    <row r="1046">
      <c r="A1046" s="9"/>
      <c r="B1046" s="38">
        <f t="shared" si="5"/>
        <v>1044</v>
      </c>
      <c r="C1046" s="70"/>
      <c r="D1046" s="48" t="s">
        <v>852</v>
      </c>
      <c r="E1046" s="13" t="s">
        <v>613</v>
      </c>
      <c r="F1046" s="13">
        <v>12.0</v>
      </c>
      <c r="G1046" s="35" t="str">
        <f t="shared" ref="G1046:G1051" si="193">IF(C1046&gt;40908,"2012",IF(C1046&gt;40543,"2011",IF(C1046&gt;40178,"2010",IF(C1046&gt;=39814,"2009",IF(C1046&gt;=39448,"2008",IF(C1046&gt;39082,"2007",IF(C1046&lt;38717,"Pre-2006","2006")))))))</f>
        <v>Pre-2006</v>
      </c>
      <c r="H1046" s="71"/>
      <c r="I1046" s="71"/>
      <c r="J1046" s="61"/>
      <c r="K1046" s="62"/>
      <c r="L1046" s="63"/>
      <c r="M1046" s="59" t="str">
        <f t="shared" si="172"/>
        <v>NA</v>
      </c>
      <c r="N1046" s="17"/>
    </row>
    <row r="1047">
      <c r="A1047" s="9"/>
      <c r="B1047" s="38">
        <f t="shared" si="5"/>
        <v>1045</v>
      </c>
      <c r="C1047" s="70"/>
      <c r="D1047" s="48" t="s">
        <v>853</v>
      </c>
      <c r="E1047" s="13" t="s">
        <v>613</v>
      </c>
      <c r="F1047" s="13">
        <v>12.0</v>
      </c>
      <c r="G1047" s="35" t="str">
        <f t="shared" si="193"/>
        <v>Pre-2006</v>
      </c>
      <c r="H1047" s="71"/>
      <c r="I1047" s="71"/>
      <c r="J1047" s="61"/>
      <c r="K1047" s="62"/>
      <c r="L1047" s="63"/>
      <c r="M1047" s="59" t="str">
        <f t="shared" si="172"/>
        <v>NA</v>
      </c>
      <c r="N1047" s="17"/>
    </row>
    <row r="1048">
      <c r="A1048" s="9"/>
      <c r="B1048" s="38">
        <f t="shared" si="5"/>
        <v>1046</v>
      </c>
      <c r="C1048" s="34">
        <v>39167.0</v>
      </c>
      <c r="D1048" s="48" t="s">
        <v>854</v>
      </c>
      <c r="E1048" s="13" t="s">
        <v>613</v>
      </c>
      <c r="F1048" s="13">
        <v>12.0</v>
      </c>
      <c r="G1048" s="35" t="str">
        <f t="shared" si="193"/>
        <v>2007</v>
      </c>
      <c r="H1048" s="71"/>
      <c r="I1048" s="71"/>
      <c r="J1048" s="61"/>
      <c r="K1048" s="62"/>
      <c r="L1048" s="63"/>
      <c r="M1048" s="59" t="str">
        <f t="shared" si="172"/>
        <v>NA</v>
      </c>
      <c r="N1048" s="17"/>
    </row>
    <row r="1049">
      <c r="A1049" s="9"/>
      <c r="B1049" s="38">
        <f t="shared" si="5"/>
        <v>1047</v>
      </c>
      <c r="C1049" s="34">
        <v>39697.0</v>
      </c>
      <c r="D1049" s="48" t="s">
        <v>855</v>
      </c>
      <c r="E1049" s="13" t="s">
        <v>613</v>
      </c>
      <c r="F1049" s="13">
        <v>12.0</v>
      </c>
      <c r="G1049" s="35" t="str">
        <f t="shared" si="193"/>
        <v>2008</v>
      </c>
      <c r="H1049" s="13" t="s">
        <v>35</v>
      </c>
      <c r="I1049" s="13" t="s">
        <v>21</v>
      </c>
      <c r="J1049" s="14">
        <v>2001.0</v>
      </c>
      <c r="K1049" s="15">
        <v>0.89</v>
      </c>
      <c r="L1049" s="14">
        <v>108.0</v>
      </c>
      <c r="M1049" s="16">
        <f t="shared" si="172"/>
        <v>0.8240740741</v>
      </c>
      <c r="N1049" s="17"/>
    </row>
    <row r="1050">
      <c r="A1050" s="9"/>
      <c r="B1050" s="38">
        <f t="shared" si="5"/>
        <v>1048</v>
      </c>
      <c r="C1050" s="70"/>
      <c r="D1050" s="48" t="s">
        <v>856</v>
      </c>
      <c r="E1050" s="13" t="s">
        <v>613</v>
      </c>
      <c r="F1050" s="13">
        <v>12.0</v>
      </c>
      <c r="G1050" s="35" t="str">
        <f t="shared" si="193"/>
        <v>Pre-2006</v>
      </c>
      <c r="H1050" s="71"/>
      <c r="I1050" s="71"/>
      <c r="J1050" s="61"/>
      <c r="K1050" s="62"/>
      <c r="L1050" s="63"/>
      <c r="M1050" s="59" t="str">
        <f t="shared" si="172"/>
        <v>NA</v>
      </c>
      <c r="N1050" s="17"/>
    </row>
    <row r="1051">
      <c r="A1051" s="9"/>
      <c r="B1051" s="38">
        <f t="shared" si="5"/>
        <v>1049</v>
      </c>
      <c r="C1051" s="70"/>
      <c r="D1051" s="48" t="s">
        <v>857</v>
      </c>
      <c r="E1051" s="13" t="s">
        <v>613</v>
      </c>
      <c r="F1051" s="13">
        <v>12.0</v>
      </c>
      <c r="G1051" s="35" t="str">
        <f t="shared" si="193"/>
        <v>Pre-2006</v>
      </c>
      <c r="H1051" s="71"/>
      <c r="I1051" s="71"/>
      <c r="J1051" s="61"/>
      <c r="K1051" s="62"/>
      <c r="L1051" s="63"/>
      <c r="M1051" s="59" t="str">
        <f t="shared" si="172"/>
        <v>NA</v>
      </c>
      <c r="N1051" s="17"/>
    </row>
    <row r="1052">
      <c r="A1052" s="9"/>
      <c r="B1052" s="38">
        <f t="shared" si="5"/>
        <v>1050</v>
      </c>
      <c r="C1052" s="34">
        <v>41265.0</v>
      </c>
      <c r="D1052" s="48" t="s">
        <v>858</v>
      </c>
      <c r="E1052" s="13" t="s">
        <v>613</v>
      </c>
      <c r="F1052" s="13">
        <v>12.0</v>
      </c>
      <c r="G1052" s="13">
        <v>2012.0</v>
      </c>
      <c r="H1052" s="13" t="s">
        <v>58</v>
      </c>
      <c r="I1052" s="13" t="s">
        <v>47</v>
      </c>
      <c r="J1052" s="55">
        <v>2010.0</v>
      </c>
      <c r="K1052" s="56">
        <v>0.94</v>
      </c>
      <c r="L1052" s="14">
        <v>100.0</v>
      </c>
      <c r="M1052" s="16">
        <f t="shared" si="172"/>
        <v>0.94</v>
      </c>
      <c r="N1052" s="17"/>
    </row>
    <row r="1053">
      <c r="A1053" s="9"/>
      <c r="B1053" s="38">
        <f t="shared" si="5"/>
        <v>1051</v>
      </c>
      <c r="C1053" s="70"/>
      <c r="D1053" s="48" t="s">
        <v>859</v>
      </c>
      <c r="E1053" s="33" t="s">
        <v>613</v>
      </c>
      <c r="F1053" s="13">
        <v>10.0</v>
      </c>
      <c r="G1053" s="35" t="str">
        <f t="shared" ref="G1053:G1054" si="194">IF(C1053&gt;40908,"2012",IF(C1053&gt;40543,"2011",IF(C1053&gt;40178,"2010",IF(C1053&gt;=39814,"2009",IF(C1053&gt;=39448,"2008",IF(C1053&gt;39082,"2007",IF(C1053&lt;38717,"Pre-2006","2006")))))))</f>
        <v>Pre-2006</v>
      </c>
      <c r="H1053" s="71"/>
      <c r="I1053" s="71"/>
      <c r="J1053" s="61"/>
      <c r="K1053" s="62"/>
      <c r="L1053" s="63"/>
      <c r="M1053" s="59" t="str">
        <f t="shared" si="172"/>
        <v>NA</v>
      </c>
      <c r="N1053" s="17"/>
    </row>
    <row r="1054">
      <c r="A1054" s="9"/>
      <c r="B1054" s="38">
        <f t="shared" si="5"/>
        <v>1052</v>
      </c>
      <c r="C1054" s="34">
        <v>39031.0</v>
      </c>
      <c r="D1054" s="48" t="s">
        <v>860</v>
      </c>
      <c r="E1054" s="13" t="s">
        <v>613</v>
      </c>
      <c r="F1054" s="13">
        <v>12.0</v>
      </c>
      <c r="G1054" s="35" t="str">
        <f t="shared" si="194"/>
        <v>2006</v>
      </c>
      <c r="H1054" s="13" t="s">
        <v>27</v>
      </c>
      <c r="I1054" s="13" t="s">
        <v>21</v>
      </c>
      <c r="J1054" s="61"/>
      <c r="K1054" s="62"/>
      <c r="L1054" s="63"/>
      <c r="M1054" s="59" t="str">
        <f t="shared" si="172"/>
        <v>NA</v>
      </c>
      <c r="N1054" s="17"/>
    </row>
    <row r="1055">
      <c r="A1055" s="9"/>
      <c r="B1055" s="38">
        <f t="shared" si="5"/>
        <v>1053</v>
      </c>
      <c r="C1055" s="34">
        <v>44637.0</v>
      </c>
      <c r="D1055" s="12" t="str">
        <f>hyperlink("https://www.rottentomatoes.com/m/yes_god_yes","Yes, God, Yes")</f>
        <v>Yes, God, Yes</v>
      </c>
      <c r="E1055" s="33" t="s">
        <v>613</v>
      </c>
      <c r="F1055" s="33">
        <v>12.0</v>
      </c>
      <c r="G1055" s="36">
        <v>2022.0</v>
      </c>
      <c r="H1055" s="33" t="s">
        <v>58</v>
      </c>
      <c r="I1055" s="33" t="s">
        <v>77</v>
      </c>
      <c r="J1055" s="37">
        <v>2019.0</v>
      </c>
      <c r="K1055" s="80">
        <v>0.93</v>
      </c>
      <c r="L1055" s="37">
        <v>78.0</v>
      </c>
      <c r="M1055" s="16">
        <f t="shared" si="172"/>
        <v>1.192307692</v>
      </c>
      <c r="N1055" s="17"/>
    </row>
    <row r="1056">
      <c r="A1056" s="9"/>
      <c r="B1056" s="38">
        <f t="shared" si="5"/>
        <v>1054</v>
      </c>
      <c r="C1056" s="34">
        <v>39780.0</v>
      </c>
      <c r="D1056" s="48" t="s">
        <v>861</v>
      </c>
      <c r="E1056" s="13" t="s">
        <v>613</v>
      </c>
      <c r="F1056" s="13">
        <v>12.0</v>
      </c>
      <c r="G1056" s="35" t="str">
        <f t="shared" ref="G1056:G1057" si="195">IF(C1056&gt;40908,"2012",IF(C1056&gt;40543,"2011",IF(C1056&gt;40178,"2010",IF(C1056&gt;=39814,"2009",IF(C1056&gt;=39448,"2008",IF(C1056&gt;39082,"2007",IF(C1056&lt;38717,"Pre-2006","2006")))))))</f>
        <v>2008</v>
      </c>
      <c r="H1056" s="13" t="s">
        <v>27</v>
      </c>
      <c r="I1056" s="13" t="s">
        <v>47</v>
      </c>
      <c r="J1056" s="14">
        <v>2008.0</v>
      </c>
      <c r="K1056" s="15">
        <v>0.35</v>
      </c>
      <c r="L1056" s="14">
        <v>117.0</v>
      </c>
      <c r="M1056" s="16">
        <f t="shared" si="172"/>
        <v>0.2991452991</v>
      </c>
      <c r="N1056" s="17"/>
    </row>
    <row r="1057">
      <c r="A1057" s="9"/>
      <c r="B1057" s="38">
        <f t="shared" si="5"/>
        <v>1055</v>
      </c>
      <c r="C1057" s="34">
        <v>39957.0</v>
      </c>
      <c r="D1057" s="48" t="s">
        <v>862</v>
      </c>
      <c r="E1057" s="13" t="s">
        <v>613</v>
      </c>
      <c r="F1057" s="13">
        <v>12.0</v>
      </c>
      <c r="G1057" s="35" t="str">
        <f t="shared" si="195"/>
        <v>2009</v>
      </c>
      <c r="H1057" s="13" t="s">
        <v>27</v>
      </c>
      <c r="I1057" s="13" t="s">
        <v>47</v>
      </c>
      <c r="J1057" s="14">
        <v>2008.0</v>
      </c>
      <c r="K1057" s="15">
        <v>0.65</v>
      </c>
      <c r="L1057" s="14">
        <v>101.0</v>
      </c>
      <c r="M1057" s="16">
        <f t="shared" si="172"/>
        <v>0.6435643564</v>
      </c>
      <c r="N1057" s="17"/>
    </row>
    <row r="1058">
      <c r="A1058" s="9"/>
      <c r="B1058" s="40">
        <f t="shared" si="5"/>
        <v>1056</v>
      </c>
      <c r="C1058" s="41">
        <v>41080.0</v>
      </c>
      <c r="D1058" s="94" t="s">
        <v>863</v>
      </c>
      <c r="E1058" s="43" t="s">
        <v>864</v>
      </c>
      <c r="F1058" s="43">
        <v>11.0</v>
      </c>
      <c r="G1058" s="43">
        <v>2012.0</v>
      </c>
      <c r="H1058" s="43" t="s">
        <v>25</v>
      </c>
      <c r="I1058" s="43" t="s">
        <v>47</v>
      </c>
      <c r="J1058" s="53">
        <v>2012.0</v>
      </c>
      <c r="K1058" s="54">
        <v>0.85</v>
      </c>
      <c r="L1058" s="45">
        <v>109.0</v>
      </c>
      <c r="M1058" s="47">
        <f t="shared" si="172"/>
        <v>0.7798165138</v>
      </c>
      <c r="N1058" s="17"/>
    </row>
    <row r="1059">
      <c r="A1059" s="9"/>
      <c r="B1059" s="38">
        <f t="shared" si="5"/>
        <v>1057</v>
      </c>
      <c r="C1059" s="70"/>
      <c r="D1059" s="48" t="s">
        <v>865</v>
      </c>
      <c r="E1059" s="13" t="s">
        <v>864</v>
      </c>
      <c r="F1059" s="13">
        <v>11.0</v>
      </c>
      <c r="G1059" s="35" t="str">
        <f>IF(C1059&gt;40908,"2012",IF(C1059&gt;40543,"2011",IF(C1059&gt;40178,"2010",IF(C1059&gt;=39814,"2009",IF(C1059&gt;=39448,"2008",IF(C1059&gt;39082,"2007",IF(C1059&lt;38717,"Pre-2006","2006")))))))</f>
        <v>Pre-2006</v>
      </c>
      <c r="H1059" s="71"/>
      <c r="I1059" s="71"/>
      <c r="J1059" s="61"/>
      <c r="K1059" s="62"/>
      <c r="L1059" s="63"/>
      <c r="M1059" s="59" t="str">
        <f t="shared" si="172"/>
        <v>NA</v>
      </c>
      <c r="N1059" s="17"/>
    </row>
    <row r="1060">
      <c r="A1060" s="9"/>
      <c r="B1060" s="38">
        <f t="shared" si="5"/>
        <v>1058</v>
      </c>
      <c r="C1060" s="60">
        <v>42512.0</v>
      </c>
      <c r="D1060" s="74" t="str">
        <f>hyperlink("http://www.rottentomatoes.com/m/all_work_all_play_the_pursuit_of_esports_glory/?search=all%20work","All Work All Play")</f>
        <v>All Work All Play</v>
      </c>
      <c r="E1060" s="33" t="s">
        <v>864</v>
      </c>
      <c r="F1060" s="33">
        <v>11.0</v>
      </c>
      <c r="G1060" s="36">
        <v>2016.0</v>
      </c>
      <c r="H1060" s="33" t="s">
        <v>58</v>
      </c>
      <c r="I1060" s="33" t="s">
        <v>77</v>
      </c>
      <c r="J1060" s="57">
        <v>2015.0</v>
      </c>
      <c r="K1060" s="82" t="s">
        <v>169</v>
      </c>
      <c r="L1060" s="37">
        <v>93.0</v>
      </c>
      <c r="M1060" s="59" t="str">
        <f>K1060/L1060*100</f>
        <v>#VALUE!</v>
      </c>
      <c r="N1060" s="17"/>
    </row>
    <row r="1061">
      <c r="A1061" s="9"/>
      <c r="B1061" s="38">
        <f t="shared" si="5"/>
        <v>1059</v>
      </c>
      <c r="C1061" s="70"/>
      <c r="D1061" s="48" t="s">
        <v>866</v>
      </c>
      <c r="E1061" s="13" t="s">
        <v>864</v>
      </c>
      <c r="F1061" s="13">
        <v>11.0</v>
      </c>
      <c r="G1061" s="35" t="str">
        <f t="shared" ref="G1061:G1062" si="196">IF(C1061&gt;40908,"2012",IF(C1061&gt;40543,"2011",IF(C1061&gt;40178,"2010",IF(C1061&gt;=39814,"2009",IF(C1061&gt;=39448,"2008",IF(C1061&gt;39082,"2007",IF(C1061&lt;38717,"Pre-2006","2006")))))))</f>
        <v>Pre-2006</v>
      </c>
      <c r="H1061" s="71"/>
      <c r="I1061" s="71"/>
      <c r="J1061" s="61"/>
      <c r="K1061" s="62"/>
      <c r="L1061" s="63"/>
      <c r="M1061" s="59" t="str">
        <f t="shared" ref="M1061:M1068" si="197">if(iserror(K1061/L1061*100),"NA",K1061/L1061*100)</f>
        <v>NA</v>
      </c>
      <c r="N1061" s="17"/>
    </row>
    <row r="1062">
      <c r="A1062" s="9"/>
      <c r="B1062" s="38">
        <f t="shared" si="5"/>
        <v>1060</v>
      </c>
      <c r="C1062" s="70"/>
      <c r="D1062" s="48" t="s">
        <v>867</v>
      </c>
      <c r="E1062" s="13" t="s">
        <v>864</v>
      </c>
      <c r="F1062" s="13">
        <v>11.0</v>
      </c>
      <c r="G1062" s="35" t="str">
        <f t="shared" si="196"/>
        <v>Pre-2006</v>
      </c>
      <c r="H1062" s="71"/>
      <c r="I1062" s="71"/>
      <c r="J1062" s="61"/>
      <c r="K1062" s="62"/>
      <c r="L1062" s="63"/>
      <c r="M1062" s="59" t="str">
        <f t="shared" si="197"/>
        <v>NA</v>
      </c>
      <c r="N1062" s="17"/>
    </row>
    <row r="1063">
      <c r="A1063" s="9"/>
      <c r="B1063" s="38">
        <f t="shared" si="5"/>
        <v>1061</v>
      </c>
      <c r="C1063" s="34">
        <v>42309.0</v>
      </c>
      <c r="D1063" s="12" t="str">
        <f>hyperlink("http://www.rottentomatoes.com/m/back_in_time_2015/?search=back%20in%20time","Back in Time")</f>
        <v>Back in Time</v>
      </c>
      <c r="E1063" s="33" t="s">
        <v>864</v>
      </c>
      <c r="F1063" s="33">
        <v>11.0</v>
      </c>
      <c r="G1063" s="36">
        <v>2015.0</v>
      </c>
      <c r="H1063" s="33" t="s">
        <v>58</v>
      </c>
      <c r="I1063" s="33" t="s">
        <v>77</v>
      </c>
      <c r="J1063" s="57">
        <v>2015.0</v>
      </c>
      <c r="K1063" s="82" t="s">
        <v>169</v>
      </c>
      <c r="L1063" s="37">
        <v>92.0</v>
      </c>
      <c r="M1063" s="72" t="str">
        <f t="shared" si="197"/>
        <v>NA</v>
      </c>
      <c r="N1063" s="17"/>
    </row>
    <row r="1064">
      <c r="A1064" s="9"/>
      <c r="B1064" s="38">
        <f t="shared" si="5"/>
        <v>1062</v>
      </c>
      <c r="C1064" s="75">
        <v>43478.0</v>
      </c>
      <c r="D1064" s="12" t="str">
        <f>hyperlink("https://www.rottentomatoes.com/m/bird_box","Bird Box")</f>
        <v>Bird Box</v>
      </c>
      <c r="E1064" s="33" t="s">
        <v>864</v>
      </c>
      <c r="F1064" s="33">
        <v>11.0</v>
      </c>
      <c r="G1064" s="36">
        <v>2019.0</v>
      </c>
      <c r="H1064" s="33" t="s">
        <v>58</v>
      </c>
      <c r="I1064" s="33" t="s">
        <v>77</v>
      </c>
      <c r="J1064" s="57">
        <v>2018.0</v>
      </c>
      <c r="K1064" s="58">
        <v>0.62</v>
      </c>
      <c r="L1064" s="37">
        <v>117.0</v>
      </c>
      <c r="M1064" s="59">
        <f t="shared" si="197"/>
        <v>0.5299145299</v>
      </c>
      <c r="N1064" s="17"/>
    </row>
    <row r="1065">
      <c r="A1065" s="9"/>
      <c r="B1065" s="38">
        <f t="shared" si="5"/>
        <v>1063</v>
      </c>
      <c r="C1065" s="70"/>
      <c r="D1065" s="48" t="s">
        <v>868</v>
      </c>
      <c r="E1065" s="13" t="s">
        <v>864</v>
      </c>
      <c r="F1065" s="13">
        <v>11.0</v>
      </c>
      <c r="G1065" s="35" t="str">
        <f>IF(C1065&gt;40908,"2012",IF(C1065&gt;40543,"2011",IF(C1065&gt;40178,"2010",IF(C1065&gt;=39814,"2009",IF(C1065&gt;=39448,"2008",IF(C1065&gt;39082,"2007",IF(C1065&lt;38717,"Pre-2006","2006")))))))</f>
        <v>Pre-2006</v>
      </c>
      <c r="H1065" s="71"/>
      <c r="I1065" s="71"/>
      <c r="J1065" s="61"/>
      <c r="K1065" s="62"/>
      <c r="L1065" s="63"/>
      <c r="M1065" s="59" t="str">
        <f t="shared" si="197"/>
        <v>NA</v>
      </c>
      <c r="N1065" s="17"/>
    </row>
    <row r="1066">
      <c r="A1066" s="9"/>
      <c r="B1066" s="38">
        <f t="shared" si="5"/>
        <v>1064</v>
      </c>
      <c r="C1066" s="34">
        <v>43234.0</v>
      </c>
      <c r="D1066" s="12" t="str">
        <f>hyperlink("https://www.rottentomatoes.com/m/brave_2012","Brave")</f>
        <v>Brave</v>
      </c>
      <c r="E1066" s="33" t="s">
        <v>864</v>
      </c>
      <c r="F1066" s="33">
        <v>11.0</v>
      </c>
      <c r="G1066" s="36">
        <v>2018.0</v>
      </c>
      <c r="H1066" s="33" t="s">
        <v>126</v>
      </c>
      <c r="I1066" s="33" t="s">
        <v>47</v>
      </c>
      <c r="J1066" s="37">
        <v>2012.0</v>
      </c>
      <c r="K1066" s="15">
        <v>0.78</v>
      </c>
      <c r="L1066" s="37">
        <v>93.0</v>
      </c>
      <c r="M1066" s="59">
        <f t="shared" si="197"/>
        <v>0.8387096774</v>
      </c>
      <c r="N1066" s="17"/>
    </row>
    <row r="1067">
      <c r="A1067" s="9"/>
      <c r="B1067" s="38">
        <f t="shared" si="5"/>
        <v>1065</v>
      </c>
      <c r="C1067" s="34">
        <v>39673.0</v>
      </c>
      <c r="D1067" s="48" t="s">
        <v>869</v>
      </c>
      <c r="E1067" s="13" t="s">
        <v>864</v>
      </c>
      <c r="F1067" s="13">
        <v>11.0</v>
      </c>
      <c r="G1067" s="35" t="str">
        <f>IF(C1067&gt;40908,"2012",IF(C1067&gt;40543,"2011",IF(C1067&gt;40178,"2010",IF(C1067&gt;=39814,"2009",IF(C1067&gt;=39448,"2008",IF(C1067&gt;39082,"2007",IF(C1067&lt;38717,"Pre-2006","2006")))))))</f>
        <v>2008</v>
      </c>
      <c r="H1067" s="13" t="s">
        <v>155</v>
      </c>
      <c r="I1067" s="13" t="s">
        <v>47</v>
      </c>
      <c r="J1067" s="14">
        <v>1968.0</v>
      </c>
      <c r="K1067" s="15">
        <v>0.97</v>
      </c>
      <c r="L1067" s="14">
        <v>134.0</v>
      </c>
      <c r="M1067" s="16">
        <f t="shared" si="197"/>
        <v>0.723880597</v>
      </c>
      <c r="N1067" s="17"/>
    </row>
    <row r="1068">
      <c r="A1068" s="9"/>
      <c r="B1068" s="38">
        <f t="shared" si="5"/>
        <v>1066</v>
      </c>
      <c r="C1068" s="34">
        <v>41741.0</v>
      </c>
      <c r="D1068" s="12" t="str">
        <f>hyperlink("http://www.rottentomatoes.com/m/captain-america/","Captain America: The First Avenger")</f>
        <v>Captain America: The First Avenger</v>
      </c>
      <c r="E1068" s="13" t="s">
        <v>864</v>
      </c>
      <c r="F1068" s="13">
        <v>11.0</v>
      </c>
      <c r="G1068" s="13">
        <v>2014.0</v>
      </c>
      <c r="H1068" s="13" t="s">
        <v>58</v>
      </c>
      <c r="I1068" s="13" t="s">
        <v>47</v>
      </c>
      <c r="J1068" s="55">
        <v>2011.0</v>
      </c>
      <c r="K1068" s="56">
        <v>0.79</v>
      </c>
      <c r="L1068" s="14">
        <v>124.0</v>
      </c>
      <c r="M1068" s="16">
        <f t="shared" si="197"/>
        <v>0.6370967742</v>
      </c>
      <c r="N1068" s="17"/>
    </row>
    <row r="1069">
      <c r="A1069" s="9"/>
      <c r="B1069" s="38">
        <f t="shared" si="5"/>
        <v>1067</v>
      </c>
      <c r="C1069" s="60">
        <v>42495.0</v>
      </c>
      <c r="D1069" s="74" t="str">
        <f>hyperlink("http://espn.go.com/30for30/film?page=chasingtyson","Chasing Tyson")</f>
        <v>Chasing Tyson</v>
      </c>
      <c r="E1069" s="33" t="s">
        <v>864</v>
      </c>
      <c r="F1069" s="33">
        <v>11.0</v>
      </c>
      <c r="G1069" s="36">
        <v>2016.0</v>
      </c>
      <c r="H1069" s="33" t="s">
        <v>58</v>
      </c>
      <c r="I1069" s="33" t="s">
        <v>47</v>
      </c>
      <c r="J1069" s="57" t="s">
        <v>169</v>
      </c>
      <c r="K1069" s="82" t="s">
        <v>169</v>
      </c>
      <c r="L1069" s="37" t="s">
        <v>169</v>
      </c>
      <c r="M1069" s="72" t="s">
        <v>169</v>
      </c>
      <c r="N1069" s="17"/>
    </row>
    <row r="1070">
      <c r="A1070" s="9"/>
      <c r="B1070" s="38">
        <f t="shared" si="5"/>
        <v>1068</v>
      </c>
      <c r="C1070" s="60">
        <v>42493.0</v>
      </c>
      <c r="D1070" s="74" t="str">
        <f>hyperlink("http://www.rottentomatoes.com/m/cinema_paradiso/?search=cinema%20pa","Cinema Paradiso")</f>
        <v>Cinema Paradiso</v>
      </c>
      <c r="E1070" s="33" t="s">
        <v>864</v>
      </c>
      <c r="F1070" s="33">
        <v>11.0</v>
      </c>
      <c r="G1070" s="36">
        <v>2016.0</v>
      </c>
      <c r="H1070" s="33" t="s">
        <v>58</v>
      </c>
      <c r="I1070" s="33" t="s">
        <v>47</v>
      </c>
      <c r="J1070" s="57">
        <v>1988.0</v>
      </c>
      <c r="K1070" s="58">
        <v>0.9</v>
      </c>
      <c r="L1070" s="37">
        <v>86.0</v>
      </c>
      <c r="M1070" s="16">
        <f>K1070/L1070*100</f>
        <v>1.046511628</v>
      </c>
      <c r="N1070" s="17"/>
    </row>
    <row r="1071">
      <c r="A1071" s="9"/>
      <c r="B1071" s="38">
        <f t="shared" si="5"/>
        <v>1069</v>
      </c>
      <c r="C1071" s="34">
        <v>43443.0</v>
      </c>
      <c r="D1071" s="12" t="str">
        <f>hyperlink("https://www.rottentomatoes.com/m/crazy_rich_asians","Crazy Rich Asians")</f>
        <v>Crazy Rich Asians</v>
      </c>
      <c r="E1071" s="33" t="s">
        <v>864</v>
      </c>
      <c r="F1071" s="33">
        <v>11.0</v>
      </c>
      <c r="G1071" s="36">
        <v>2018.0</v>
      </c>
      <c r="H1071" s="33" t="s">
        <v>58</v>
      </c>
      <c r="I1071" s="33" t="s">
        <v>47</v>
      </c>
      <c r="J1071" s="57">
        <v>2018.0</v>
      </c>
      <c r="K1071" s="58">
        <v>0.91</v>
      </c>
      <c r="L1071" s="37">
        <v>120.0</v>
      </c>
      <c r="M1071" s="16">
        <f t="shared" ref="M1071:M1079" si="198">if(iserror(K1071/L1071*100),"NA",K1071/L1071*100)</f>
        <v>0.7583333333</v>
      </c>
      <c r="N1071" s="17"/>
    </row>
    <row r="1072">
      <c r="A1072" s="9"/>
      <c r="B1072" s="38">
        <f t="shared" si="5"/>
        <v>1070</v>
      </c>
      <c r="C1072" s="34">
        <v>43463.0</v>
      </c>
      <c r="D1072" s="12" t="str">
        <f>hyperlink("https://www.rottentomatoes.com/m/creed_ii","Creed II")</f>
        <v>Creed II</v>
      </c>
      <c r="E1072" s="33" t="s">
        <v>864</v>
      </c>
      <c r="F1072" s="33">
        <v>11.0</v>
      </c>
      <c r="G1072" s="36">
        <v>2018.0</v>
      </c>
      <c r="H1072" s="33" t="s">
        <v>143</v>
      </c>
      <c r="I1072" s="33" t="s">
        <v>26</v>
      </c>
      <c r="J1072" s="57">
        <v>2018.0</v>
      </c>
      <c r="K1072" s="58">
        <v>0.83</v>
      </c>
      <c r="L1072" s="37">
        <v>130.0</v>
      </c>
      <c r="M1072" s="16">
        <f t="shared" si="198"/>
        <v>0.6384615385</v>
      </c>
      <c r="N1072" s="17"/>
    </row>
    <row r="1073">
      <c r="A1073" s="9"/>
      <c r="B1073" s="38">
        <f t="shared" si="5"/>
        <v>1071</v>
      </c>
      <c r="C1073" s="70"/>
      <c r="D1073" s="48" t="s">
        <v>870</v>
      </c>
      <c r="E1073" s="13" t="s">
        <v>864</v>
      </c>
      <c r="F1073" s="13">
        <v>11.0</v>
      </c>
      <c r="G1073" s="35" t="str">
        <f t="shared" ref="G1073:G1075" si="199">IF(C1073&gt;40908,"2012",IF(C1073&gt;40543,"2011",IF(C1073&gt;40178,"2010",IF(C1073&gt;=39814,"2009",IF(C1073&gt;=39448,"2008",IF(C1073&gt;39082,"2007",IF(C1073&lt;38717,"Pre-2006","2006")))))))</f>
        <v>Pre-2006</v>
      </c>
      <c r="H1073" s="71"/>
      <c r="I1073" s="71"/>
      <c r="J1073" s="61"/>
      <c r="K1073" s="62"/>
      <c r="L1073" s="63"/>
      <c r="M1073" s="59" t="str">
        <f t="shared" si="198"/>
        <v>NA</v>
      </c>
      <c r="N1073" s="17"/>
    </row>
    <row r="1074">
      <c r="A1074" s="9"/>
      <c r="B1074" s="38">
        <f t="shared" si="5"/>
        <v>1072</v>
      </c>
      <c r="C1074" s="34">
        <v>39575.0</v>
      </c>
      <c r="D1074" s="48" t="s">
        <v>871</v>
      </c>
      <c r="E1074" s="13" t="s">
        <v>864</v>
      </c>
      <c r="F1074" s="13">
        <v>11.0</v>
      </c>
      <c r="G1074" s="35" t="str">
        <f t="shared" si="199"/>
        <v>2008</v>
      </c>
      <c r="H1074" s="13" t="s">
        <v>17</v>
      </c>
      <c r="I1074" s="13" t="s">
        <v>47</v>
      </c>
      <c r="J1074" s="14">
        <v>2007.0</v>
      </c>
      <c r="K1074" s="15">
        <v>0.64</v>
      </c>
      <c r="L1074" s="14">
        <v>99.0</v>
      </c>
      <c r="M1074" s="16">
        <f t="shared" si="198"/>
        <v>0.6464646465</v>
      </c>
      <c r="N1074" s="17"/>
    </row>
    <row r="1075">
      <c r="A1075" s="9"/>
      <c r="B1075" s="38">
        <f t="shared" si="5"/>
        <v>1073</v>
      </c>
      <c r="C1075" s="34">
        <v>39608.0</v>
      </c>
      <c r="D1075" s="48" t="s">
        <v>872</v>
      </c>
      <c r="E1075" s="13" t="s">
        <v>864</v>
      </c>
      <c r="F1075" s="13">
        <v>11.0</v>
      </c>
      <c r="G1075" s="35" t="str">
        <f t="shared" si="199"/>
        <v>2008</v>
      </c>
      <c r="H1075" s="13" t="s">
        <v>873</v>
      </c>
      <c r="I1075" s="13" t="s">
        <v>126</v>
      </c>
      <c r="J1075" s="14">
        <v>2008.0</v>
      </c>
      <c r="K1075" s="15">
        <v>0.72</v>
      </c>
      <c r="L1075" s="14">
        <v>112.0</v>
      </c>
      <c r="M1075" s="16">
        <f t="shared" si="198"/>
        <v>0.6428571429</v>
      </c>
      <c r="N1075" s="17"/>
    </row>
    <row r="1076">
      <c r="A1076" s="9"/>
      <c r="B1076" s="38">
        <f t="shared" si="5"/>
        <v>1074</v>
      </c>
      <c r="C1076" s="34">
        <v>44562.0</v>
      </c>
      <c r="D1076" s="12" t="str">
        <f>hyperlink("https://www.rottentomatoes.com/m/dont_look_up_2021","Don't Look Up")</f>
        <v>Don't Look Up</v>
      </c>
      <c r="E1076" s="33" t="s">
        <v>864</v>
      </c>
      <c r="F1076" s="33">
        <v>11.0</v>
      </c>
      <c r="G1076" s="36">
        <v>2022.0</v>
      </c>
      <c r="H1076" s="33" t="s">
        <v>874</v>
      </c>
      <c r="I1076" s="33" t="s">
        <v>77</v>
      </c>
      <c r="J1076" s="57">
        <v>2021.0</v>
      </c>
      <c r="K1076" s="58">
        <v>0.55</v>
      </c>
      <c r="L1076" s="37">
        <v>138.0</v>
      </c>
      <c r="M1076" s="16">
        <f t="shared" si="198"/>
        <v>0.3985507246</v>
      </c>
      <c r="N1076" s="17"/>
    </row>
    <row r="1077">
      <c r="A1077" s="9"/>
      <c r="B1077" s="38">
        <f t="shared" si="5"/>
        <v>1075</v>
      </c>
      <c r="C1077" s="34">
        <v>42714.0</v>
      </c>
      <c r="D1077" s="12" t="str">
        <f>hyperlink("https://www.rottentomatoes.com/m/dont_think_twice/","Don't Think Twice")</f>
        <v>Don't Think Twice</v>
      </c>
      <c r="E1077" s="33" t="s">
        <v>864</v>
      </c>
      <c r="F1077" s="33">
        <v>11.0</v>
      </c>
      <c r="G1077" s="36">
        <v>2016.0</v>
      </c>
      <c r="H1077" s="33" t="s">
        <v>58</v>
      </c>
      <c r="I1077" s="33" t="s">
        <v>82</v>
      </c>
      <c r="J1077" s="57">
        <v>2016.0</v>
      </c>
      <c r="K1077" s="58">
        <v>0.99</v>
      </c>
      <c r="L1077" s="37">
        <v>92.0</v>
      </c>
      <c r="M1077" s="16">
        <f t="shared" si="198"/>
        <v>1.076086957</v>
      </c>
      <c r="N1077" s="17"/>
    </row>
    <row r="1078">
      <c r="A1078" s="9"/>
      <c r="B1078" s="38">
        <f t="shared" si="5"/>
        <v>1076</v>
      </c>
      <c r="C1078" s="70"/>
      <c r="D1078" s="48" t="s">
        <v>875</v>
      </c>
      <c r="E1078" s="13" t="s">
        <v>864</v>
      </c>
      <c r="F1078" s="13">
        <v>11.0</v>
      </c>
      <c r="G1078" s="35" t="str">
        <f t="shared" ref="G1078:G1079" si="200">IF(C1078&gt;40908,"2012",IF(C1078&gt;40543,"2011",IF(C1078&gt;40178,"2010",IF(C1078&gt;=39814,"2009",IF(C1078&gt;=39448,"2008",IF(C1078&gt;39082,"2007",IF(C1078&lt;38717,"Pre-2006","2006")))))))</f>
        <v>Pre-2006</v>
      </c>
      <c r="H1078" s="71"/>
      <c r="I1078" s="71"/>
      <c r="J1078" s="61"/>
      <c r="K1078" s="62"/>
      <c r="L1078" s="63"/>
      <c r="M1078" s="59" t="str">
        <f t="shared" si="198"/>
        <v>NA</v>
      </c>
      <c r="N1078" s="17"/>
    </row>
    <row r="1079" ht="12.75" customHeight="1">
      <c r="A1079" s="9"/>
      <c r="B1079" s="38">
        <f t="shared" si="5"/>
        <v>1077</v>
      </c>
      <c r="C1079" s="34">
        <v>39811.0</v>
      </c>
      <c r="D1079" s="48" t="s">
        <v>876</v>
      </c>
      <c r="E1079" s="13" t="s">
        <v>864</v>
      </c>
      <c r="F1079" s="13">
        <v>11.0</v>
      </c>
      <c r="G1079" s="35" t="str">
        <f t="shared" si="200"/>
        <v>2008</v>
      </c>
      <c r="H1079" s="13" t="s">
        <v>29</v>
      </c>
      <c r="I1079" s="13" t="s">
        <v>26</v>
      </c>
      <c r="J1079" s="14">
        <v>2008.0</v>
      </c>
      <c r="K1079" s="15">
        <v>0.76</v>
      </c>
      <c r="L1079" s="14">
        <v>104.0</v>
      </c>
      <c r="M1079" s="16">
        <f t="shared" si="198"/>
        <v>0.7307692308</v>
      </c>
      <c r="N1079" s="17"/>
    </row>
    <row r="1080">
      <c r="A1080" s="9"/>
      <c r="B1080" s="38">
        <f t="shared" si="5"/>
        <v>1078</v>
      </c>
      <c r="C1080" s="34">
        <v>42495.0</v>
      </c>
      <c r="D1080" s="74" t="str">
        <f>hyperlink("http://www.rottentomatoes.com/m/downloaded_2013/?search=downloaded","Downloaded")</f>
        <v>Downloaded</v>
      </c>
      <c r="E1080" s="33" t="s">
        <v>864</v>
      </c>
      <c r="F1080" s="33">
        <v>11.0</v>
      </c>
      <c r="G1080" s="36">
        <v>2016.0</v>
      </c>
      <c r="H1080" s="33" t="s">
        <v>58</v>
      </c>
      <c r="I1080" s="33" t="s">
        <v>47</v>
      </c>
      <c r="J1080" s="37">
        <v>2013.0</v>
      </c>
      <c r="K1080" s="15">
        <v>0.67</v>
      </c>
      <c r="L1080" s="37">
        <v>107.0</v>
      </c>
      <c r="M1080" s="16">
        <f>K1080/L1080*100</f>
        <v>0.6261682243</v>
      </c>
      <c r="N1080" s="17"/>
    </row>
    <row r="1081">
      <c r="A1081" s="9"/>
      <c r="B1081" s="38">
        <f t="shared" si="5"/>
        <v>1079</v>
      </c>
      <c r="C1081" s="34">
        <v>41503.0</v>
      </c>
      <c r="D1081" s="48" t="s">
        <v>877</v>
      </c>
      <c r="E1081" s="13" t="s">
        <v>864</v>
      </c>
      <c r="F1081" s="13">
        <v>11.0</v>
      </c>
      <c r="G1081" s="13">
        <v>2013.0</v>
      </c>
      <c r="H1081" s="13" t="s">
        <v>25</v>
      </c>
      <c r="I1081" s="13" t="s">
        <v>26</v>
      </c>
      <c r="J1081" s="55">
        <v>2013.0</v>
      </c>
      <c r="K1081" s="56">
        <v>0.68</v>
      </c>
      <c r="L1081" s="14">
        <v>97.0</v>
      </c>
      <c r="M1081" s="16">
        <f t="shared" ref="M1081:M1088" si="201">if(iserror(K1081/L1081*100),"NA",K1081/L1081*100)</f>
        <v>0.7010309278</v>
      </c>
      <c r="N1081" s="17"/>
    </row>
    <row r="1082">
      <c r="A1082" s="9"/>
      <c r="B1082" s="38">
        <f t="shared" si="5"/>
        <v>1080</v>
      </c>
      <c r="C1082" s="34">
        <v>44871.0</v>
      </c>
      <c r="D1082" s="12" t="str">
        <f>hyperlink("https://www.rottentomatoes.com/m/enola_holmes_2","Enola Holmes 2")</f>
        <v>Enola Holmes 2</v>
      </c>
      <c r="E1082" s="13" t="s">
        <v>864</v>
      </c>
      <c r="F1082" s="33">
        <v>11.0</v>
      </c>
      <c r="G1082" s="33">
        <v>2022.0</v>
      </c>
      <c r="H1082" s="33" t="s">
        <v>58</v>
      </c>
      <c r="I1082" s="33" t="s">
        <v>77</v>
      </c>
      <c r="J1082" s="57">
        <v>2022.0</v>
      </c>
      <c r="K1082" s="56">
        <v>0.94</v>
      </c>
      <c r="L1082" s="37">
        <v>129.0</v>
      </c>
      <c r="M1082" s="16">
        <f t="shared" si="201"/>
        <v>0.7286821705</v>
      </c>
      <c r="N1082" s="17"/>
    </row>
    <row r="1083">
      <c r="A1083" s="9"/>
      <c r="B1083" s="38">
        <f t="shared" si="5"/>
        <v>1081</v>
      </c>
      <c r="C1083" s="34">
        <v>42856.0</v>
      </c>
      <c r="D1083" s="12" t="str">
        <f>hyperlink("https://www.rottentomatoes.com/franchise/the_fast_and_the_furious","Fast and the Furious I, The")</f>
        <v>Fast and the Furious I, The</v>
      </c>
      <c r="E1083" s="13" t="s">
        <v>864</v>
      </c>
      <c r="F1083" s="13">
        <v>11.0</v>
      </c>
      <c r="G1083" s="36">
        <v>2017.0</v>
      </c>
      <c r="H1083" s="33" t="s">
        <v>25</v>
      </c>
      <c r="I1083" s="13" t="s">
        <v>47</v>
      </c>
      <c r="J1083" s="57">
        <v>2001.0</v>
      </c>
      <c r="K1083" s="58">
        <v>0.53</v>
      </c>
      <c r="L1083" s="37">
        <v>107.0</v>
      </c>
      <c r="M1083" s="16">
        <f t="shared" si="201"/>
        <v>0.4953271028</v>
      </c>
      <c r="N1083" s="17"/>
    </row>
    <row r="1084">
      <c r="A1084" s="9"/>
      <c r="B1084" s="38">
        <f t="shared" si="5"/>
        <v>1082</v>
      </c>
      <c r="C1084" s="34">
        <v>39126.0</v>
      </c>
      <c r="D1084" s="48" t="s">
        <v>878</v>
      </c>
      <c r="E1084" s="13" t="s">
        <v>864</v>
      </c>
      <c r="F1084" s="13">
        <v>11.0</v>
      </c>
      <c r="G1084" s="35" t="str">
        <f t="shared" ref="G1084:G1086" si="202">IF(C1084&gt;40908,"2012",IF(C1084&gt;40543,"2011",IF(C1084&gt;40178,"2010",IF(C1084&gt;=39814,"2009",IF(C1084&gt;=39448,"2008",IF(C1084&gt;39082,"2007",IF(C1084&lt;38717,"Pre-2006","2006")))))))</f>
        <v>2007</v>
      </c>
      <c r="H1084" s="71"/>
      <c r="I1084" s="71"/>
      <c r="J1084" s="61"/>
      <c r="K1084" s="62"/>
      <c r="L1084" s="63"/>
      <c r="M1084" s="59" t="str">
        <f t="shared" si="201"/>
        <v>NA</v>
      </c>
      <c r="N1084" s="17"/>
    </row>
    <row r="1085">
      <c r="A1085" s="9"/>
      <c r="B1085" s="38">
        <f t="shared" si="5"/>
        <v>1083</v>
      </c>
      <c r="C1085" s="70"/>
      <c r="D1085" s="48" t="s">
        <v>879</v>
      </c>
      <c r="E1085" s="13" t="s">
        <v>864</v>
      </c>
      <c r="F1085" s="13">
        <v>11.0</v>
      </c>
      <c r="G1085" s="35" t="str">
        <f t="shared" si="202"/>
        <v>Pre-2006</v>
      </c>
      <c r="H1085" s="71"/>
      <c r="I1085" s="71"/>
      <c r="J1085" s="61"/>
      <c r="K1085" s="62"/>
      <c r="L1085" s="63"/>
      <c r="M1085" s="59" t="str">
        <f t="shared" si="201"/>
        <v>NA</v>
      </c>
      <c r="N1085" s="17"/>
    </row>
    <row r="1086">
      <c r="A1086" s="9"/>
      <c r="B1086" s="38">
        <f t="shared" si="5"/>
        <v>1084</v>
      </c>
      <c r="C1086" s="34">
        <v>39656.0</v>
      </c>
      <c r="D1086" s="48" t="s">
        <v>880</v>
      </c>
      <c r="E1086" s="13" t="s">
        <v>864</v>
      </c>
      <c r="F1086" s="13">
        <v>11.0</v>
      </c>
      <c r="G1086" s="35" t="str">
        <f t="shared" si="202"/>
        <v>2008</v>
      </c>
      <c r="H1086" s="13" t="s">
        <v>155</v>
      </c>
      <c r="I1086" s="13" t="s">
        <v>21</v>
      </c>
      <c r="J1086" s="14">
        <v>2007.0</v>
      </c>
      <c r="K1086" s="15">
        <v>0.69</v>
      </c>
      <c r="L1086" s="14">
        <v>160.0</v>
      </c>
      <c r="M1086" s="16">
        <f t="shared" si="201"/>
        <v>0.43125</v>
      </c>
      <c r="N1086" s="17"/>
    </row>
    <row r="1087">
      <c r="A1087" s="9"/>
      <c r="B1087" s="38">
        <f t="shared" si="5"/>
        <v>1085</v>
      </c>
      <c r="C1087" s="34">
        <v>41096.0</v>
      </c>
      <c r="D1087" s="48" t="s">
        <v>881</v>
      </c>
      <c r="E1087" s="13" t="s">
        <v>864</v>
      </c>
      <c r="F1087" s="13">
        <v>11.0</v>
      </c>
      <c r="G1087" s="13">
        <v>2012.0</v>
      </c>
      <c r="H1087" s="13" t="s">
        <v>25</v>
      </c>
      <c r="I1087" s="13" t="s">
        <v>47</v>
      </c>
      <c r="J1087" s="14">
        <v>2012.0</v>
      </c>
      <c r="K1087" s="15">
        <v>0.68</v>
      </c>
      <c r="L1087" s="14">
        <v>100.0</v>
      </c>
      <c r="M1087" s="16">
        <f t="shared" si="201"/>
        <v>0.68</v>
      </c>
      <c r="N1087" s="17"/>
    </row>
    <row r="1088">
      <c r="A1088" s="9"/>
      <c r="B1088" s="38">
        <f t="shared" si="5"/>
        <v>1086</v>
      </c>
      <c r="C1088" s="34">
        <v>39507.0</v>
      </c>
      <c r="D1088" s="48" t="s">
        <v>882</v>
      </c>
      <c r="E1088" s="13" t="s">
        <v>864</v>
      </c>
      <c r="F1088" s="13">
        <v>11.0</v>
      </c>
      <c r="G1088" s="35" t="str">
        <f>IF(C1088&gt;40908,"2012",IF(C1088&gt;40543,"2011",IF(C1088&gt;40178,"2010",IF(C1088&gt;=39814,"2009",IF(C1088&gt;=39448,"2008",IF(C1088&gt;39082,"2007",IF(C1088&lt;38717,"Pre-2006","2006")))))))</f>
        <v>2008</v>
      </c>
      <c r="H1088" s="13" t="s">
        <v>17</v>
      </c>
      <c r="I1088" s="13" t="s">
        <v>47</v>
      </c>
      <c r="J1088" s="14">
        <v>1953.0</v>
      </c>
      <c r="K1088" s="15">
        <v>0.89</v>
      </c>
      <c r="L1088" s="14">
        <v>122.0</v>
      </c>
      <c r="M1088" s="16">
        <f t="shared" si="201"/>
        <v>0.7295081967</v>
      </c>
      <c r="N1088" s="17"/>
    </row>
    <row r="1089">
      <c r="A1089" s="9"/>
      <c r="B1089" s="38">
        <f t="shared" si="5"/>
        <v>1087</v>
      </c>
      <c r="C1089" s="34">
        <v>43338.0</v>
      </c>
      <c r="D1089" s="12" t="str">
        <f>hyperlink("https://www.rottentomatoes.com/m/froning_the_fittest_man_in_history","Froning: The Fittest Man in History")</f>
        <v>Froning: The Fittest Man in History</v>
      </c>
      <c r="E1089" s="33" t="s">
        <v>864</v>
      </c>
      <c r="F1089" s="33">
        <v>11.0</v>
      </c>
      <c r="G1089" s="36">
        <v>2018.0</v>
      </c>
      <c r="H1089" s="33" t="s">
        <v>58</v>
      </c>
      <c r="I1089" s="33" t="s">
        <v>77</v>
      </c>
      <c r="J1089" s="57">
        <v>2015.0</v>
      </c>
      <c r="K1089" s="82" t="s">
        <v>169</v>
      </c>
      <c r="L1089" s="37">
        <v>99.0</v>
      </c>
      <c r="M1089" s="72" t="s">
        <v>169</v>
      </c>
      <c r="N1089" s="17"/>
    </row>
    <row r="1090">
      <c r="A1090" s="9"/>
      <c r="B1090" s="38">
        <f t="shared" si="5"/>
        <v>1088</v>
      </c>
      <c r="C1090" s="34">
        <v>44151.0</v>
      </c>
      <c r="D1090" s="85" t="s">
        <v>883</v>
      </c>
      <c r="E1090" s="33" t="s">
        <v>864</v>
      </c>
      <c r="F1090" s="33">
        <v>11.0</v>
      </c>
      <c r="G1090" s="36">
        <v>2020.0</v>
      </c>
      <c r="H1090" s="33" t="s">
        <v>58</v>
      </c>
      <c r="I1090" s="33" t="s">
        <v>77</v>
      </c>
      <c r="J1090" s="57">
        <v>2018.0</v>
      </c>
      <c r="K1090" s="58">
        <v>0.7</v>
      </c>
      <c r="L1090" s="37">
        <v>88.0</v>
      </c>
      <c r="M1090" s="16">
        <f t="shared" ref="M1090:M1101" si="203">if(iserror(K1090/L1090*100),"NA",K1090/L1090*100)</f>
        <v>0.7954545455</v>
      </c>
      <c r="N1090" s="17"/>
    </row>
    <row r="1091">
      <c r="A1091" s="9"/>
      <c r="B1091" s="38">
        <f t="shared" si="5"/>
        <v>1089</v>
      </c>
      <c r="C1091" s="70"/>
      <c r="D1091" s="48" t="s">
        <v>884</v>
      </c>
      <c r="E1091" s="13" t="s">
        <v>864</v>
      </c>
      <c r="F1091" s="13">
        <v>11.0</v>
      </c>
      <c r="G1091" s="35" t="str">
        <f t="shared" ref="G1091:G1093" si="204">IF(C1091&gt;40908,"2012",IF(C1091&gt;40543,"2011",IF(C1091&gt;40178,"2010",IF(C1091&gt;=39814,"2009",IF(C1091&gt;=39448,"2008",IF(C1091&gt;39082,"2007",IF(C1091&lt;38717,"Pre-2006","2006")))))))</f>
        <v>Pre-2006</v>
      </c>
      <c r="H1091" s="71"/>
      <c r="I1091" s="71"/>
      <c r="J1091" s="61"/>
      <c r="K1091" s="62"/>
      <c r="L1091" s="63"/>
      <c r="M1091" s="59" t="str">
        <f t="shared" si="203"/>
        <v>NA</v>
      </c>
      <c r="N1091" s="17"/>
    </row>
    <row r="1092">
      <c r="A1092" s="9"/>
      <c r="B1092" s="38">
        <f t="shared" si="5"/>
        <v>1090</v>
      </c>
      <c r="C1092" s="70"/>
      <c r="D1092" s="48" t="s">
        <v>885</v>
      </c>
      <c r="E1092" s="13" t="s">
        <v>864</v>
      </c>
      <c r="F1092" s="13">
        <v>11.0</v>
      </c>
      <c r="G1092" s="35" t="str">
        <f t="shared" si="204"/>
        <v>Pre-2006</v>
      </c>
      <c r="H1092" s="71"/>
      <c r="I1092" s="71"/>
      <c r="J1092" s="61"/>
      <c r="K1092" s="62"/>
      <c r="L1092" s="63"/>
      <c r="M1092" s="59" t="str">
        <f t="shared" si="203"/>
        <v>NA</v>
      </c>
      <c r="N1092" s="17"/>
    </row>
    <row r="1093">
      <c r="A1093" s="9"/>
      <c r="B1093" s="38">
        <f t="shared" si="5"/>
        <v>1091</v>
      </c>
      <c r="C1093" s="34">
        <v>39751.0</v>
      </c>
      <c r="D1093" s="48" t="s">
        <v>886</v>
      </c>
      <c r="E1093" s="13" t="s">
        <v>864</v>
      </c>
      <c r="F1093" s="13">
        <v>11.0</v>
      </c>
      <c r="G1093" s="35" t="str">
        <f t="shared" si="204"/>
        <v>2008</v>
      </c>
      <c r="H1093" s="71"/>
      <c r="I1093" s="71"/>
      <c r="J1093" s="14">
        <v>1987.0</v>
      </c>
      <c r="K1093" s="15">
        <v>0.96</v>
      </c>
      <c r="L1093" s="14">
        <v>102.0</v>
      </c>
      <c r="M1093" s="16">
        <f t="shared" si="203"/>
        <v>0.9411764706</v>
      </c>
      <c r="N1093" s="17"/>
    </row>
    <row r="1094">
      <c r="A1094" s="9"/>
      <c r="B1094" s="38">
        <f t="shared" si="5"/>
        <v>1092</v>
      </c>
      <c r="C1094" s="34">
        <v>41021.0</v>
      </c>
      <c r="D1094" s="48" t="s">
        <v>887</v>
      </c>
      <c r="E1094" s="13" t="s">
        <v>864</v>
      </c>
      <c r="F1094" s="13">
        <v>11.0</v>
      </c>
      <c r="G1094" s="13">
        <v>2012.0</v>
      </c>
      <c r="H1094" s="13" t="s">
        <v>143</v>
      </c>
      <c r="I1094" s="13" t="s">
        <v>26</v>
      </c>
      <c r="J1094" s="55">
        <v>2012.0</v>
      </c>
      <c r="K1094" s="56">
        <v>0.85</v>
      </c>
      <c r="L1094" s="14">
        <v>122.0</v>
      </c>
      <c r="M1094" s="89">
        <f t="shared" si="203"/>
        <v>0.6967213115</v>
      </c>
      <c r="N1094" s="17"/>
    </row>
    <row r="1095">
      <c r="A1095" s="9"/>
      <c r="B1095" s="38">
        <f t="shared" si="5"/>
        <v>1093</v>
      </c>
      <c r="C1095" s="70"/>
      <c r="D1095" s="48" t="s">
        <v>888</v>
      </c>
      <c r="E1095" s="13" t="s">
        <v>864</v>
      </c>
      <c r="F1095" s="13">
        <v>11.0</v>
      </c>
      <c r="G1095" s="35" t="str">
        <f t="shared" ref="G1095:G1097" si="205">IF(C1095&gt;40908,"2012",IF(C1095&gt;40543,"2011",IF(C1095&gt;40178,"2010",IF(C1095&gt;=39814,"2009",IF(C1095&gt;=39448,"2008",IF(C1095&gt;39082,"2007",IF(C1095&lt;38717,"Pre-2006","2006")))))))</f>
        <v>Pre-2006</v>
      </c>
      <c r="H1095" s="71"/>
      <c r="I1095" s="71"/>
      <c r="J1095" s="61"/>
      <c r="K1095" s="62"/>
      <c r="L1095" s="63"/>
      <c r="M1095" s="59" t="str">
        <f t="shared" si="203"/>
        <v>NA</v>
      </c>
      <c r="N1095" s="17"/>
    </row>
    <row r="1096">
      <c r="A1096" s="9"/>
      <c r="B1096" s="38">
        <f t="shared" si="5"/>
        <v>1094</v>
      </c>
      <c r="C1096" s="34">
        <v>39434.0</v>
      </c>
      <c r="D1096" s="48" t="s">
        <v>889</v>
      </c>
      <c r="E1096" s="13" t="s">
        <v>864</v>
      </c>
      <c r="F1096" s="13">
        <v>11.0</v>
      </c>
      <c r="G1096" s="35" t="str">
        <f t="shared" si="205"/>
        <v>2007</v>
      </c>
      <c r="H1096" s="13" t="s">
        <v>27</v>
      </c>
      <c r="I1096" s="13" t="s">
        <v>26</v>
      </c>
      <c r="J1096" s="61"/>
      <c r="K1096" s="62"/>
      <c r="L1096" s="63"/>
      <c r="M1096" s="59" t="str">
        <f t="shared" si="203"/>
        <v>NA</v>
      </c>
      <c r="N1096" s="17"/>
    </row>
    <row r="1097">
      <c r="A1097" s="9"/>
      <c r="B1097" s="38">
        <f t="shared" si="5"/>
        <v>1095</v>
      </c>
      <c r="C1097" s="34">
        <v>40019.0</v>
      </c>
      <c r="D1097" s="48" t="s">
        <v>890</v>
      </c>
      <c r="E1097" s="13" t="s">
        <v>864</v>
      </c>
      <c r="F1097" s="13">
        <v>11.0</v>
      </c>
      <c r="G1097" s="35" t="str">
        <f t="shared" si="205"/>
        <v>2009</v>
      </c>
      <c r="H1097" s="13" t="s">
        <v>27</v>
      </c>
      <c r="I1097" s="13" t="s">
        <v>47</v>
      </c>
      <c r="J1097" s="14">
        <v>2009.0</v>
      </c>
      <c r="K1097" s="15">
        <v>0.82</v>
      </c>
      <c r="L1097" s="14">
        <v>100.0</v>
      </c>
      <c r="M1097" s="16">
        <f t="shared" si="203"/>
        <v>0.82</v>
      </c>
      <c r="N1097" s="17"/>
    </row>
    <row r="1098">
      <c r="A1098" s="9"/>
      <c r="B1098" s="38">
        <f t="shared" si="5"/>
        <v>1096</v>
      </c>
      <c r="C1098" s="34">
        <v>45416.0</v>
      </c>
      <c r="D1098" s="85" t="str">
        <f>hyperlink("https://www.rottentomatoes.com/m/the_idea_of_you","Idea of You, The")</f>
        <v>Idea of You, The</v>
      </c>
      <c r="E1098" s="33" t="s">
        <v>864</v>
      </c>
      <c r="F1098" s="33">
        <v>11.0</v>
      </c>
      <c r="G1098" s="33">
        <v>2024.0</v>
      </c>
      <c r="H1098" s="33" t="s">
        <v>58</v>
      </c>
      <c r="I1098" s="33" t="s">
        <v>279</v>
      </c>
      <c r="J1098" s="37">
        <v>2024.0</v>
      </c>
      <c r="K1098" s="15">
        <v>0.82</v>
      </c>
      <c r="L1098" s="37">
        <v>115.0</v>
      </c>
      <c r="M1098" s="16">
        <f t="shared" si="203"/>
        <v>0.7130434783</v>
      </c>
      <c r="N1098" s="17"/>
    </row>
    <row r="1099">
      <c r="A1099" s="9"/>
      <c r="B1099" s="38">
        <f t="shared" si="5"/>
        <v>1097</v>
      </c>
      <c r="C1099" s="34">
        <v>41315.0</v>
      </c>
      <c r="D1099" s="48" t="s">
        <v>891</v>
      </c>
      <c r="E1099" s="13" t="s">
        <v>864</v>
      </c>
      <c r="F1099" s="13">
        <v>11.0</v>
      </c>
      <c r="G1099" s="13">
        <v>2013.0</v>
      </c>
      <c r="H1099" s="13" t="s">
        <v>25</v>
      </c>
      <c r="I1099" s="13" t="s">
        <v>47</v>
      </c>
      <c r="J1099" s="14">
        <v>2012.0</v>
      </c>
      <c r="K1099" s="15">
        <v>0.95</v>
      </c>
      <c r="L1099" s="14">
        <v>95.0</v>
      </c>
      <c r="M1099" s="16">
        <f t="shared" si="203"/>
        <v>1</v>
      </c>
      <c r="N1099" s="17"/>
    </row>
    <row r="1100">
      <c r="A1100" s="9"/>
      <c r="B1100" s="38">
        <f t="shared" si="5"/>
        <v>1098</v>
      </c>
      <c r="C1100" s="34">
        <v>45112.0</v>
      </c>
      <c r="D1100" s="12" t="str">
        <f>hyperlink("https://www.rottentomatoes.com/m/wham","Indiana Jones and the Dial of Destiny")</f>
        <v>Indiana Jones and the Dial of Destiny</v>
      </c>
      <c r="E1100" s="33" t="s">
        <v>864</v>
      </c>
      <c r="F1100" s="33">
        <v>11.0</v>
      </c>
      <c r="G1100" s="36">
        <v>2023.0</v>
      </c>
      <c r="H1100" s="33" t="s">
        <v>143</v>
      </c>
      <c r="I1100" s="33" t="s">
        <v>26</v>
      </c>
      <c r="J1100" s="37">
        <v>2023.0</v>
      </c>
      <c r="K1100" s="80">
        <v>0.69</v>
      </c>
      <c r="L1100" s="37">
        <v>144.0</v>
      </c>
      <c r="M1100" s="16">
        <f t="shared" si="203"/>
        <v>0.4791666667</v>
      </c>
      <c r="N1100" s="17"/>
    </row>
    <row r="1101">
      <c r="A1101" s="9"/>
      <c r="B1101" s="38">
        <f t="shared" si="5"/>
        <v>1099</v>
      </c>
      <c r="C1101" s="34">
        <v>44404.0</v>
      </c>
      <c r="D1101" s="64" t="s">
        <v>892</v>
      </c>
      <c r="E1101" s="33" t="s">
        <v>864</v>
      </c>
      <c r="F1101" s="33">
        <v>11.0</v>
      </c>
      <c r="G1101" s="36">
        <v>2021.0</v>
      </c>
      <c r="H1101" s="33" t="s">
        <v>893</v>
      </c>
      <c r="I1101" s="13" t="s">
        <v>47</v>
      </c>
      <c r="J1101" s="37">
        <v>2016.0</v>
      </c>
      <c r="K1101" s="80">
        <v>0.67</v>
      </c>
      <c r="L1101" s="37">
        <v>106.0</v>
      </c>
      <c r="M1101" s="16">
        <f t="shared" si="203"/>
        <v>0.6320754717</v>
      </c>
      <c r="N1101" s="17"/>
    </row>
    <row r="1102">
      <c r="A1102" s="9"/>
      <c r="B1102" s="38">
        <f t="shared" si="5"/>
        <v>1100</v>
      </c>
      <c r="C1102" s="34">
        <v>42551.0</v>
      </c>
      <c r="D1102" s="12" t="str">
        <f>hyperlink("https://www.rottentomatoes.com/m/kidpoker_2015/?search=kidpoker","Kidpoker")</f>
        <v>Kidpoker</v>
      </c>
      <c r="E1102" s="33" t="s">
        <v>864</v>
      </c>
      <c r="F1102" s="33">
        <v>11.0</v>
      </c>
      <c r="G1102" s="36">
        <v>2016.0</v>
      </c>
      <c r="H1102" s="33" t="s">
        <v>58</v>
      </c>
      <c r="I1102" s="33" t="s">
        <v>77</v>
      </c>
      <c r="J1102" s="37">
        <v>2015.0</v>
      </c>
      <c r="K1102" s="86" t="s">
        <v>169</v>
      </c>
      <c r="L1102" s="37">
        <v>89.0</v>
      </c>
      <c r="M1102" s="72" t="s">
        <v>169</v>
      </c>
      <c r="N1102" s="17"/>
    </row>
    <row r="1103">
      <c r="A1103" s="9"/>
      <c r="B1103" s="38">
        <f t="shared" si="5"/>
        <v>1101</v>
      </c>
      <c r="C1103" s="34">
        <v>45586.0</v>
      </c>
      <c r="D1103" s="12" t="str">
        <f>hyperlink("https://www.rottentomatoes.com/m/land_of_bad","Land of Bad")</f>
        <v>Land of Bad</v>
      </c>
      <c r="E1103" s="33" t="s">
        <v>864</v>
      </c>
      <c r="F1103" s="33">
        <v>11.0</v>
      </c>
      <c r="G1103" s="36">
        <v>2024.0</v>
      </c>
      <c r="H1103" s="33" t="s">
        <v>58</v>
      </c>
      <c r="I1103" s="33" t="s">
        <v>77</v>
      </c>
      <c r="J1103" s="37">
        <v>2024.0</v>
      </c>
      <c r="K1103" s="15">
        <v>0.67</v>
      </c>
      <c r="L1103" s="37">
        <v>110.0</v>
      </c>
      <c r="M1103" s="16">
        <f t="shared" ref="M1103:M1106" si="206">if(iserror(K1103/L1103*100),"NA",K1103/L1103*100)</f>
        <v>0.6090909091</v>
      </c>
      <c r="N1103" s="17"/>
    </row>
    <row r="1104">
      <c r="A1104" s="9"/>
      <c r="B1104" s="38">
        <f t="shared" si="5"/>
        <v>1102</v>
      </c>
      <c r="C1104" s="34">
        <v>39502.0</v>
      </c>
      <c r="D1104" s="48" t="s">
        <v>894</v>
      </c>
      <c r="E1104" s="13" t="s">
        <v>864</v>
      </c>
      <c r="F1104" s="13">
        <v>11.0</v>
      </c>
      <c r="G1104" s="35" t="str">
        <f t="shared" ref="G1104:G1106" si="207">IF(C1104&gt;40908,"2012",IF(C1104&gt;40543,"2011",IF(C1104&gt;40178,"2010",IF(C1104&gt;=39814,"2009",IF(C1104&gt;=39448,"2008",IF(C1104&gt;39082,"2007",IF(C1104&lt;38717,"Pre-2006","2006")))))))</f>
        <v>2008</v>
      </c>
      <c r="H1104" s="13" t="s">
        <v>29</v>
      </c>
      <c r="I1104" s="13" t="s">
        <v>21</v>
      </c>
      <c r="J1104" s="14">
        <v>1962.0</v>
      </c>
      <c r="K1104" s="15">
        <v>0.98</v>
      </c>
      <c r="L1104" s="14">
        <v>227.0</v>
      </c>
      <c r="M1104" s="16">
        <f t="shared" si="206"/>
        <v>0.4317180617</v>
      </c>
      <c r="N1104" s="17"/>
    </row>
    <row r="1105">
      <c r="A1105" s="9"/>
      <c r="B1105" s="38">
        <f t="shared" si="5"/>
        <v>1103</v>
      </c>
      <c r="C1105" s="70"/>
      <c r="D1105" s="48" t="s">
        <v>895</v>
      </c>
      <c r="E1105" s="13" t="s">
        <v>864</v>
      </c>
      <c r="F1105" s="13">
        <v>11.0</v>
      </c>
      <c r="G1105" s="35" t="str">
        <f t="shared" si="207"/>
        <v>Pre-2006</v>
      </c>
      <c r="H1105" s="71"/>
      <c r="I1105" s="71"/>
      <c r="J1105" s="61"/>
      <c r="K1105" s="62"/>
      <c r="L1105" s="63"/>
      <c r="M1105" s="59" t="str">
        <f t="shared" si="206"/>
        <v>NA</v>
      </c>
      <c r="N1105" s="17"/>
    </row>
    <row r="1106">
      <c r="A1106" s="9"/>
      <c r="B1106" s="38">
        <f t="shared" si="5"/>
        <v>1104</v>
      </c>
      <c r="C1106" s="70"/>
      <c r="D1106" s="48" t="s">
        <v>896</v>
      </c>
      <c r="E1106" s="13" t="s">
        <v>864</v>
      </c>
      <c r="F1106" s="13">
        <v>11.0</v>
      </c>
      <c r="G1106" s="35" t="str">
        <f t="shared" si="207"/>
        <v>Pre-2006</v>
      </c>
      <c r="H1106" s="71"/>
      <c r="I1106" s="71"/>
      <c r="J1106" s="61"/>
      <c r="K1106" s="62"/>
      <c r="L1106" s="63"/>
      <c r="M1106" s="59" t="str">
        <f t="shared" si="206"/>
        <v>NA</v>
      </c>
      <c r="N1106" s="17"/>
    </row>
    <row r="1107">
      <c r="A1107" s="9"/>
      <c r="B1107" s="38">
        <f t="shared" si="5"/>
        <v>1105</v>
      </c>
      <c r="C1107" s="60">
        <v>42519.0</v>
      </c>
      <c r="D1107" s="12" t="str">
        <f>hyperlink("http://www.rottentomatoes.com/m/a_lonely_place_to_die_2011/?search=lonely%20place%20to%20die","Lonely place to die, A")</f>
        <v>Lonely place to die, A</v>
      </c>
      <c r="E1107" s="33" t="s">
        <v>864</v>
      </c>
      <c r="F1107" s="33">
        <v>11.0</v>
      </c>
      <c r="G1107" s="36">
        <v>2016.0</v>
      </c>
      <c r="H1107" s="33" t="s">
        <v>58</v>
      </c>
      <c r="I1107" s="33" t="s">
        <v>77</v>
      </c>
      <c r="J1107" s="57">
        <v>2011.0</v>
      </c>
      <c r="K1107" s="58">
        <v>0.77</v>
      </c>
      <c r="L1107" s="37">
        <v>100.0</v>
      </c>
      <c r="M1107" s="59">
        <f t="shared" ref="M1107:M1108" si="208">K1107/L1107*100</f>
        <v>0.77</v>
      </c>
      <c r="N1107" s="17"/>
    </row>
    <row r="1108">
      <c r="A1108" s="9"/>
      <c r="B1108" s="38">
        <f t="shared" si="5"/>
        <v>1106</v>
      </c>
      <c r="C1108" s="34">
        <v>43694.0</v>
      </c>
      <c r="D1108" s="95" t="str">
        <f>HYPERLINK("https://rottentomatoes.com/m/long_shot_2019","Long Shot")</f>
        <v>Long Shot</v>
      </c>
      <c r="E1108" s="33" t="s">
        <v>864</v>
      </c>
      <c r="F1108" s="33">
        <v>11.0</v>
      </c>
      <c r="G1108" s="33">
        <v>2019.0</v>
      </c>
      <c r="H1108" s="33" t="s">
        <v>58</v>
      </c>
      <c r="I1108" s="33" t="s">
        <v>47</v>
      </c>
      <c r="J1108" s="57">
        <v>2019.0</v>
      </c>
      <c r="K1108" s="56">
        <v>0.81</v>
      </c>
      <c r="L1108" s="37">
        <v>115.0</v>
      </c>
      <c r="M1108" s="59">
        <f t="shared" si="208"/>
        <v>0.7043478261</v>
      </c>
      <c r="N1108" s="17"/>
    </row>
    <row r="1109">
      <c r="A1109" s="9"/>
      <c r="B1109" s="38">
        <f t="shared" si="5"/>
        <v>1107</v>
      </c>
      <c r="C1109" s="34">
        <v>41839.0</v>
      </c>
      <c r="D1109" s="12" t="str">
        <f>hyperlink("http://www.rottentomatoes.com/m/mitt/", "Mitt")</f>
        <v>Mitt</v>
      </c>
      <c r="E1109" s="13" t="s">
        <v>864</v>
      </c>
      <c r="F1109" s="13">
        <v>11.0</v>
      </c>
      <c r="G1109" s="13">
        <v>2014.0</v>
      </c>
      <c r="H1109" s="13" t="s">
        <v>58</v>
      </c>
      <c r="I1109" s="13" t="s">
        <v>47</v>
      </c>
      <c r="J1109" s="55">
        <v>2014.0</v>
      </c>
      <c r="K1109" s="56">
        <v>0.81</v>
      </c>
      <c r="L1109" s="14">
        <v>90.0</v>
      </c>
      <c r="M1109" s="16">
        <f t="shared" ref="M1109:M1113" si="209">if(iserror(K1109/L1109*100),"NA",K1109/L1109*100)</f>
        <v>0.9</v>
      </c>
      <c r="N1109" s="17"/>
    </row>
    <row r="1110">
      <c r="A1110" s="9"/>
      <c r="B1110" s="38">
        <f t="shared" si="5"/>
        <v>1108</v>
      </c>
      <c r="C1110" s="34">
        <v>45021.0</v>
      </c>
      <c r="D1110" s="12" t="str">
        <f>hyperlink("https://www.rottentomatoes.com/m/murder_mystery_2","Murder Mystery 2")</f>
        <v>Murder Mystery 2</v>
      </c>
      <c r="E1110" s="33" t="s">
        <v>864</v>
      </c>
      <c r="F1110" s="33">
        <v>11.0</v>
      </c>
      <c r="G1110" s="36">
        <v>2023.0</v>
      </c>
      <c r="H1110" s="33" t="s">
        <v>58</v>
      </c>
      <c r="I1110" s="33" t="s">
        <v>77</v>
      </c>
      <c r="J1110" s="57">
        <v>2023.0</v>
      </c>
      <c r="K1110" s="58">
        <v>0.45</v>
      </c>
      <c r="L1110" s="37">
        <v>90.0</v>
      </c>
      <c r="M1110" s="16">
        <f t="shared" si="209"/>
        <v>0.5</v>
      </c>
      <c r="N1110" s="17"/>
    </row>
    <row r="1111">
      <c r="A1111" s="9"/>
      <c r="B1111" s="38">
        <f t="shared" si="5"/>
        <v>1109</v>
      </c>
      <c r="C1111" s="70"/>
      <c r="D1111" s="48" t="s">
        <v>897</v>
      </c>
      <c r="E1111" s="13" t="s">
        <v>864</v>
      </c>
      <c r="F1111" s="13">
        <v>11.0</v>
      </c>
      <c r="G1111" s="35" t="str">
        <f t="shared" ref="G1111:G1113" si="210">IF(C1111&gt;40908,"2012",IF(C1111&gt;40543,"2011",IF(C1111&gt;40178,"2010",IF(C1111&gt;=39814,"2009",IF(C1111&gt;=39448,"2008",IF(C1111&gt;39082,"2007",IF(C1111&lt;38717,"Pre-2006","2006")))))))</f>
        <v>Pre-2006</v>
      </c>
      <c r="H1111" s="71"/>
      <c r="I1111" s="71"/>
      <c r="J1111" s="61"/>
      <c r="K1111" s="62"/>
      <c r="L1111" s="63"/>
      <c r="M1111" s="59" t="str">
        <f t="shared" si="209"/>
        <v>NA</v>
      </c>
      <c r="N1111" s="17"/>
    </row>
    <row r="1112">
      <c r="A1112" s="9"/>
      <c r="B1112" s="38">
        <f t="shared" si="5"/>
        <v>1110</v>
      </c>
      <c r="C1112" s="70"/>
      <c r="D1112" s="48" t="s">
        <v>898</v>
      </c>
      <c r="E1112" s="13" t="s">
        <v>864</v>
      </c>
      <c r="F1112" s="13">
        <v>11.0</v>
      </c>
      <c r="G1112" s="35" t="str">
        <f t="shared" si="210"/>
        <v>Pre-2006</v>
      </c>
      <c r="H1112" s="13" t="s">
        <v>20</v>
      </c>
      <c r="I1112" s="13" t="s">
        <v>26</v>
      </c>
      <c r="J1112" s="61"/>
      <c r="K1112" s="62"/>
      <c r="L1112" s="63"/>
      <c r="M1112" s="59" t="str">
        <f t="shared" si="209"/>
        <v>NA</v>
      </c>
      <c r="N1112" s="17"/>
    </row>
    <row r="1113">
      <c r="A1113" s="9"/>
      <c r="B1113" s="38">
        <f t="shared" si="5"/>
        <v>1111</v>
      </c>
      <c r="C1113" s="34">
        <v>39725.0</v>
      </c>
      <c r="D1113" s="48" t="s">
        <v>899</v>
      </c>
      <c r="E1113" s="13" t="s">
        <v>864</v>
      </c>
      <c r="F1113" s="13">
        <v>11.0</v>
      </c>
      <c r="G1113" s="35" t="str">
        <f t="shared" si="210"/>
        <v>2008</v>
      </c>
      <c r="H1113" s="13" t="s">
        <v>417</v>
      </c>
      <c r="I1113" s="13" t="s">
        <v>26</v>
      </c>
      <c r="J1113" s="14">
        <v>2008.0</v>
      </c>
      <c r="K1113" s="15">
        <v>0.72</v>
      </c>
      <c r="L1113" s="14">
        <v>90.0</v>
      </c>
      <c r="M1113" s="16">
        <f t="shared" si="209"/>
        <v>0.8</v>
      </c>
      <c r="N1113" s="17"/>
    </row>
    <row r="1114">
      <c r="A1114" s="9"/>
      <c r="B1114" s="38">
        <f t="shared" si="5"/>
        <v>1112</v>
      </c>
      <c r="C1114" s="34">
        <v>42511.0</v>
      </c>
      <c r="D1114" s="12" t="str">
        <f>hyperlink("http://www.rottentomatoes.com/m/the_night_before_2015/?search=the%20night%20before","Night Before, The")</f>
        <v>Night Before, The</v>
      </c>
      <c r="E1114" s="33" t="s">
        <v>864</v>
      </c>
      <c r="F1114" s="33">
        <v>11.0</v>
      </c>
      <c r="G1114" s="36">
        <v>2016.0</v>
      </c>
      <c r="H1114" s="33" t="s">
        <v>58</v>
      </c>
      <c r="I1114" s="33" t="s">
        <v>47</v>
      </c>
      <c r="J1114" s="57">
        <v>2015.0</v>
      </c>
      <c r="K1114" s="58">
        <v>0.66</v>
      </c>
      <c r="L1114" s="37">
        <v>123.0</v>
      </c>
      <c r="M1114" s="16">
        <f>K1114/L1114*100</f>
        <v>0.5365853659</v>
      </c>
      <c r="N1114" s="17"/>
    </row>
    <row r="1115">
      <c r="A1115" s="9"/>
      <c r="B1115" s="38">
        <f t="shared" si="5"/>
        <v>1113</v>
      </c>
      <c r="C1115" s="70"/>
      <c r="D1115" s="48" t="s">
        <v>900</v>
      </c>
      <c r="E1115" s="13" t="s">
        <v>864</v>
      </c>
      <c r="F1115" s="13">
        <v>11.0</v>
      </c>
      <c r="G1115" s="35" t="str">
        <f t="shared" ref="G1115:G1118" si="211">IF(C1115&gt;40908,"2012",IF(C1115&gt;40543,"2011",IF(C1115&gt;40178,"2010",IF(C1115&gt;=39814,"2009",IF(C1115&gt;=39448,"2008",IF(C1115&gt;39082,"2007",IF(C1115&lt;38717,"Pre-2006","2006")))))))</f>
        <v>Pre-2006</v>
      </c>
      <c r="H1115" s="71"/>
      <c r="I1115" s="71"/>
      <c r="J1115" s="61"/>
      <c r="K1115" s="62"/>
      <c r="L1115" s="63"/>
      <c r="M1115" s="59" t="str">
        <f t="shared" ref="M1115:M1120" si="212">if(iserror(K1115/L1115*100),"NA",K1115/L1115*100)</f>
        <v>NA</v>
      </c>
      <c r="N1115" s="17"/>
    </row>
    <row r="1116">
      <c r="A1116" s="9"/>
      <c r="B1116" s="38">
        <f t="shared" si="5"/>
        <v>1114</v>
      </c>
      <c r="C1116" s="70"/>
      <c r="D1116" s="48" t="s">
        <v>901</v>
      </c>
      <c r="E1116" s="13" t="s">
        <v>864</v>
      </c>
      <c r="F1116" s="13">
        <v>11.0</v>
      </c>
      <c r="G1116" s="35" t="str">
        <f t="shared" si="211"/>
        <v>Pre-2006</v>
      </c>
      <c r="H1116" s="71"/>
      <c r="I1116" s="71"/>
      <c r="J1116" s="61"/>
      <c r="K1116" s="62"/>
      <c r="L1116" s="63"/>
      <c r="M1116" s="59" t="str">
        <f t="shared" si="212"/>
        <v>NA</v>
      </c>
      <c r="N1116" s="17"/>
    </row>
    <row r="1117">
      <c r="A1117" s="9"/>
      <c r="B1117" s="38">
        <f t="shared" si="5"/>
        <v>1115</v>
      </c>
      <c r="C1117" s="70"/>
      <c r="D1117" s="48" t="s">
        <v>902</v>
      </c>
      <c r="E1117" s="13" t="s">
        <v>864</v>
      </c>
      <c r="F1117" s="13">
        <v>11.0</v>
      </c>
      <c r="G1117" s="35" t="str">
        <f t="shared" si="211"/>
        <v>Pre-2006</v>
      </c>
      <c r="H1117" s="71"/>
      <c r="I1117" s="71"/>
      <c r="J1117" s="61"/>
      <c r="K1117" s="62"/>
      <c r="L1117" s="63"/>
      <c r="M1117" s="59" t="str">
        <f t="shared" si="212"/>
        <v>NA</v>
      </c>
      <c r="N1117" s="17"/>
    </row>
    <row r="1118">
      <c r="A1118" s="9"/>
      <c r="B1118" s="38">
        <f t="shared" si="5"/>
        <v>1116</v>
      </c>
      <c r="C1118" s="70"/>
      <c r="D1118" s="48" t="s">
        <v>903</v>
      </c>
      <c r="E1118" s="13" t="s">
        <v>864</v>
      </c>
      <c r="F1118" s="13">
        <v>11.0</v>
      </c>
      <c r="G1118" s="35" t="str">
        <f t="shared" si="211"/>
        <v>Pre-2006</v>
      </c>
      <c r="H1118" s="71"/>
      <c r="I1118" s="71"/>
      <c r="J1118" s="61"/>
      <c r="K1118" s="62"/>
      <c r="L1118" s="63"/>
      <c r="M1118" s="59" t="str">
        <f t="shared" si="212"/>
        <v>NA</v>
      </c>
      <c r="N1118" s="17"/>
    </row>
    <row r="1119">
      <c r="A1119" s="9"/>
      <c r="B1119" s="38">
        <f t="shared" si="5"/>
        <v>1117</v>
      </c>
      <c r="C1119" s="34">
        <v>42308.0</v>
      </c>
      <c r="D1119" s="12" t="str">
        <f>hyperlink("http://www.rottentomatoes.com/m/paper_towns/","Paper Towns")</f>
        <v>Paper Towns</v>
      </c>
      <c r="E1119" s="33" t="s">
        <v>864</v>
      </c>
      <c r="F1119" s="33">
        <v>11.0</v>
      </c>
      <c r="G1119" s="36">
        <v>2015.0</v>
      </c>
      <c r="H1119" s="33" t="s">
        <v>58</v>
      </c>
      <c r="I1119" s="33" t="s">
        <v>47</v>
      </c>
      <c r="J1119" s="57">
        <v>2015.0</v>
      </c>
      <c r="K1119" s="58">
        <v>0.56</v>
      </c>
      <c r="L1119" s="37">
        <v>109.0</v>
      </c>
      <c r="M1119" s="59">
        <f t="shared" si="212"/>
        <v>0.5137614679</v>
      </c>
      <c r="N1119" s="17"/>
    </row>
    <row r="1120">
      <c r="A1120" s="9"/>
      <c r="B1120" s="38">
        <f t="shared" si="5"/>
        <v>1118</v>
      </c>
      <c r="C1120" s="34">
        <v>45682.0</v>
      </c>
      <c r="D1120" s="12" t="str">
        <f>hyperlink("https://www.rottentomatoes.com/m/princess_diaries","Princess Diaries, The")</f>
        <v>Princess Diaries, The</v>
      </c>
      <c r="E1120" s="33" t="s">
        <v>864</v>
      </c>
      <c r="F1120" s="33">
        <v>11.0</v>
      </c>
      <c r="G1120" s="36">
        <v>2025.0</v>
      </c>
      <c r="H1120" s="33" t="s">
        <v>58</v>
      </c>
      <c r="I1120" s="33" t="s">
        <v>47</v>
      </c>
      <c r="J1120" s="57">
        <v>2001.0</v>
      </c>
      <c r="K1120" s="58">
        <v>0.49</v>
      </c>
      <c r="L1120" s="37">
        <v>115.0</v>
      </c>
      <c r="M1120" s="59">
        <f t="shared" si="212"/>
        <v>0.4260869565</v>
      </c>
      <c r="N1120" s="17"/>
    </row>
    <row r="1121">
      <c r="A1121" s="9"/>
      <c r="B1121" s="38">
        <f t="shared" si="5"/>
        <v>1119</v>
      </c>
      <c r="C1121" s="34">
        <v>42531.0</v>
      </c>
      <c r="D1121" s="12" t="str">
        <f>hyperlink("https://www.rottentomatoes.com/m/the_resurrection_of_jake_the_snake_roberts/?search=resurrection%20of%20jake","Resurrection of Jake The Snake Roberts,The")</f>
        <v>Resurrection of Jake The Snake Roberts,The</v>
      </c>
      <c r="E1121" s="33" t="s">
        <v>864</v>
      </c>
      <c r="F1121" s="33">
        <v>11.0</v>
      </c>
      <c r="G1121" s="36">
        <v>2016.0</v>
      </c>
      <c r="H1121" s="33" t="s">
        <v>58</v>
      </c>
      <c r="I1121" s="33" t="s">
        <v>77</v>
      </c>
      <c r="J1121" s="57">
        <v>2015.0</v>
      </c>
      <c r="K1121" s="82" t="s">
        <v>169</v>
      </c>
      <c r="L1121" s="37">
        <v>91.0</v>
      </c>
      <c r="M1121" s="59" t="str">
        <f>K1121/L1121*100</f>
        <v>#VALUE!</v>
      </c>
      <c r="N1121" s="17"/>
    </row>
    <row r="1122">
      <c r="A1122" s="9"/>
      <c r="B1122" s="38">
        <f t="shared" si="5"/>
        <v>1120</v>
      </c>
      <c r="C1122" s="34">
        <v>45289.0</v>
      </c>
      <c r="D1122" s="12" t="str">
        <f>hyperlink("https://www.rottentomatoes.com/tv/robbie_williams","Robbie Williams")</f>
        <v>Robbie Williams</v>
      </c>
      <c r="E1122" s="33" t="s">
        <v>864</v>
      </c>
      <c r="F1122" s="33">
        <v>11.0</v>
      </c>
      <c r="G1122" s="36">
        <v>2023.0</v>
      </c>
      <c r="H1122" s="33" t="s">
        <v>904</v>
      </c>
      <c r="I1122" s="33" t="s">
        <v>77</v>
      </c>
      <c r="J1122" s="57">
        <v>2023.0</v>
      </c>
      <c r="K1122" s="58">
        <v>0.73</v>
      </c>
      <c r="L1122" s="37" t="s">
        <v>169</v>
      </c>
      <c r="M1122" s="72" t="s">
        <v>169</v>
      </c>
      <c r="N1122" s="17"/>
    </row>
    <row r="1123">
      <c r="A1123" s="9"/>
      <c r="B1123" s="38">
        <f t="shared" si="5"/>
        <v>1121</v>
      </c>
      <c r="C1123" s="70"/>
      <c r="D1123" s="48" t="s">
        <v>905</v>
      </c>
      <c r="E1123" s="13" t="s">
        <v>864</v>
      </c>
      <c r="F1123" s="13">
        <v>11.0</v>
      </c>
      <c r="G1123" s="35" t="str">
        <f t="shared" ref="G1123:G1130" si="213">IF(C1123&gt;40908,"2012",IF(C1123&gt;40543,"2011",IF(C1123&gt;40178,"2010",IF(C1123&gt;=39814,"2009",IF(C1123&gt;=39448,"2008",IF(C1123&gt;39082,"2007",IF(C1123&lt;38717,"Pre-2006","2006")))))))</f>
        <v>Pre-2006</v>
      </c>
      <c r="H1123" s="71"/>
      <c r="I1123" s="71"/>
      <c r="J1123" s="61"/>
      <c r="K1123" s="62"/>
      <c r="L1123" s="63"/>
      <c r="M1123" s="59" t="str">
        <f t="shared" ref="M1123:M1164" si="214">if(iserror(K1123/L1123*100),"NA",K1123/L1123*100)</f>
        <v>NA</v>
      </c>
      <c r="N1123" s="17"/>
    </row>
    <row r="1124">
      <c r="A1124" s="9"/>
      <c r="B1124" s="38">
        <f t="shared" si="5"/>
        <v>1122</v>
      </c>
      <c r="C1124" s="34">
        <v>39662.0</v>
      </c>
      <c r="D1124" s="48" t="s">
        <v>906</v>
      </c>
      <c r="E1124" s="13" t="s">
        <v>864</v>
      </c>
      <c r="F1124" s="13">
        <v>11.0</v>
      </c>
      <c r="G1124" s="35" t="str">
        <f t="shared" si="213"/>
        <v>2008</v>
      </c>
      <c r="H1124" s="13" t="s">
        <v>155</v>
      </c>
      <c r="I1124" s="13" t="s">
        <v>26</v>
      </c>
      <c r="J1124" s="14">
        <v>2008.0</v>
      </c>
      <c r="K1124" s="15" t="s">
        <v>804</v>
      </c>
      <c r="L1124" s="14">
        <v>120.0</v>
      </c>
      <c r="M1124" s="59" t="str">
        <f t="shared" si="214"/>
        <v>NA</v>
      </c>
      <c r="N1124" s="17"/>
    </row>
    <row r="1125">
      <c r="A1125" s="9"/>
      <c r="B1125" s="38">
        <f t="shared" si="5"/>
        <v>1123</v>
      </c>
      <c r="C1125" s="70"/>
      <c r="D1125" s="48" t="s">
        <v>907</v>
      </c>
      <c r="E1125" s="13" t="s">
        <v>864</v>
      </c>
      <c r="F1125" s="13">
        <v>11.0</v>
      </c>
      <c r="G1125" s="35" t="str">
        <f t="shared" si="213"/>
        <v>Pre-2006</v>
      </c>
      <c r="H1125" s="13" t="s">
        <v>27</v>
      </c>
      <c r="I1125" s="13" t="s">
        <v>21</v>
      </c>
      <c r="J1125" s="61"/>
      <c r="K1125" s="62"/>
      <c r="L1125" s="63"/>
      <c r="M1125" s="59" t="str">
        <f t="shared" si="214"/>
        <v>NA</v>
      </c>
      <c r="N1125" s="17"/>
    </row>
    <row r="1126">
      <c r="A1126" s="9"/>
      <c r="B1126" s="38">
        <f t="shared" si="5"/>
        <v>1124</v>
      </c>
      <c r="C1126" s="70"/>
      <c r="D1126" s="48" t="s">
        <v>908</v>
      </c>
      <c r="E1126" s="13" t="s">
        <v>864</v>
      </c>
      <c r="F1126" s="13">
        <v>11.0</v>
      </c>
      <c r="G1126" s="35" t="str">
        <f t="shared" si="213"/>
        <v>Pre-2006</v>
      </c>
      <c r="H1126" s="71"/>
      <c r="I1126" s="71"/>
      <c r="J1126" s="61"/>
      <c r="K1126" s="62"/>
      <c r="L1126" s="63"/>
      <c r="M1126" s="59" t="str">
        <f t="shared" si="214"/>
        <v>NA</v>
      </c>
      <c r="N1126" s="17"/>
    </row>
    <row r="1127">
      <c r="A1127" s="9"/>
      <c r="B1127" s="38">
        <f t="shared" si="5"/>
        <v>1125</v>
      </c>
      <c r="C1127" s="70"/>
      <c r="D1127" s="48" t="s">
        <v>909</v>
      </c>
      <c r="E1127" s="13" t="s">
        <v>864</v>
      </c>
      <c r="F1127" s="13">
        <v>11.0</v>
      </c>
      <c r="G1127" s="35" t="str">
        <f t="shared" si="213"/>
        <v>Pre-2006</v>
      </c>
      <c r="H1127" s="71"/>
      <c r="I1127" s="71"/>
      <c r="J1127" s="61"/>
      <c r="K1127" s="62"/>
      <c r="L1127" s="63"/>
      <c r="M1127" s="59" t="str">
        <f t="shared" si="214"/>
        <v>NA</v>
      </c>
      <c r="N1127" s="17"/>
    </row>
    <row r="1128">
      <c r="A1128" s="9"/>
      <c r="B1128" s="38">
        <f t="shared" si="5"/>
        <v>1126</v>
      </c>
      <c r="C1128" s="34">
        <v>40174.0</v>
      </c>
      <c r="D1128" s="48" t="s">
        <v>910</v>
      </c>
      <c r="E1128" s="13" t="s">
        <v>864</v>
      </c>
      <c r="F1128" s="13">
        <v>11.0</v>
      </c>
      <c r="G1128" s="35" t="str">
        <f t="shared" si="213"/>
        <v>2009</v>
      </c>
      <c r="H1128" s="13" t="s">
        <v>29</v>
      </c>
      <c r="I1128" s="13" t="s">
        <v>26</v>
      </c>
      <c r="J1128" s="14">
        <v>2009.0</v>
      </c>
      <c r="K1128" s="15">
        <v>0.69</v>
      </c>
      <c r="L1128" s="14">
        <v>128.0</v>
      </c>
      <c r="M1128" s="16">
        <f t="shared" si="214"/>
        <v>0.5390625</v>
      </c>
      <c r="N1128" s="17"/>
    </row>
    <row r="1129">
      <c r="A1129" s="9"/>
      <c r="B1129" s="38">
        <f t="shared" si="5"/>
        <v>1127</v>
      </c>
      <c r="C1129" s="34">
        <v>39174.0</v>
      </c>
      <c r="D1129" s="48" t="s">
        <v>911</v>
      </c>
      <c r="E1129" s="13" t="s">
        <v>864</v>
      </c>
      <c r="F1129" s="13">
        <v>11.0</v>
      </c>
      <c r="G1129" s="35" t="str">
        <f t="shared" si="213"/>
        <v>2007</v>
      </c>
      <c r="H1129" s="71"/>
      <c r="I1129" s="71"/>
      <c r="J1129" s="61"/>
      <c r="K1129" s="62"/>
      <c r="L1129" s="63"/>
      <c r="M1129" s="59" t="str">
        <f t="shared" si="214"/>
        <v>NA</v>
      </c>
      <c r="N1129" s="17"/>
    </row>
    <row r="1130">
      <c r="A1130" s="9"/>
      <c r="B1130" s="38">
        <f t="shared" si="5"/>
        <v>1128</v>
      </c>
      <c r="C1130" s="70"/>
      <c r="D1130" s="48" t="s">
        <v>912</v>
      </c>
      <c r="E1130" s="13" t="s">
        <v>864</v>
      </c>
      <c r="F1130" s="13">
        <v>11.0</v>
      </c>
      <c r="G1130" s="35" t="str">
        <f t="shared" si="213"/>
        <v>Pre-2006</v>
      </c>
      <c r="H1130" s="71"/>
      <c r="I1130" s="71"/>
      <c r="J1130" s="61"/>
      <c r="K1130" s="62"/>
      <c r="L1130" s="63"/>
      <c r="M1130" s="59" t="str">
        <f t="shared" si="214"/>
        <v>NA</v>
      </c>
      <c r="N1130" s="17"/>
    </row>
    <row r="1131">
      <c r="A1131" s="9"/>
      <c r="B1131" s="38">
        <f t="shared" si="5"/>
        <v>1129</v>
      </c>
      <c r="C1131" s="34">
        <v>41174.0</v>
      </c>
      <c r="D1131" s="48" t="s">
        <v>913</v>
      </c>
      <c r="E1131" s="13" t="s">
        <v>864</v>
      </c>
      <c r="F1131" s="13">
        <v>11.0</v>
      </c>
      <c r="G1131" s="13">
        <v>2011.0</v>
      </c>
      <c r="H1131" s="13" t="s">
        <v>58</v>
      </c>
      <c r="I1131" s="13" t="s">
        <v>77</v>
      </c>
      <c r="J1131" s="55">
        <v>2011.0</v>
      </c>
      <c r="K1131" s="88" t="s">
        <v>169</v>
      </c>
      <c r="L1131" s="14">
        <v>84.0</v>
      </c>
      <c r="M1131" s="16" t="str">
        <f t="shared" si="214"/>
        <v>NA</v>
      </c>
      <c r="N1131" s="17"/>
    </row>
    <row r="1132">
      <c r="A1132" s="9"/>
      <c r="B1132" s="38">
        <f t="shared" si="5"/>
        <v>1130</v>
      </c>
      <c r="C1132" s="70"/>
      <c r="D1132" s="48" t="s">
        <v>914</v>
      </c>
      <c r="E1132" s="13" t="s">
        <v>864</v>
      </c>
      <c r="F1132" s="13">
        <v>11.0</v>
      </c>
      <c r="G1132" s="35" t="str">
        <f>IF(C1132&gt;40908,"2012",IF(C1132&gt;40543,"2011",IF(C1132&gt;40178,"2010",IF(C1132&gt;=39814,"2009",IF(C1132&gt;=39448,"2008",IF(C1132&gt;39082,"2007",IF(C1132&lt;38717,"Pre-2006","2006")))))))</f>
        <v>Pre-2006</v>
      </c>
      <c r="H1132" s="71"/>
      <c r="I1132" s="71"/>
      <c r="J1132" s="61"/>
      <c r="K1132" s="62"/>
      <c r="L1132" s="63"/>
      <c r="M1132" s="59" t="str">
        <f t="shared" si="214"/>
        <v>NA</v>
      </c>
      <c r="N1132" s="17"/>
    </row>
    <row r="1133">
      <c r="A1133" s="9"/>
      <c r="B1133" s="38">
        <f t="shared" si="5"/>
        <v>1131</v>
      </c>
      <c r="C1133" s="34">
        <v>42105.0</v>
      </c>
      <c r="D1133" s="12" t="str">
        <f>hyperlink("http://www.rottentomatoes.com/m/son_of_a_gun_2015","Son of a Gun")</f>
        <v>Son of a Gun</v>
      </c>
      <c r="E1133" s="13" t="s">
        <v>864</v>
      </c>
      <c r="F1133" s="13">
        <v>11.0</v>
      </c>
      <c r="G1133" s="13">
        <v>2015.0</v>
      </c>
      <c r="H1133" s="13" t="s">
        <v>58</v>
      </c>
      <c r="I1133" s="13" t="s">
        <v>47</v>
      </c>
      <c r="J1133" s="55">
        <v>2015.0</v>
      </c>
      <c r="K1133" s="56">
        <v>0.63</v>
      </c>
      <c r="L1133" s="14">
        <v>108.0</v>
      </c>
      <c r="M1133" s="16">
        <f t="shared" si="214"/>
        <v>0.5833333333</v>
      </c>
      <c r="N1133" s="17"/>
    </row>
    <row r="1134">
      <c r="A1134" s="9"/>
      <c r="B1134" s="38">
        <f t="shared" si="5"/>
        <v>1132</v>
      </c>
      <c r="C1134" s="34">
        <v>40175.0</v>
      </c>
      <c r="D1134" s="48" t="s">
        <v>915</v>
      </c>
      <c r="E1134" s="13" t="s">
        <v>864</v>
      </c>
      <c r="F1134" s="13">
        <v>11.0</v>
      </c>
      <c r="G1134" s="35" t="str">
        <f>IF(C1134&gt;40908,"2012",IF(C1134&gt;40543,"2011",IF(C1134&gt;40178,"2010",IF(C1134&gt;=39814,"2009",IF(C1134&gt;=39448,"2008",IF(C1134&gt;39082,"2007",IF(C1134&lt;38717,"Pre-2006","2006")))))))</f>
        <v>2009</v>
      </c>
      <c r="H1134" s="13" t="s">
        <v>29</v>
      </c>
      <c r="I1134" s="13" t="s">
        <v>26</v>
      </c>
      <c r="J1134" s="14">
        <v>1965.0</v>
      </c>
      <c r="K1134" s="15">
        <v>0.81</v>
      </c>
      <c r="L1134" s="14">
        <v>175.0</v>
      </c>
      <c r="M1134" s="16">
        <f t="shared" si="214"/>
        <v>0.4628571429</v>
      </c>
      <c r="N1134" s="17"/>
    </row>
    <row r="1135">
      <c r="A1135" s="9"/>
      <c r="B1135" s="38">
        <f t="shared" si="5"/>
        <v>1133</v>
      </c>
      <c r="C1135" s="34">
        <v>42251.0</v>
      </c>
      <c r="D1135" s="12" t="str">
        <f>hyperlink("http://www.rottentomatoes.com/m/steve_jobs_man_in_the_machine/?search=the%20man%20in%20the%20machine","Steve Jobs: Man in the Machine")</f>
        <v>Steve Jobs: Man in the Machine</v>
      </c>
      <c r="E1135" s="33" t="s">
        <v>864</v>
      </c>
      <c r="F1135" s="33">
        <v>11.0</v>
      </c>
      <c r="G1135" s="36">
        <v>2015.0</v>
      </c>
      <c r="H1135" s="33" t="s">
        <v>58</v>
      </c>
      <c r="I1135" s="33" t="s">
        <v>47</v>
      </c>
      <c r="J1135" s="37">
        <v>2015.0</v>
      </c>
      <c r="K1135" s="80">
        <v>0.74</v>
      </c>
      <c r="L1135" s="37">
        <v>120.0</v>
      </c>
      <c r="M1135" s="16">
        <f t="shared" si="214"/>
        <v>0.6166666667</v>
      </c>
      <c r="N1135" s="17"/>
    </row>
    <row r="1136">
      <c r="A1136" s="9"/>
      <c r="B1136" s="38">
        <f t="shared" si="5"/>
        <v>1134</v>
      </c>
      <c r="C1136" s="34">
        <v>39686.0</v>
      </c>
      <c r="D1136" s="48" t="s">
        <v>916</v>
      </c>
      <c r="E1136" s="13" t="s">
        <v>864</v>
      </c>
      <c r="F1136" s="13">
        <v>11.0</v>
      </c>
      <c r="G1136" s="35" t="str">
        <f t="shared" ref="G1136:G1137" si="215">IF(C1136&gt;40908,"2012",IF(C1136&gt;40543,"2011",IF(C1136&gt;40178,"2010",IF(C1136&gt;=39814,"2009",IF(C1136&gt;=39448,"2008",IF(C1136&gt;39082,"2007",IF(C1136&lt;38717,"Pre-2006","2006")))))))</f>
        <v>2008</v>
      </c>
      <c r="H1136" s="13" t="s">
        <v>155</v>
      </c>
      <c r="I1136" s="13" t="s">
        <v>47</v>
      </c>
      <c r="J1136" s="14">
        <v>2006.0</v>
      </c>
      <c r="K1136" s="15">
        <v>0.73</v>
      </c>
      <c r="L1136" s="14">
        <v>113.0</v>
      </c>
      <c r="M1136" s="16">
        <f t="shared" si="214"/>
        <v>0.6460176991</v>
      </c>
      <c r="N1136" s="17"/>
    </row>
    <row r="1137">
      <c r="A1137" s="9"/>
      <c r="B1137" s="38">
        <f t="shared" si="5"/>
        <v>1135</v>
      </c>
      <c r="C1137" s="34">
        <v>39339.0</v>
      </c>
      <c r="D1137" s="48" t="s">
        <v>917</v>
      </c>
      <c r="E1137" s="13" t="s">
        <v>864</v>
      </c>
      <c r="F1137" s="13">
        <v>11.0</v>
      </c>
      <c r="G1137" s="35" t="str">
        <f t="shared" si="215"/>
        <v>2007</v>
      </c>
      <c r="H1137" s="13" t="s">
        <v>17</v>
      </c>
      <c r="I1137" s="13" t="s">
        <v>26</v>
      </c>
      <c r="J1137" s="61"/>
      <c r="K1137" s="62"/>
      <c r="L1137" s="63"/>
      <c r="M1137" s="59" t="str">
        <f t="shared" si="214"/>
        <v>NA</v>
      </c>
      <c r="N1137" s="17"/>
    </row>
    <row r="1138">
      <c r="A1138" s="9"/>
      <c r="B1138" s="38">
        <f t="shared" si="5"/>
        <v>1136</v>
      </c>
      <c r="C1138" s="34">
        <v>40887.0</v>
      </c>
      <c r="D1138" s="48" t="s">
        <v>918</v>
      </c>
      <c r="E1138" s="13" t="s">
        <v>864</v>
      </c>
      <c r="F1138" s="13">
        <v>11.0</v>
      </c>
      <c r="G1138" s="13">
        <v>2011.0</v>
      </c>
      <c r="H1138" s="13" t="s">
        <v>25</v>
      </c>
      <c r="I1138" s="13" t="s">
        <v>47</v>
      </c>
      <c r="J1138" s="55">
        <v>2011.0</v>
      </c>
      <c r="K1138" s="56">
        <v>0.82</v>
      </c>
      <c r="L1138" s="14">
        <v>111.0</v>
      </c>
      <c r="M1138" s="16">
        <f t="shared" si="214"/>
        <v>0.7387387387</v>
      </c>
      <c r="N1138" s="17"/>
    </row>
    <row r="1139">
      <c r="A1139" s="9"/>
      <c r="B1139" s="38">
        <f t="shared" si="5"/>
        <v>1137</v>
      </c>
      <c r="C1139" s="75">
        <v>45731.0</v>
      </c>
      <c r="D1139" s="12" t="str">
        <f>hyperlink("https://www.rottentomatoes.com/m/trap_2024","Trap")</f>
        <v>Trap</v>
      </c>
      <c r="E1139" s="33" t="s">
        <v>864</v>
      </c>
      <c r="F1139" s="33">
        <v>11.0</v>
      </c>
      <c r="G1139" s="36">
        <v>2025.0</v>
      </c>
      <c r="H1139" s="33" t="s">
        <v>58</v>
      </c>
      <c r="I1139" s="33" t="s">
        <v>77</v>
      </c>
      <c r="J1139" s="57">
        <v>2024.0</v>
      </c>
      <c r="K1139" s="58">
        <v>0.57</v>
      </c>
      <c r="L1139" s="37">
        <v>105.0</v>
      </c>
      <c r="M1139" s="16">
        <f t="shared" si="214"/>
        <v>0.5428571429</v>
      </c>
      <c r="N1139" s="17"/>
    </row>
    <row r="1140">
      <c r="A1140" s="9"/>
      <c r="B1140" s="38">
        <f>B1138+1</f>
        <v>1137</v>
      </c>
      <c r="C1140" s="70"/>
      <c r="D1140" s="48" t="s">
        <v>919</v>
      </c>
      <c r="E1140" s="13" t="s">
        <v>864</v>
      </c>
      <c r="F1140" s="13">
        <v>11.0</v>
      </c>
      <c r="G1140" s="35" t="str">
        <f t="shared" ref="G1140:G1145" si="216">IF(C1140&gt;40908,"2012",IF(C1140&gt;40543,"2011",IF(C1140&gt;40178,"2010",IF(C1140&gt;=39814,"2009",IF(C1140&gt;=39448,"2008",IF(C1140&gt;39082,"2007",IF(C1140&lt;38717,"Pre-2006","2006")))))))</f>
        <v>Pre-2006</v>
      </c>
      <c r="H1140" s="71"/>
      <c r="I1140" s="71"/>
      <c r="J1140" s="61"/>
      <c r="K1140" s="62"/>
      <c r="L1140" s="63"/>
      <c r="M1140" s="59" t="str">
        <f t="shared" si="214"/>
        <v>NA</v>
      </c>
      <c r="N1140" s="17"/>
    </row>
    <row r="1141">
      <c r="A1141" s="9"/>
      <c r="B1141" s="38">
        <f t="shared" ref="B1141:B1218" si="217">B1140+1</f>
        <v>1138</v>
      </c>
      <c r="C1141" s="70"/>
      <c r="D1141" s="48" t="s">
        <v>920</v>
      </c>
      <c r="E1141" s="13" t="s">
        <v>864</v>
      </c>
      <c r="F1141" s="13">
        <v>11.0</v>
      </c>
      <c r="G1141" s="35" t="str">
        <f t="shared" si="216"/>
        <v>Pre-2006</v>
      </c>
      <c r="H1141" s="71"/>
      <c r="I1141" s="71"/>
      <c r="J1141" s="61"/>
      <c r="K1141" s="62"/>
      <c r="L1141" s="63"/>
      <c r="M1141" s="59" t="str">
        <f t="shared" si="214"/>
        <v>NA</v>
      </c>
      <c r="N1141" s="17"/>
    </row>
    <row r="1142">
      <c r="A1142" s="9"/>
      <c r="B1142" s="38">
        <f t="shared" si="217"/>
        <v>1139</v>
      </c>
      <c r="C1142" s="70"/>
      <c r="D1142" s="48" t="s">
        <v>921</v>
      </c>
      <c r="E1142" s="13" t="s">
        <v>864</v>
      </c>
      <c r="F1142" s="13">
        <v>11.0</v>
      </c>
      <c r="G1142" s="35" t="str">
        <f t="shared" si="216"/>
        <v>Pre-2006</v>
      </c>
      <c r="H1142" s="71"/>
      <c r="I1142" s="71"/>
      <c r="J1142" s="61"/>
      <c r="K1142" s="62"/>
      <c r="L1142" s="63"/>
      <c r="M1142" s="59" t="str">
        <f t="shared" si="214"/>
        <v>NA</v>
      </c>
      <c r="N1142" s="17"/>
    </row>
    <row r="1143">
      <c r="A1143" s="9"/>
      <c r="B1143" s="38">
        <f t="shared" si="217"/>
        <v>1140</v>
      </c>
      <c r="C1143" s="70"/>
      <c r="D1143" s="48" t="s">
        <v>922</v>
      </c>
      <c r="E1143" s="13" t="s">
        <v>864</v>
      </c>
      <c r="F1143" s="13">
        <v>11.0</v>
      </c>
      <c r="G1143" s="35" t="str">
        <f t="shared" si="216"/>
        <v>Pre-2006</v>
      </c>
      <c r="H1143" s="71"/>
      <c r="I1143" s="71"/>
      <c r="J1143" s="61"/>
      <c r="K1143" s="62"/>
      <c r="L1143" s="63"/>
      <c r="M1143" s="59" t="str">
        <f t="shared" si="214"/>
        <v>NA</v>
      </c>
      <c r="N1143" s="17"/>
    </row>
    <row r="1144">
      <c r="A1144" s="9"/>
      <c r="B1144" s="38">
        <f t="shared" si="217"/>
        <v>1141</v>
      </c>
      <c r="C1144" s="34">
        <v>39226.0</v>
      </c>
      <c r="D1144" s="48" t="s">
        <v>923</v>
      </c>
      <c r="E1144" s="13" t="s">
        <v>864</v>
      </c>
      <c r="F1144" s="13">
        <v>11.0</v>
      </c>
      <c r="G1144" s="35" t="str">
        <f t="shared" si="216"/>
        <v>2007</v>
      </c>
      <c r="H1144" s="13" t="s">
        <v>17</v>
      </c>
      <c r="I1144" s="13" t="s">
        <v>26</v>
      </c>
      <c r="J1144" s="14">
        <v>2007.0</v>
      </c>
      <c r="K1144" s="15">
        <v>0.77</v>
      </c>
      <c r="L1144" s="63"/>
      <c r="M1144" s="59" t="str">
        <f t="shared" si="214"/>
        <v>NA</v>
      </c>
      <c r="N1144" s="17"/>
    </row>
    <row r="1145">
      <c r="A1145" s="9"/>
      <c r="B1145" s="38">
        <f t="shared" si="217"/>
        <v>1142</v>
      </c>
      <c r="C1145" s="34">
        <v>39439.0</v>
      </c>
      <c r="D1145" s="48" t="s">
        <v>924</v>
      </c>
      <c r="E1145" s="13" t="s">
        <v>864</v>
      </c>
      <c r="F1145" s="13">
        <v>11.0</v>
      </c>
      <c r="G1145" s="35" t="str">
        <f t="shared" si="216"/>
        <v>2007</v>
      </c>
      <c r="H1145" s="13" t="s">
        <v>124</v>
      </c>
      <c r="I1145" s="13" t="s">
        <v>26</v>
      </c>
      <c r="J1145" s="61"/>
      <c r="K1145" s="62"/>
      <c r="L1145" s="63"/>
      <c r="M1145" s="59" t="str">
        <f t="shared" si="214"/>
        <v>NA</v>
      </c>
      <c r="N1145" s="17"/>
    </row>
    <row r="1146">
      <c r="A1146" s="9"/>
      <c r="B1146" s="38">
        <f t="shared" si="217"/>
        <v>1143</v>
      </c>
      <c r="C1146" s="34">
        <v>42132.0</v>
      </c>
      <c r="D1146" s="12" t="str">
        <f>hyperlink("http://www.rottentomatoes.com/m/welcome_to_me/","Welcome to Me")</f>
        <v>Welcome to Me</v>
      </c>
      <c r="E1146" s="13" t="s">
        <v>864</v>
      </c>
      <c r="F1146" s="13">
        <v>11.0</v>
      </c>
      <c r="G1146" s="13">
        <v>2015.0</v>
      </c>
      <c r="H1146" s="13" t="s">
        <v>58</v>
      </c>
      <c r="I1146" s="13" t="s">
        <v>47</v>
      </c>
      <c r="J1146" s="55">
        <v>2015.0</v>
      </c>
      <c r="K1146" s="56">
        <v>0.71</v>
      </c>
      <c r="L1146" s="14">
        <v>87.0</v>
      </c>
      <c r="M1146" s="16">
        <f t="shared" si="214"/>
        <v>0.816091954</v>
      </c>
      <c r="N1146" s="17"/>
    </row>
    <row r="1147">
      <c r="A1147" s="9"/>
      <c r="B1147" s="38">
        <f t="shared" si="217"/>
        <v>1144</v>
      </c>
      <c r="C1147" s="34">
        <v>39577.0</v>
      </c>
      <c r="D1147" s="48" t="s">
        <v>925</v>
      </c>
      <c r="E1147" s="13" t="s">
        <v>864</v>
      </c>
      <c r="F1147" s="13">
        <v>11.0</v>
      </c>
      <c r="G1147" s="35" t="str">
        <f t="shared" ref="G1147:G1153" si="218">IF(C1147&gt;40908,"2012",IF(C1147&gt;40543,"2011",IF(C1147&gt;40178,"2010",IF(C1147&gt;=39814,"2009",IF(C1147&gt;=39448,"2008",IF(C1147&gt;39082,"2007",IF(C1147&lt;38717,"Pre-2006","2006")))))))</f>
        <v>2008</v>
      </c>
      <c r="H1147" s="13" t="s">
        <v>17</v>
      </c>
      <c r="I1147" s="13" t="s">
        <v>26</v>
      </c>
      <c r="J1147" s="14">
        <v>2008.0</v>
      </c>
      <c r="K1147" s="15">
        <v>0.26</v>
      </c>
      <c r="L1147" s="14">
        <v>99.0</v>
      </c>
      <c r="M1147" s="16">
        <f t="shared" si="214"/>
        <v>0.2626262626</v>
      </c>
      <c r="N1147" s="17"/>
    </row>
    <row r="1148">
      <c r="A1148" s="9"/>
      <c r="B1148" s="38">
        <f t="shared" si="217"/>
        <v>1145</v>
      </c>
      <c r="C1148" s="70"/>
      <c r="D1148" s="48" t="s">
        <v>926</v>
      </c>
      <c r="E1148" s="13" t="s">
        <v>864</v>
      </c>
      <c r="F1148" s="13">
        <v>11.0</v>
      </c>
      <c r="G1148" s="35" t="str">
        <f t="shared" si="218"/>
        <v>Pre-2006</v>
      </c>
      <c r="H1148" s="71"/>
      <c r="I1148" s="71"/>
      <c r="J1148" s="61"/>
      <c r="K1148" s="62"/>
      <c r="L1148" s="63"/>
      <c r="M1148" s="59" t="str">
        <f t="shared" si="214"/>
        <v>NA</v>
      </c>
      <c r="N1148" s="17"/>
    </row>
    <row r="1149">
      <c r="A1149" s="9"/>
      <c r="B1149" s="38">
        <f t="shared" si="217"/>
        <v>1146</v>
      </c>
      <c r="C1149" s="70"/>
      <c r="D1149" s="48" t="s">
        <v>927</v>
      </c>
      <c r="E1149" s="13" t="s">
        <v>864</v>
      </c>
      <c r="F1149" s="13">
        <v>11.0</v>
      </c>
      <c r="G1149" s="35" t="str">
        <f t="shared" si="218"/>
        <v>Pre-2006</v>
      </c>
      <c r="H1149" s="13" t="s">
        <v>17</v>
      </c>
      <c r="I1149" s="13" t="s">
        <v>21</v>
      </c>
      <c r="J1149" s="61"/>
      <c r="K1149" s="62"/>
      <c r="L1149" s="63"/>
      <c r="M1149" s="59" t="str">
        <f t="shared" si="214"/>
        <v>NA</v>
      </c>
      <c r="N1149" s="17"/>
    </row>
    <row r="1150">
      <c r="A1150" s="9"/>
      <c r="B1150" s="38">
        <f t="shared" si="217"/>
        <v>1147</v>
      </c>
      <c r="C1150" s="70"/>
      <c r="D1150" s="48" t="s">
        <v>928</v>
      </c>
      <c r="E1150" s="13" t="s">
        <v>864</v>
      </c>
      <c r="F1150" s="13">
        <v>11.0</v>
      </c>
      <c r="G1150" s="35" t="str">
        <f t="shared" si="218"/>
        <v>Pre-2006</v>
      </c>
      <c r="H1150" s="71"/>
      <c r="I1150" s="71"/>
      <c r="J1150" s="61"/>
      <c r="K1150" s="62"/>
      <c r="L1150" s="63"/>
      <c r="M1150" s="59" t="str">
        <f t="shared" si="214"/>
        <v>NA</v>
      </c>
      <c r="N1150" s="17"/>
    </row>
    <row r="1151">
      <c r="A1151" s="9"/>
      <c r="B1151" s="38">
        <f t="shared" si="217"/>
        <v>1148</v>
      </c>
      <c r="C1151" s="70"/>
      <c r="D1151" s="48" t="s">
        <v>929</v>
      </c>
      <c r="E1151" s="13" t="s">
        <v>864</v>
      </c>
      <c r="F1151" s="13">
        <v>11.0</v>
      </c>
      <c r="G1151" s="35" t="str">
        <f t="shared" si="218"/>
        <v>Pre-2006</v>
      </c>
      <c r="H1151" s="71"/>
      <c r="I1151" s="71"/>
      <c r="J1151" s="61"/>
      <c r="K1151" s="62"/>
      <c r="L1151" s="63"/>
      <c r="M1151" s="59" t="str">
        <f t="shared" si="214"/>
        <v>NA</v>
      </c>
      <c r="N1151" s="17"/>
    </row>
    <row r="1152">
      <c r="A1152" s="9"/>
      <c r="B1152" s="38">
        <f t="shared" si="217"/>
        <v>1149</v>
      </c>
      <c r="C1152" s="70"/>
      <c r="D1152" s="48" t="s">
        <v>930</v>
      </c>
      <c r="E1152" s="13" t="s">
        <v>864</v>
      </c>
      <c r="F1152" s="13">
        <v>11.0</v>
      </c>
      <c r="G1152" s="35" t="str">
        <f t="shared" si="218"/>
        <v>Pre-2006</v>
      </c>
      <c r="H1152" s="71"/>
      <c r="I1152" s="71"/>
      <c r="J1152" s="61"/>
      <c r="K1152" s="62"/>
      <c r="L1152" s="63"/>
      <c r="M1152" s="59" t="str">
        <f t="shared" si="214"/>
        <v>NA</v>
      </c>
      <c r="N1152" s="17"/>
    </row>
    <row r="1153">
      <c r="A1153" s="9"/>
      <c r="B1153" s="40">
        <f t="shared" si="217"/>
        <v>1150</v>
      </c>
      <c r="C1153" s="65"/>
      <c r="D1153" s="42" t="s">
        <v>931</v>
      </c>
      <c r="E1153" s="43" t="s">
        <v>932</v>
      </c>
      <c r="F1153" s="43">
        <v>10.0</v>
      </c>
      <c r="G1153" s="44" t="str">
        <f t="shared" si="218"/>
        <v>Pre-2006</v>
      </c>
      <c r="H1153" s="66"/>
      <c r="I1153" s="66"/>
      <c r="J1153" s="91"/>
      <c r="K1153" s="92"/>
      <c r="L1153" s="67"/>
      <c r="M1153" s="69" t="str">
        <f t="shared" si="214"/>
        <v>NA</v>
      </c>
      <c r="N1153" s="17"/>
    </row>
    <row r="1154">
      <c r="A1154" s="9"/>
      <c r="B1154" s="38">
        <f t="shared" si="217"/>
        <v>1151</v>
      </c>
      <c r="C1154" s="34">
        <v>44919.0</v>
      </c>
      <c r="D1154" s="12" t="str">
        <f>hyperlink("https://www.rottentomatoes.com/m/21_bridges","21 Bridges")</f>
        <v>21 Bridges</v>
      </c>
      <c r="E1154" s="33" t="s">
        <v>932</v>
      </c>
      <c r="F1154" s="33">
        <v>10.0</v>
      </c>
      <c r="G1154" s="36">
        <v>2023.0</v>
      </c>
      <c r="H1154" s="33" t="s">
        <v>58</v>
      </c>
      <c r="I1154" s="33" t="s">
        <v>77</v>
      </c>
      <c r="J1154" s="57">
        <v>2019.0</v>
      </c>
      <c r="K1154" s="82" t="s">
        <v>933</v>
      </c>
      <c r="L1154" s="37">
        <v>109.0</v>
      </c>
      <c r="M1154" s="16" t="str">
        <f t="shared" si="214"/>
        <v>NA</v>
      </c>
      <c r="N1154" s="17"/>
    </row>
    <row r="1155">
      <c r="A1155" s="9"/>
      <c r="B1155" s="38">
        <f t="shared" si="217"/>
        <v>1152</v>
      </c>
      <c r="C1155" s="70"/>
      <c r="D1155" s="48" t="s">
        <v>934</v>
      </c>
      <c r="E1155" s="13" t="s">
        <v>932</v>
      </c>
      <c r="F1155" s="13">
        <v>10.0</v>
      </c>
      <c r="G1155" s="35" t="str">
        <f t="shared" ref="G1155:G1160" si="219">IF(C1155&gt;40908,"2012",IF(C1155&gt;40543,"2011",IF(C1155&gt;40178,"2010",IF(C1155&gt;=39814,"2009",IF(C1155&gt;=39448,"2008",IF(C1155&gt;39082,"2007",IF(C1155&lt;38717,"Pre-2006","2006")))))))</f>
        <v>Pre-2006</v>
      </c>
      <c r="H1155" s="71"/>
      <c r="I1155" s="71"/>
      <c r="J1155" s="61"/>
      <c r="K1155" s="62"/>
      <c r="L1155" s="63"/>
      <c r="M1155" s="59" t="str">
        <f t="shared" si="214"/>
        <v>NA</v>
      </c>
      <c r="N1155" s="17"/>
    </row>
    <row r="1156">
      <c r="A1156" s="9"/>
      <c r="B1156" s="38">
        <f t="shared" si="217"/>
        <v>1153</v>
      </c>
      <c r="C1156" s="70"/>
      <c r="D1156" s="48" t="s">
        <v>935</v>
      </c>
      <c r="E1156" s="13" t="s">
        <v>932</v>
      </c>
      <c r="F1156" s="13">
        <v>10.0</v>
      </c>
      <c r="G1156" s="35" t="str">
        <f t="shared" si="219"/>
        <v>Pre-2006</v>
      </c>
      <c r="H1156" s="71"/>
      <c r="I1156" s="71"/>
      <c r="J1156" s="61"/>
      <c r="K1156" s="62"/>
      <c r="L1156" s="63"/>
      <c r="M1156" s="59" t="str">
        <f t="shared" si="214"/>
        <v>NA</v>
      </c>
      <c r="N1156" s="17"/>
    </row>
    <row r="1157">
      <c r="A1157" s="9"/>
      <c r="B1157" s="38">
        <f t="shared" si="217"/>
        <v>1154</v>
      </c>
      <c r="C1157" s="70"/>
      <c r="D1157" s="48" t="s">
        <v>936</v>
      </c>
      <c r="E1157" s="13" t="s">
        <v>932</v>
      </c>
      <c r="F1157" s="13">
        <v>10.0</v>
      </c>
      <c r="G1157" s="35" t="str">
        <f t="shared" si="219"/>
        <v>Pre-2006</v>
      </c>
      <c r="H1157" s="13" t="s">
        <v>20</v>
      </c>
      <c r="I1157" s="13" t="s">
        <v>47</v>
      </c>
      <c r="J1157" s="61"/>
      <c r="K1157" s="62"/>
      <c r="L1157" s="63"/>
      <c r="M1157" s="59" t="str">
        <f t="shared" si="214"/>
        <v>NA</v>
      </c>
      <c r="N1157" s="17"/>
    </row>
    <row r="1158">
      <c r="A1158" s="9"/>
      <c r="B1158" s="38">
        <f t="shared" si="217"/>
        <v>1155</v>
      </c>
      <c r="C1158" s="70"/>
      <c r="D1158" s="48" t="s">
        <v>937</v>
      </c>
      <c r="E1158" s="13" t="s">
        <v>932</v>
      </c>
      <c r="F1158" s="13">
        <v>10.0</v>
      </c>
      <c r="G1158" s="35" t="str">
        <f t="shared" si="219"/>
        <v>Pre-2006</v>
      </c>
      <c r="H1158" s="71"/>
      <c r="I1158" s="71"/>
      <c r="J1158" s="61"/>
      <c r="K1158" s="62"/>
      <c r="L1158" s="63"/>
      <c r="M1158" s="59" t="str">
        <f t="shared" si="214"/>
        <v>NA</v>
      </c>
      <c r="N1158" s="17"/>
    </row>
    <row r="1159">
      <c r="A1159" s="9"/>
      <c r="B1159" s="38">
        <f t="shared" si="217"/>
        <v>1156</v>
      </c>
      <c r="C1159" s="70"/>
      <c r="D1159" s="48" t="s">
        <v>938</v>
      </c>
      <c r="E1159" s="13" t="s">
        <v>932</v>
      </c>
      <c r="F1159" s="13">
        <v>10.0</v>
      </c>
      <c r="G1159" s="35" t="str">
        <f t="shared" si="219"/>
        <v>Pre-2006</v>
      </c>
      <c r="H1159" s="71"/>
      <c r="I1159" s="71"/>
      <c r="J1159" s="61"/>
      <c r="K1159" s="62"/>
      <c r="L1159" s="63"/>
      <c r="M1159" s="59" t="str">
        <f t="shared" si="214"/>
        <v>NA</v>
      </c>
      <c r="N1159" s="17"/>
    </row>
    <row r="1160">
      <c r="A1160" s="9"/>
      <c r="B1160" s="38">
        <f t="shared" si="217"/>
        <v>1157</v>
      </c>
      <c r="C1160" s="70"/>
      <c r="D1160" s="48" t="s">
        <v>939</v>
      </c>
      <c r="E1160" s="13" t="s">
        <v>932</v>
      </c>
      <c r="F1160" s="13">
        <v>10.0</v>
      </c>
      <c r="G1160" s="35" t="str">
        <f t="shared" si="219"/>
        <v>Pre-2006</v>
      </c>
      <c r="H1160" s="13" t="s">
        <v>15</v>
      </c>
      <c r="I1160" s="13" t="s">
        <v>26</v>
      </c>
      <c r="J1160" s="61"/>
      <c r="K1160" s="62"/>
      <c r="L1160" s="63"/>
      <c r="M1160" s="59" t="str">
        <f t="shared" si="214"/>
        <v>NA</v>
      </c>
      <c r="N1160" s="17"/>
    </row>
    <row r="1161">
      <c r="A1161" s="9"/>
      <c r="B1161" s="38">
        <f t="shared" si="217"/>
        <v>1158</v>
      </c>
      <c r="C1161" s="34">
        <v>41973.0</v>
      </c>
      <c r="D1161" s="12" t="str">
        <f>hyperlink("http://www.rottentomatoes.com/m/about_alex/?search=about%20alex","About Alex")</f>
        <v>About Alex</v>
      </c>
      <c r="E1161" s="13" t="s">
        <v>932</v>
      </c>
      <c r="F1161" s="13">
        <v>10.0</v>
      </c>
      <c r="G1161" s="13">
        <v>2014.0</v>
      </c>
      <c r="H1161" s="13" t="s">
        <v>25</v>
      </c>
      <c r="I1161" s="13" t="s">
        <v>47</v>
      </c>
      <c r="J1161" s="55">
        <v>2014.0</v>
      </c>
      <c r="K1161" s="56">
        <v>0.47</v>
      </c>
      <c r="L1161" s="14">
        <v>96.0</v>
      </c>
      <c r="M1161" s="16">
        <f t="shared" si="214"/>
        <v>0.4895833333</v>
      </c>
      <c r="N1161" s="17"/>
    </row>
    <row r="1162">
      <c r="A1162" s="9"/>
      <c r="B1162" s="38">
        <f t="shared" si="217"/>
        <v>1159</v>
      </c>
      <c r="C1162" s="70"/>
      <c r="D1162" s="48" t="s">
        <v>940</v>
      </c>
      <c r="E1162" s="13" t="s">
        <v>932</v>
      </c>
      <c r="F1162" s="13">
        <v>10.0</v>
      </c>
      <c r="G1162" s="35" t="str">
        <f t="shared" ref="G1162:G1163" si="220">IF(C1162&gt;40908,"2012",IF(C1162&gt;40543,"2011",IF(C1162&gt;40178,"2010",IF(C1162&gt;=39814,"2009",IF(C1162&gt;=39448,"2008",IF(C1162&gt;39082,"2007",IF(C1162&lt;38717,"Pre-2006","2006")))))))</f>
        <v>Pre-2006</v>
      </c>
      <c r="H1162" s="71"/>
      <c r="I1162" s="71"/>
      <c r="J1162" s="61"/>
      <c r="K1162" s="62"/>
      <c r="L1162" s="63"/>
      <c r="M1162" s="59" t="str">
        <f t="shared" si="214"/>
        <v>NA</v>
      </c>
      <c r="N1162" s="17"/>
    </row>
    <row r="1163">
      <c r="A1163" s="9"/>
      <c r="B1163" s="38">
        <f t="shared" si="217"/>
        <v>1160</v>
      </c>
      <c r="C1163" s="70"/>
      <c r="D1163" s="48" t="s">
        <v>941</v>
      </c>
      <c r="E1163" s="13" t="s">
        <v>932</v>
      </c>
      <c r="F1163" s="13">
        <v>10.0</v>
      </c>
      <c r="G1163" s="35" t="str">
        <f t="shared" si="220"/>
        <v>Pre-2006</v>
      </c>
      <c r="H1163" s="71"/>
      <c r="I1163" s="71"/>
      <c r="J1163" s="61"/>
      <c r="K1163" s="62"/>
      <c r="L1163" s="63"/>
      <c r="M1163" s="59" t="str">
        <f t="shared" si="214"/>
        <v>NA</v>
      </c>
      <c r="N1163" s="17"/>
    </row>
    <row r="1164">
      <c r="A1164" s="9"/>
      <c r="B1164" s="38">
        <f t="shared" si="217"/>
        <v>1161</v>
      </c>
      <c r="C1164" s="34">
        <v>44635.0</v>
      </c>
      <c r="D1164" s="12" t="str">
        <f>hyperlink("https://www.rottentomatoes.com/m/the_adam_project","Adam Project, The")</f>
        <v>Adam Project, The</v>
      </c>
      <c r="E1164" s="33" t="s">
        <v>932</v>
      </c>
      <c r="F1164" s="33">
        <v>10.0</v>
      </c>
      <c r="G1164" s="36">
        <v>2022.0</v>
      </c>
      <c r="H1164" s="33" t="s">
        <v>58</v>
      </c>
      <c r="I1164" s="33" t="s">
        <v>77</v>
      </c>
      <c r="J1164" s="57">
        <v>2022.0</v>
      </c>
      <c r="K1164" s="58">
        <v>0.68</v>
      </c>
      <c r="L1164" s="37">
        <v>106.0</v>
      </c>
      <c r="M1164" s="16">
        <f t="shared" si="214"/>
        <v>0.641509434</v>
      </c>
      <c r="N1164" s="17"/>
    </row>
    <row r="1165">
      <c r="A1165" s="9"/>
      <c r="B1165" s="38">
        <f t="shared" si="217"/>
        <v>1162</v>
      </c>
      <c r="C1165" s="34">
        <v>44533.0</v>
      </c>
      <c r="D1165" s="12" t="str">
        <f>hyperlink("https://www.rottentomatoes.com/m/against_the_tides","Against The Tides")</f>
        <v>Against The Tides</v>
      </c>
      <c r="E1165" s="33" t="s">
        <v>932</v>
      </c>
      <c r="F1165" s="33">
        <v>10.0</v>
      </c>
      <c r="G1165" s="36">
        <v>2021.0</v>
      </c>
      <c r="H1165" s="33" t="s">
        <v>58</v>
      </c>
      <c r="I1165" s="33" t="s">
        <v>279</v>
      </c>
      <c r="J1165" s="57">
        <v>2017.0</v>
      </c>
      <c r="K1165" s="82" t="s">
        <v>169</v>
      </c>
      <c r="L1165" s="37">
        <v>87.0</v>
      </c>
      <c r="M1165" s="72" t="s">
        <v>169</v>
      </c>
      <c r="N1165" s="17"/>
    </row>
    <row r="1166">
      <c r="A1166" s="9"/>
      <c r="B1166" s="38">
        <f t="shared" si="217"/>
        <v>1163</v>
      </c>
      <c r="C1166" s="70"/>
      <c r="D1166" s="48" t="s">
        <v>942</v>
      </c>
      <c r="E1166" s="13" t="s">
        <v>932</v>
      </c>
      <c r="F1166" s="13">
        <v>10.0</v>
      </c>
      <c r="G1166" s="35" t="str">
        <f t="shared" ref="G1166:G1169" si="221">IF(C1166&gt;40908,"2012",IF(C1166&gt;40543,"2011",IF(C1166&gt;40178,"2010",IF(C1166&gt;=39814,"2009",IF(C1166&gt;=39448,"2008",IF(C1166&gt;39082,"2007",IF(C1166&lt;38717,"Pre-2006","2006")))))))</f>
        <v>Pre-2006</v>
      </c>
      <c r="H1166" s="71"/>
      <c r="I1166" s="71"/>
      <c r="J1166" s="61"/>
      <c r="K1166" s="62"/>
      <c r="L1166" s="63"/>
      <c r="M1166" s="59" t="str">
        <f t="shared" ref="M1166:M1174" si="222">if(iserror(K1166/L1166*100),"NA",K1166/L1166*100)</f>
        <v>NA</v>
      </c>
      <c r="N1166" s="17"/>
    </row>
    <row r="1167">
      <c r="A1167" s="9"/>
      <c r="B1167" s="38">
        <f t="shared" si="217"/>
        <v>1164</v>
      </c>
      <c r="C1167" s="70"/>
      <c r="D1167" s="48" t="s">
        <v>943</v>
      </c>
      <c r="E1167" s="13" t="s">
        <v>932</v>
      </c>
      <c r="F1167" s="13">
        <v>10.0</v>
      </c>
      <c r="G1167" s="35" t="str">
        <f t="shared" si="221"/>
        <v>Pre-2006</v>
      </c>
      <c r="H1167" s="71"/>
      <c r="I1167" s="71"/>
      <c r="J1167" s="61"/>
      <c r="K1167" s="62"/>
      <c r="L1167" s="63"/>
      <c r="M1167" s="59" t="str">
        <f t="shared" si="222"/>
        <v>NA</v>
      </c>
      <c r="N1167" s="17"/>
    </row>
    <row r="1168">
      <c r="A1168" s="9"/>
      <c r="B1168" s="38">
        <f t="shared" si="217"/>
        <v>1165</v>
      </c>
      <c r="C1168" s="70"/>
      <c r="D1168" s="48" t="s">
        <v>944</v>
      </c>
      <c r="E1168" s="13" t="s">
        <v>932</v>
      </c>
      <c r="F1168" s="13">
        <v>10.0</v>
      </c>
      <c r="G1168" s="35" t="str">
        <f t="shared" si="221"/>
        <v>Pre-2006</v>
      </c>
      <c r="H1168" s="71"/>
      <c r="I1168" s="71"/>
      <c r="J1168" s="61"/>
      <c r="K1168" s="62"/>
      <c r="L1168" s="63"/>
      <c r="M1168" s="59" t="str">
        <f t="shared" si="222"/>
        <v>NA</v>
      </c>
      <c r="N1168" s="17"/>
    </row>
    <row r="1169">
      <c r="A1169" s="9"/>
      <c r="B1169" s="38">
        <f t="shared" si="217"/>
        <v>1166</v>
      </c>
      <c r="C1169" s="34">
        <v>39011.0</v>
      </c>
      <c r="D1169" s="48" t="s">
        <v>618</v>
      </c>
      <c r="E1169" s="13" t="s">
        <v>932</v>
      </c>
      <c r="F1169" s="13">
        <v>10.0</v>
      </c>
      <c r="G1169" s="35" t="str">
        <f t="shared" si="221"/>
        <v>2006</v>
      </c>
      <c r="H1169" s="71"/>
      <c r="I1169" s="71"/>
      <c r="J1169" s="61"/>
      <c r="K1169" s="62"/>
      <c r="L1169" s="63"/>
      <c r="M1169" s="59" t="str">
        <f t="shared" si="222"/>
        <v>NA</v>
      </c>
      <c r="N1169" s="17"/>
    </row>
    <row r="1170">
      <c r="A1170" s="9"/>
      <c r="B1170" s="38">
        <f t="shared" si="217"/>
        <v>1167</v>
      </c>
      <c r="C1170" s="34">
        <v>41776.0</v>
      </c>
      <c r="D1170" s="48" t="s">
        <v>945</v>
      </c>
      <c r="E1170" s="13" t="s">
        <v>932</v>
      </c>
      <c r="F1170" s="13">
        <v>10.0</v>
      </c>
      <c r="G1170" s="13">
        <v>2014.0</v>
      </c>
      <c r="H1170" s="13" t="s">
        <v>143</v>
      </c>
      <c r="I1170" s="13" t="s">
        <v>26</v>
      </c>
      <c r="J1170" s="55">
        <v>2014.0</v>
      </c>
      <c r="K1170" s="56">
        <v>0.53</v>
      </c>
      <c r="L1170" s="14">
        <v>142.0</v>
      </c>
      <c r="M1170" s="16">
        <f t="shared" si="222"/>
        <v>0.3732394366</v>
      </c>
      <c r="N1170" s="17"/>
    </row>
    <row r="1171">
      <c r="A1171" s="9"/>
      <c r="B1171" s="38">
        <f t="shared" si="217"/>
        <v>1168</v>
      </c>
      <c r="C1171" s="70"/>
      <c r="D1171" s="48" t="s">
        <v>946</v>
      </c>
      <c r="E1171" s="13" t="s">
        <v>932</v>
      </c>
      <c r="F1171" s="13">
        <v>10.0</v>
      </c>
      <c r="G1171" s="35" t="str">
        <f t="shared" ref="G1171:G1172" si="223">IF(C1171&gt;40908,"2012",IF(C1171&gt;40543,"2011",IF(C1171&gt;40178,"2010",IF(C1171&gt;=39814,"2009",IF(C1171&gt;=39448,"2008",IF(C1171&gt;39082,"2007",IF(C1171&lt;38717,"Pre-2006","2006")))))))</f>
        <v>Pre-2006</v>
      </c>
      <c r="H1171" s="71"/>
      <c r="I1171" s="71"/>
      <c r="J1171" s="61"/>
      <c r="K1171" s="62"/>
      <c r="L1171" s="63"/>
      <c r="M1171" s="59" t="str">
        <f t="shared" si="222"/>
        <v>NA</v>
      </c>
      <c r="N1171" s="17"/>
    </row>
    <row r="1172">
      <c r="A1172" s="9"/>
      <c r="B1172" s="38">
        <f t="shared" si="217"/>
        <v>1169</v>
      </c>
      <c r="C1172" s="70"/>
      <c r="D1172" s="48" t="s">
        <v>947</v>
      </c>
      <c r="E1172" s="13" t="s">
        <v>932</v>
      </c>
      <c r="F1172" s="13">
        <v>10.0</v>
      </c>
      <c r="G1172" s="35" t="str">
        <f t="shared" si="223"/>
        <v>Pre-2006</v>
      </c>
      <c r="H1172" s="71"/>
      <c r="I1172" s="71"/>
      <c r="J1172" s="61"/>
      <c r="K1172" s="62"/>
      <c r="L1172" s="63"/>
      <c r="M1172" s="59" t="str">
        <f t="shared" si="222"/>
        <v>NA</v>
      </c>
      <c r="N1172" s="17"/>
    </row>
    <row r="1173">
      <c r="A1173" s="9"/>
      <c r="B1173" s="38">
        <f t="shared" si="217"/>
        <v>1170</v>
      </c>
      <c r="C1173" s="34">
        <v>45163.0</v>
      </c>
      <c r="D1173" s="12" t="str">
        <f>hyperlink("https://www.rottentomatoes.com/m/are_you_there_god_its_me_margaret","Are you there god? It's me, Margaret")</f>
        <v>Are you there god? It's me, Margaret</v>
      </c>
      <c r="E1173" s="33" t="s">
        <v>932</v>
      </c>
      <c r="F1173" s="33">
        <v>10.0</v>
      </c>
      <c r="G1173" s="36">
        <v>2023.0</v>
      </c>
      <c r="H1173" s="33" t="s">
        <v>785</v>
      </c>
      <c r="I1173" s="33" t="s">
        <v>948</v>
      </c>
      <c r="J1173" s="57">
        <v>2023.0</v>
      </c>
      <c r="K1173" s="58">
        <v>0.99</v>
      </c>
      <c r="L1173" s="37">
        <v>105.0</v>
      </c>
      <c r="M1173" s="16">
        <f t="shared" si="222"/>
        <v>0.9428571429</v>
      </c>
      <c r="N1173" s="17"/>
    </row>
    <row r="1174">
      <c r="A1174" s="9"/>
      <c r="B1174" s="38">
        <f t="shared" si="217"/>
        <v>1171</v>
      </c>
      <c r="C1174" s="70"/>
      <c r="D1174" s="48" t="s">
        <v>949</v>
      </c>
      <c r="E1174" s="13" t="s">
        <v>932</v>
      </c>
      <c r="F1174" s="13">
        <v>10.0</v>
      </c>
      <c r="G1174" s="35" t="str">
        <f>IF(C1174&gt;40908,"2012",IF(C1174&gt;40543,"2011",IF(C1174&gt;40178,"2010",IF(C1174&gt;=39814,"2009",IF(C1174&gt;=39448,"2008",IF(C1174&gt;39082,"2007",IF(C1174&lt;38717,"Pre-2006","2006")))))))</f>
        <v>Pre-2006</v>
      </c>
      <c r="H1174" s="71"/>
      <c r="I1174" s="71"/>
      <c r="J1174" s="61"/>
      <c r="K1174" s="62"/>
      <c r="L1174" s="63"/>
      <c r="M1174" s="59" t="str">
        <f t="shared" si="222"/>
        <v>NA</v>
      </c>
      <c r="N1174" s="17"/>
    </row>
    <row r="1175">
      <c r="A1175" s="9"/>
      <c r="B1175" s="38">
        <f t="shared" si="217"/>
        <v>1172</v>
      </c>
      <c r="C1175" s="34">
        <v>42515.0</v>
      </c>
      <c r="D1175" s="12" t="str">
        <f>hyperlink("http://www.rottentomatoes.com/m/ashby/?search=ashby","Ashby")</f>
        <v>Ashby</v>
      </c>
      <c r="E1175" s="33" t="s">
        <v>932</v>
      </c>
      <c r="F1175" s="33">
        <v>10.0</v>
      </c>
      <c r="G1175" s="36">
        <v>2016.0</v>
      </c>
      <c r="H1175" s="33" t="s">
        <v>58</v>
      </c>
      <c r="I1175" s="33" t="s">
        <v>77</v>
      </c>
      <c r="J1175" s="57">
        <v>2015.0</v>
      </c>
      <c r="K1175" s="58">
        <v>0.53</v>
      </c>
      <c r="L1175" s="37">
        <v>100.0</v>
      </c>
      <c r="M1175" s="59">
        <f>K1175/L1175*100</f>
        <v>0.53</v>
      </c>
      <c r="N1175" s="17"/>
    </row>
    <row r="1176">
      <c r="A1176" s="9"/>
      <c r="B1176" s="38">
        <f t="shared" si="217"/>
        <v>1173</v>
      </c>
      <c r="C1176" s="70"/>
      <c r="D1176" s="48" t="s">
        <v>950</v>
      </c>
      <c r="E1176" s="13" t="s">
        <v>932</v>
      </c>
      <c r="F1176" s="13">
        <v>10.0</v>
      </c>
      <c r="G1176" s="35" t="str">
        <f>IF(C1176&gt;40908,"2012",IF(C1176&gt;40543,"2011",IF(C1176&gt;40178,"2010",IF(C1176&gt;=39814,"2009",IF(C1176&gt;=39448,"2008",IF(C1176&gt;39082,"2007",IF(C1176&lt;38717,"Pre-2006","2006")))))))</f>
        <v>Pre-2006</v>
      </c>
      <c r="H1176" s="71"/>
      <c r="I1176" s="71"/>
      <c r="J1176" s="61"/>
      <c r="K1176" s="62"/>
      <c r="L1176" s="63"/>
      <c r="M1176" s="59" t="str">
        <f t="shared" ref="M1176:M1198" si="224">if(iserror(K1176/L1176*100),"NA",K1176/L1176*100)</f>
        <v>NA</v>
      </c>
      <c r="N1176" s="17"/>
    </row>
    <row r="1177">
      <c r="A1177" s="9"/>
      <c r="B1177" s="38">
        <f t="shared" si="217"/>
        <v>1174</v>
      </c>
      <c r="C1177" s="34">
        <v>41041.0</v>
      </c>
      <c r="D1177" s="48" t="s">
        <v>951</v>
      </c>
      <c r="E1177" s="13" t="s">
        <v>932</v>
      </c>
      <c r="F1177" s="13">
        <v>10.0</v>
      </c>
      <c r="G1177" s="13">
        <v>2012.0</v>
      </c>
      <c r="H1177" s="13" t="s">
        <v>143</v>
      </c>
      <c r="I1177" s="13" t="s">
        <v>26</v>
      </c>
      <c r="J1177" s="55">
        <v>2012.0</v>
      </c>
      <c r="K1177" s="56">
        <v>0.93</v>
      </c>
      <c r="L1177" s="14">
        <v>142.0</v>
      </c>
      <c r="M1177" s="16">
        <f t="shared" si="224"/>
        <v>0.6549295775</v>
      </c>
      <c r="N1177" s="17"/>
    </row>
    <row r="1178">
      <c r="A1178" s="9"/>
      <c r="B1178" s="38">
        <f t="shared" si="217"/>
        <v>1175</v>
      </c>
      <c r="C1178" s="34">
        <v>42126.0</v>
      </c>
      <c r="D1178" s="12" t="str">
        <f>hyperlink("http://www.rottentomatoes.com/m/avengers_age_of_ultron","Avengers, The: Age of Ultron")</f>
        <v>Avengers, The: Age of Ultron</v>
      </c>
      <c r="E1178" s="13" t="s">
        <v>932</v>
      </c>
      <c r="F1178" s="13">
        <v>10.0</v>
      </c>
      <c r="G1178" s="13">
        <v>2015.0</v>
      </c>
      <c r="H1178" s="13" t="s">
        <v>143</v>
      </c>
      <c r="I1178" s="13" t="s">
        <v>26</v>
      </c>
      <c r="J1178" s="55">
        <v>2015.0</v>
      </c>
      <c r="K1178" s="56">
        <v>0.74</v>
      </c>
      <c r="L1178" s="14">
        <v>141.0</v>
      </c>
      <c r="M1178" s="16">
        <f t="shared" si="224"/>
        <v>0.524822695</v>
      </c>
      <c r="N1178" s="17"/>
    </row>
    <row r="1179">
      <c r="A1179" s="9"/>
      <c r="B1179" s="38">
        <f t="shared" si="217"/>
        <v>1176</v>
      </c>
      <c r="C1179" s="34">
        <v>45476.0</v>
      </c>
      <c r="D1179" s="12" t="str">
        <f>hyperlink("https://www.rottentomatoes.com/m/beverly_hills_cop_axel_f","Beverly Hills Cop: Axel F")</f>
        <v>Beverly Hills Cop: Axel F</v>
      </c>
      <c r="E1179" s="33" t="s">
        <v>932</v>
      </c>
      <c r="F1179" s="33">
        <v>10.0</v>
      </c>
      <c r="G1179" s="36">
        <v>2024.0</v>
      </c>
      <c r="H1179" s="33" t="s">
        <v>58</v>
      </c>
      <c r="I1179" s="33" t="s">
        <v>77</v>
      </c>
      <c r="J1179" s="57">
        <v>2024.0</v>
      </c>
      <c r="K1179" s="58">
        <v>0.66</v>
      </c>
      <c r="L1179" s="37">
        <v>115.0</v>
      </c>
      <c r="M1179" s="16">
        <f t="shared" si="224"/>
        <v>0.5739130435</v>
      </c>
      <c r="N1179" s="17"/>
    </row>
    <row r="1180">
      <c r="A1180" s="9"/>
      <c r="B1180" s="38">
        <f t="shared" si="217"/>
        <v>1177</v>
      </c>
      <c r="C1180" s="70"/>
      <c r="D1180" s="48" t="s">
        <v>952</v>
      </c>
      <c r="E1180" s="13" t="s">
        <v>932</v>
      </c>
      <c r="F1180" s="13">
        <v>10.0</v>
      </c>
      <c r="G1180" s="35" t="str">
        <f t="shared" ref="G1180:G1183" si="225">IF(C1180&gt;40908,"2012",IF(C1180&gt;40543,"2011",IF(C1180&gt;40178,"2010",IF(C1180&gt;=39814,"2009",IF(C1180&gt;=39448,"2008",IF(C1180&gt;39082,"2007",IF(C1180&lt;38717,"Pre-2006","2006")))))))</f>
        <v>Pre-2006</v>
      </c>
      <c r="H1180" s="71"/>
      <c r="I1180" s="71"/>
      <c r="J1180" s="61"/>
      <c r="K1180" s="62"/>
      <c r="L1180" s="63"/>
      <c r="M1180" s="59" t="str">
        <f t="shared" si="224"/>
        <v>NA</v>
      </c>
      <c r="N1180" s="17"/>
    </row>
    <row r="1181">
      <c r="A1181" s="9"/>
      <c r="B1181" s="38">
        <f t="shared" si="217"/>
        <v>1178</v>
      </c>
      <c r="C1181" s="70"/>
      <c r="D1181" s="48" t="s">
        <v>953</v>
      </c>
      <c r="E1181" s="13" t="s">
        <v>932</v>
      </c>
      <c r="F1181" s="13">
        <v>10.0</v>
      </c>
      <c r="G1181" s="35" t="str">
        <f t="shared" si="225"/>
        <v>Pre-2006</v>
      </c>
      <c r="H1181" s="71"/>
      <c r="I1181" s="71"/>
      <c r="J1181" s="61"/>
      <c r="K1181" s="62"/>
      <c r="L1181" s="63"/>
      <c r="M1181" s="59" t="str">
        <f t="shared" si="224"/>
        <v>NA</v>
      </c>
      <c r="N1181" s="17"/>
    </row>
    <row r="1182">
      <c r="A1182" s="9"/>
      <c r="B1182" s="38">
        <f t="shared" si="217"/>
        <v>1179</v>
      </c>
      <c r="C1182" s="70"/>
      <c r="D1182" s="48" t="s">
        <v>954</v>
      </c>
      <c r="E1182" s="13" t="s">
        <v>932</v>
      </c>
      <c r="F1182" s="13">
        <v>10.0</v>
      </c>
      <c r="G1182" s="35" t="str">
        <f t="shared" si="225"/>
        <v>Pre-2006</v>
      </c>
      <c r="H1182" s="71"/>
      <c r="I1182" s="71"/>
      <c r="J1182" s="61"/>
      <c r="K1182" s="62"/>
      <c r="L1182" s="63"/>
      <c r="M1182" s="59" t="str">
        <f t="shared" si="224"/>
        <v>NA</v>
      </c>
      <c r="N1182" s="17"/>
    </row>
    <row r="1183">
      <c r="A1183" s="9"/>
      <c r="B1183" s="38">
        <f t="shared" si="217"/>
        <v>1180</v>
      </c>
      <c r="C1183" s="70"/>
      <c r="D1183" s="48" t="s">
        <v>955</v>
      </c>
      <c r="E1183" s="13" t="s">
        <v>932</v>
      </c>
      <c r="F1183" s="13">
        <v>10.0</v>
      </c>
      <c r="G1183" s="35" t="str">
        <f t="shared" si="225"/>
        <v>Pre-2006</v>
      </c>
      <c r="H1183" s="13" t="s">
        <v>15</v>
      </c>
      <c r="I1183" s="13" t="s">
        <v>16</v>
      </c>
      <c r="J1183" s="61"/>
      <c r="K1183" s="62"/>
      <c r="L1183" s="63"/>
      <c r="M1183" s="59" t="str">
        <f t="shared" si="224"/>
        <v>NA</v>
      </c>
      <c r="N1183" s="17"/>
    </row>
    <row r="1184">
      <c r="A1184" s="9"/>
      <c r="B1184" s="38">
        <f t="shared" si="217"/>
        <v>1181</v>
      </c>
      <c r="C1184" s="87">
        <v>43236.0</v>
      </c>
      <c r="D1184" s="12" t="str">
        <f>hyperlink("https://www.rottentomatoes.com/m/baywatch_2017","Baywatch")</f>
        <v>Baywatch</v>
      </c>
      <c r="E1184" s="33" t="s">
        <v>932</v>
      </c>
      <c r="F1184" s="33">
        <v>10.0</v>
      </c>
      <c r="G1184" s="36">
        <v>2018.0</v>
      </c>
      <c r="H1184" s="33" t="s">
        <v>58</v>
      </c>
      <c r="I1184" s="33" t="s">
        <v>47</v>
      </c>
      <c r="J1184" s="57">
        <v>2017.0</v>
      </c>
      <c r="K1184" s="58">
        <v>0.18</v>
      </c>
      <c r="L1184" s="37">
        <v>116.0</v>
      </c>
      <c r="M1184" s="59">
        <f t="shared" si="224"/>
        <v>0.1551724138</v>
      </c>
      <c r="N1184" s="17"/>
    </row>
    <row r="1185">
      <c r="A1185" s="9"/>
      <c r="B1185" s="38">
        <f t="shared" si="217"/>
        <v>1182</v>
      </c>
      <c r="C1185" s="70"/>
      <c r="D1185" s="48" t="s">
        <v>956</v>
      </c>
      <c r="E1185" s="13" t="s">
        <v>932</v>
      </c>
      <c r="F1185" s="13">
        <v>10.0</v>
      </c>
      <c r="G1185" s="35" t="str">
        <f t="shared" ref="G1185:G1189" si="226">IF(C1185&gt;40908,"2012",IF(C1185&gt;40543,"2011",IF(C1185&gt;40178,"2010",IF(C1185&gt;=39814,"2009",IF(C1185&gt;=39448,"2008",IF(C1185&gt;39082,"2007",IF(C1185&lt;38717,"Pre-2006","2006")))))))</f>
        <v>Pre-2006</v>
      </c>
      <c r="H1185" s="71"/>
      <c r="I1185" s="71"/>
      <c r="J1185" s="61"/>
      <c r="K1185" s="62"/>
      <c r="L1185" s="63"/>
      <c r="M1185" s="59" t="str">
        <f t="shared" si="224"/>
        <v>NA</v>
      </c>
      <c r="N1185" s="17"/>
    </row>
    <row r="1186">
      <c r="A1186" s="9"/>
      <c r="B1186" s="38">
        <f t="shared" si="217"/>
        <v>1183</v>
      </c>
      <c r="C1186" s="70"/>
      <c r="D1186" s="48" t="s">
        <v>957</v>
      </c>
      <c r="E1186" s="13" t="s">
        <v>932</v>
      </c>
      <c r="F1186" s="13">
        <v>10.0</v>
      </c>
      <c r="G1186" s="35" t="str">
        <f t="shared" si="226"/>
        <v>Pre-2006</v>
      </c>
      <c r="H1186" s="71"/>
      <c r="I1186" s="71"/>
      <c r="J1186" s="61"/>
      <c r="K1186" s="62"/>
      <c r="L1186" s="63"/>
      <c r="M1186" s="59" t="str">
        <f t="shared" si="224"/>
        <v>NA</v>
      </c>
      <c r="N1186" s="17"/>
    </row>
    <row r="1187">
      <c r="A1187" s="9"/>
      <c r="B1187" s="38">
        <f t="shared" si="217"/>
        <v>1184</v>
      </c>
      <c r="C1187" s="70"/>
      <c r="D1187" s="48" t="s">
        <v>958</v>
      </c>
      <c r="E1187" s="13" t="s">
        <v>932</v>
      </c>
      <c r="F1187" s="13">
        <v>10.0</v>
      </c>
      <c r="G1187" s="35" t="str">
        <f t="shared" si="226"/>
        <v>Pre-2006</v>
      </c>
      <c r="H1187" s="71"/>
      <c r="I1187" s="71"/>
      <c r="J1187" s="61"/>
      <c r="K1187" s="62"/>
      <c r="L1187" s="63"/>
      <c r="M1187" s="59" t="str">
        <f t="shared" si="224"/>
        <v>NA</v>
      </c>
      <c r="N1187" s="17"/>
    </row>
    <row r="1188">
      <c r="A1188" s="9"/>
      <c r="B1188" s="38">
        <f t="shared" si="217"/>
        <v>1185</v>
      </c>
      <c r="C1188" s="70"/>
      <c r="D1188" s="48" t="s">
        <v>959</v>
      </c>
      <c r="E1188" s="13" t="s">
        <v>932</v>
      </c>
      <c r="F1188" s="13">
        <v>10.0</v>
      </c>
      <c r="G1188" s="35" t="str">
        <f t="shared" si="226"/>
        <v>Pre-2006</v>
      </c>
      <c r="H1188" s="71"/>
      <c r="I1188" s="71"/>
      <c r="J1188" s="61"/>
      <c r="K1188" s="62"/>
      <c r="L1188" s="63"/>
      <c r="M1188" s="59" t="str">
        <f t="shared" si="224"/>
        <v>NA</v>
      </c>
      <c r="N1188" s="17"/>
    </row>
    <row r="1189">
      <c r="A1189" s="9"/>
      <c r="B1189" s="38">
        <f t="shared" si="217"/>
        <v>1186</v>
      </c>
      <c r="C1189" s="70"/>
      <c r="D1189" s="48" t="s">
        <v>960</v>
      </c>
      <c r="E1189" s="13" t="s">
        <v>932</v>
      </c>
      <c r="F1189" s="13">
        <v>10.0</v>
      </c>
      <c r="G1189" s="35" t="str">
        <f t="shared" si="226"/>
        <v>Pre-2006</v>
      </c>
      <c r="H1189" s="71"/>
      <c r="I1189" s="71"/>
      <c r="J1189" s="61"/>
      <c r="K1189" s="62"/>
      <c r="L1189" s="63"/>
      <c r="M1189" s="59" t="str">
        <f t="shared" si="224"/>
        <v>NA</v>
      </c>
      <c r="N1189" s="17"/>
    </row>
    <row r="1190">
      <c r="A1190" s="9"/>
      <c r="B1190" s="38">
        <f t="shared" si="217"/>
        <v>1187</v>
      </c>
      <c r="C1190" s="34">
        <v>41974.0</v>
      </c>
      <c r="D1190" s="12" t="str">
        <f>hyperlink("http://www.rottentomatoes.com/m/beside_still_waters/","Beside Still Waters")</f>
        <v>Beside Still Waters</v>
      </c>
      <c r="E1190" s="13" t="s">
        <v>932</v>
      </c>
      <c r="F1190" s="13">
        <v>10.0</v>
      </c>
      <c r="G1190" s="13">
        <v>2014.0</v>
      </c>
      <c r="H1190" s="13" t="s">
        <v>91</v>
      </c>
      <c r="I1190" s="13" t="s">
        <v>47</v>
      </c>
      <c r="J1190" s="55">
        <v>2014.0</v>
      </c>
      <c r="K1190" s="56">
        <v>0.64</v>
      </c>
      <c r="L1190" s="14">
        <v>76.0</v>
      </c>
      <c r="M1190" s="16">
        <f t="shared" si="224"/>
        <v>0.8421052632</v>
      </c>
      <c r="N1190" s="17"/>
    </row>
    <row r="1191">
      <c r="A1191" s="9"/>
      <c r="B1191" s="38">
        <f t="shared" si="217"/>
        <v>1188</v>
      </c>
      <c r="C1191" s="70"/>
      <c r="D1191" s="48" t="s">
        <v>961</v>
      </c>
      <c r="E1191" s="13" t="s">
        <v>932</v>
      </c>
      <c r="F1191" s="13">
        <v>10.0</v>
      </c>
      <c r="G1191" s="35" t="str">
        <f t="shared" ref="G1191:G1198" si="227">IF(C1191&gt;40908,"2012",IF(C1191&gt;40543,"2011",IF(C1191&gt;40178,"2010",IF(C1191&gt;=39814,"2009",IF(C1191&gt;=39448,"2008",IF(C1191&gt;39082,"2007",IF(C1191&lt;38717,"Pre-2006","2006")))))))</f>
        <v>Pre-2006</v>
      </c>
      <c r="H1191" s="71"/>
      <c r="I1191" s="71"/>
      <c r="J1191" s="61"/>
      <c r="K1191" s="62"/>
      <c r="L1191" s="63"/>
      <c r="M1191" s="59" t="str">
        <f t="shared" si="224"/>
        <v>NA</v>
      </c>
      <c r="N1191" s="17"/>
    </row>
    <row r="1192">
      <c r="A1192" s="9"/>
      <c r="B1192" s="38">
        <f t="shared" si="217"/>
        <v>1189</v>
      </c>
      <c r="C1192" s="70"/>
      <c r="D1192" s="48" t="s">
        <v>962</v>
      </c>
      <c r="E1192" s="13" t="s">
        <v>932</v>
      </c>
      <c r="F1192" s="13">
        <v>10.0</v>
      </c>
      <c r="G1192" s="35" t="str">
        <f t="shared" si="227"/>
        <v>Pre-2006</v>
      </c>
      <c r="H1192" s="71"/>
      <c r="I1192" s="71"/>
      <c r="J1192" s="61"/>
      <c r="K1192" s="62"/>
      <c r="L1192" s="63"/>
      <c r="M1192" s="59" t="str">
        <f t="shared" si="224"/>
        <v>NA</v>
      </c>
      <c r="N1192" s="17"/>
    </row>
    <row r="1193">
      <c r="A1193" s="9"/>
      <c r="B1193" s="38">
        <f t="shared" si="217"/>
        <v>1190</v>
      </c>
      <c r="C1193" s="70"/>
      <c r="D1193" s="48" t="s">
        <v>963</v>
      </c>
      <c r="E1193" s="13" t="s">
        <v>932</v>
      </c>
      <c r="F1193" s="13">
        <v>10.0</v>
      </c>
      <c r="G1193" s="35" t="str">
        <f t="shared" si="227"/>
        <v>Pre-2006</v>
      </c>
      <c r="H1193" s="71"/>
      <c r="I1193" s="71"/>
      <c r="J1193" s="61"/>
      <c r="K1193" s="62"/>
      <c r="L1193" s="63"/>
      <c r="M1193" s="59" t="str">
        <f t="shared" si="224"/>
        <v>NA</v>
      </c>
      <c r="N1193" s="17"/>
    </row>
    <row r="1194">
      <c r="A1194" s="9"/>
      <c r="B1194" s="38">
        <f t="shared" si="217"/>
        <v>1191</v>
      </c>
      <c r="C1194" s="70"/>
      <c r="D1194" s="48" t="s">
        <v>964</v>
      </c>
      <c r="E1194" s="13" t="s">
        <v>932</v>
      </c>
      <c r="F1194" s="13">
        <v>10.0</v>
      </c>
      <c r="G1194" s="35" t="str">
        <f t="shared" si="227"/>
        <v>Pre-2006</v>
      </c>
      <c r="H1194" s="71"/>
      <c r="I1194" s="71"/>
      <c r="J1194" s="61"/>
      <c r="K1194" s="62"/>
      <c r="L1194" s="63"/>
      <c r="M1194" s="59" t="str">
        <f t="shared" si="224"/>
        <v>NA</v>
      </c>
      <c r="N1194" s="17"/>
    </row>
    <row r="1195">
      <c r="A1195" s="9"/>
      <c r="B1195" s="38">
        <f t="shared" si="217"/>
        <v>1192</v>
      </c>
      <c r="C1195" s="70"/>
      <c r="D1195" s="48" t="s">
        <v>965</v>
      </c>
      <c r="E1195" s="13" t="s">
        <v>932</v>
      </c>
      <c r="F1195" s="13">
        <v>10.0</v>
      </c>
      <c r="G1195" s="35" t="str">
        <f t="shared" si="227"/>
        <v>Pre-2006</v>
      </c>
      <c r="H1195" s="71"/>
      <c r="I1195" s="71"/>
      <c r="J1195" s="61"/>
      <c r="K1195" s="62"/>
      <c r="L1195" s="63"/>
      <c r="M1195" s="59" t="str">
        <f t="shared" si="224"/>
        <v>NA</v>
      </c>
      <c r="N1195" s="17"/>
    </row>
    <row r="1196">
      <c r="A1196" s="9"/>
      <c r="B1196" s="38">
        <f t="shared" si="217"/>
        <v>1193</v>
      </c>
      <c r="C1196" s="70"/>
      <c r="D1196" s="48" t="s">
        <v>966</v>
      </c>
      <c r="E1196" s="13" t="s">
        <v>932</v>
      </c>
      <c r="F1196" s="13">
        <v>10.0</v>
      </c>
      <c r="G1196" s="35" t="str">
        <f t="shared" si="227"/>
        <v>Pre-2006</v>
      </c>
      <c r="H1196" s="71"/>
      <c r="I1196" s="71"/>
      <c r="J1196" s="61"/>
      <c r="K1196" s="62"/>
      <c r="L1196" s="63"/>
      <c r="M1196" s="59" t="str">
        <f t="shared" si="224"/>
        <v>NA</v>
      </c>
      <c r="N1196" s="17"/>
    </row>
    <row r="1197">
      <c r="A1197" s="9"/>
      <c r="B1197" s="38">
        <f t="shared" si="217"/>
        <v>1194</v>
      </c>
      <c r="C1197" s="70"/>
      <c r="D1197" s="48" t="s">
        <v>967</v>
      </c>
      <c r="E1197" s="13" t="s">
        <v>932</v>
      </c>
      <c r="F1197" s="13">
        <v>10.0</v>
      </c>
      <c r="G1197" s="35" t="str">
        <f t="shared" si="227"/>
        <v>Pre-2006</v>
      </c>
      <c r="H1197" s="71"/>
      <c r="I1197" s="71"/>
      <c r="J1197" s="61"/>
      <c r="K1197" s="62"/>
      <c r="L1197" s="63"/>
      <c r="M1197" s="59" t="str">
        <f t="shared" si="224"/>
        <v>NA</v>
      </c>
      <c r="N1197" s="17"/>
    </row>
    <row r="1198">
      <c r="A1198" s="9"/>
      <c r="B1198" s="38">
        <f t="shared" si="217"/>
        <v>1195</v>
      </c>
      <c r="C1198" s="70"/>
      <c r="D1198" s="48" t="s">
        <v>968</v>
      </c>
      <c r="E1198" s="13" t="s">
        <v>932</v>
      </c>
      <c r="F1198" s="13">
        <v>10.0</v>
      </c>
      <c r="G1198" s="35" t="str">
        <f t="shared" si="227"/>
        <v>Pre-2006</v>
      </c>
      <c r="H1198" s="71"/>
      <c r="I1198" s="71"/>
      <c r="J1198" s="61"/>
      <c r="K1198" s="62"/>
      <c r="L1198" s="63"/>
      <c r="M1198" s="59" t="str">
        <f t="shared" si="224"/>
        <v>NA</v>
      </c>
      <c r="N1198" s="17"/>
    </row>
    <row r="1199">
      <c r="A1199" s="9"/>
      <c r="B1199" s="38">
        <f t="shared" si="217"/>
        <v>1196</v>
      </c>
      <c r="C1199" s="34">
        <v>43426.0</v>
      </c>
      <c r="D1199" s="12" t="str">
        <f>hyperlink("https://www.rottentomatoes.com/m/born_strong","Born Strong")</f>
        <v>Born Strong</v>
      </c>
      <c r="E1199" s="33" t="s">
        <v>932</v>
      </c>
      <c r="F1199" s="33">
        <v>10.0</v>
      </c>
      <c r="G1199" s="36">
        <v>2018.0</v>
      </c>
      <c r="H1199" s="33" t="s">
        <v>58</v>
      </c>
      <c r="I1199" s="33" t="s">
        <v>77</v>
      </c>
      <c r="J1199" s="57">
        <v>2017.0</v>
      </c>
      <c r="K1199" s="82" t="s">
        <v>169</v>
      </c>
      <c r="L1199" s="37">
        <v>85.0</v>
      </c>
      <c r="M1199" s="72" t="s">
        <v>169</v>
      </c>
      <c r="N1199" s="17"/>
    </row>
    <row r="1200">
      <c r="A1200" s="9"/>
      <c r="B1200" s="38">
        <f t="shared" si="217"/>
        <v>1197</v>
      </c>
      <c r="C1200" s="34"/>
      <c r="D1200" s="48" t="s">
        <v>969</v>
      </c>
      <c r="E1200" s="13" t="s">
        <v>932</v>
      </c>
      <c r="F1200" s="13">
        <v>10.0</v>
      </c>
      <c r="G1200" s="35" t="str">
        <f>IF(C1200&gt;40908,"2012",IF(C1200&gt;40543,"2011",IF(C1200&gt;40178,"2010",IF(C1200&gt;=39814,"2009",IF(C1200&gt;=39448,"2008",IF(C1200&gt;39082,"2007",IF(C1200&lt;38717,"Pre-2006","2006")))))))</f>
        <v>Pre-2006</v>
      </c>
      <c r="H1200" s="71"/>
      <c r="I1200" s="71"/>
      <c r="J1200" s="61"/>
      <c r="K1200" s="62"/>
      <c r="L1200" s="63"/>
      <c r="M1200" s="59" t="str">
        <f t="shared" ref="M1200:M1252" si="228">if(iserror(K1200/L1200*100),"NA",K1200/L1200*100)</f>
        <v>NA</v>
      </c>
      <c r="N1200" s="17"/>
    </row>
    <row r="1201">
      <c r="A1201" s="9"/>
      <c r="B1201" s="38">
        <f t="shared" si="217"/>
        <v>1198</v>
      </c>
      <c r="C1201" s="34">
        <v>41266.0</v>
      </c>
      <c r="D1201" s="48" t="s">
        <v>970</v>
      </c>
      <c r="E1201" s="13" t="s">
        <v>932</v>
      </c>
      <c r="F1201" s="13">
        <v>10.0</v>
      </c>
      <c r="G1201" s="13">
        <v>2012.0</v>
      </c>
      <c r="H1201" s="13" t="s">
        <v>25</v>
      </c>
      <c r="I1201" s="13" t="s">
        <v>47</v>
      </c>
      <c r="J1201" s="55">
        <v>2012.0</v>
      </c>
      <c r="K1201" s="56">
        <v>0.56</v>
      </c>
      <c r="L1201" s="14">
        <v>135.0</v>
      </c>
      <c r="M1201" s="16">
        <f t="shared" si="228"/>
        <v>0.4148148148</v>
      </c>
      <c r="N1201" s="17"/>
    </row>
    <row r="1202">
      <c r="A1202" s="9"/>
      <c r="B1202" s="38">
        <f t="shared" si="217"/>
        <v>1199</v>
      </c>
      <c r="C1202" s="34">
        <v>42861.0</v>
      </c>
      <c r="D1202" s="12" t="str">
        <f>hyperlink("https://www.rottentomatoes.com/m/bridget_joness_baby_2016","Bridget Jones's Baby")</f>
        <v>Bridget Jones's Baby</v>
      </c>
      <c r="E1202" s="33" t="s">
        <v>932</v>
      </c>
      <c r="F1202" s="33">
        <v>10.0</v>
      </c>
      <c r="G1202" s="36">
        <v>2017.0</v>
      </c>
      <c r="H1202" s="33" t="s">
        <v>58</v>
      </c>
      <c r="I1202" s="33" t="s">
        <v>77</v>
      </c>
      <c r="J1202" s="57">
        <v>2016.0</v>
      </c>
      <c r="K1202" s="58">
        <v>0.76</v>
      </c>
      <c r="L1202" s="37">
        <v>122.0</v>
      </c>
      <c r="M1202" s="16">
        <f t="shared" si="228"/>
        <v>0.6229508197</v>
      </c>
      <c r="N1202" s="17"/>
    </row>
    <row r="1203">
      <c r="A1203" s="9"/>
      <c r="B1203" s="38">
        <f t="shared" si="217"/>
        <v>1200</v>
      </c>
      <c r="C1203" s="34"/>
      <c r="D1203" s="48" t="s">
        <v>971</v>
      </c>
      <c r="E1203" s="13" t="s">
        <v>932</v>
      </c>
      <c r="F1203" s="13">
        <v>10.0</v>
      </c>
      <c r="G1203" s="35" t="str">
        <f t="shared" ref="G1203:G1205" si="229">IF(C1203&gt;40908,"2012",IF(C1203&gt;40543,"2011",IF(C1203&gt;40178,"2010",IF(C1203&gt;=39814,"2009",IF(C1203&gt;=39448,"2008",IF(C1203&gt;39082,"2007",IF(C1203&lt;38717,"Pre-2006","2006")))))))</f>
        <v>Pre-2006</v>
      </c>
      <c r="H1203" s="71"/>
      <c r="I1203" s="71"/>
      <c r="J1203" s="61"/>
      <c r="K1203" s="62"/>
      <c r="L1203" s="63"/>
      <c r="M1203" s="59" t="str">
        <f t="shared" si="228"/>
        <v>NA</v>
      </c>
      <c r="N1203" s="17"/>
    </row>
    <row r="1204">
      <c r="A1204" s="9"/>
      <c r="B1204" s="38">
        <f t="shared" si="217"/>
        <v>1201</v>
      </c>
      <c r="C1204" s="34"/>
      <c r="D1204" s="48" t="s">
        <v>972</v>
      </c>
      <c r="E1204" s="13" t="s">
        <v>932</v>
      </c>
      <c r="F1204" s="13">
        <v>10.0</v>
      </c>
      <c r="G1204" s="35" t="str">
        <f t="shared" si="229"/>
        <v>Pre-2006</v>
      </c>
      <c r="H1204" s="71"/>
      <c r="I1204" s="71"/>
      <c r="J1204" s="61"/>
      <c r="K1204" s="62"/>
      <c r="L1204" s="63"/>
      <c r="M1204" s="59" t="str">
        <f t="shared" si="228"/>
        <v>NA</v>
      </c>
      <c r="N1204" s="17"/>
    </row>
    <row r="1205">
      <c r="A1205" s="9"/>
      <c r="B1205" s="38">
        <f t="shared" si="217"/>
        <v>1202</v>
      </c>
      <c r="C1205" s="34">
        <v>39172.0</v>
      </c>
      <c r="D1205" s="48" t="s">
        <v>973</v>
      </c>
      <c r="E1205" s="13" t="s">
        <v>932</v>
      </c>
      <c r="F1205" s="13">
        <v>10.0</v>
      </c>
      <c r="G1205" s="35" t="str">
        <f t="shared" si="229"/>
        <v>2007</v>
      </c>
      <c r="H1205" s="71"/>
      <c r="I1205" s="71"/>
      <c r="J1205" s="61"/>
      <c r="K1205" s="62"/>
      <c r="L1205" s="63"/>
      <c r="M1205" s="59" t="str">
        <f t="shared" si="228"/>
        <v>NA</v>
      </c>
      <c r="N1205" s="17"/>
    </row>
    <row r="1206">
      <c r="A1206" s="9"/>
      <c r="B1206" s="38">
        <f t="shared" si="217"/>
        <v>1203</v>
      </c>
      <c r="C1206" s="34">
        <v>42369.0</v>
      </c>
      <c r="D1206" s="12" t="str">
        <f>hyperlink("http://www.rottentomatoes.com/m/bronson/?search=bronson","Bronson")</f>
        <v>Bronson</v>
      </c>
      <c r="E1206" s="33" t="s">
        <v>932</v>
      </c>
      <c r="F1206" s="33">
        <v>10.0</v>
      </c>
      <c r="G1206" s="36">
        <v>2015.0</v>
      </c>
      <c r="H1206" s="33" t="s">
        <v>974</v>
      </c>
      <c r="I1206" s="33" t="s">
        <v>82</v>
      </c>
      <c r="J1206" s="57">
        <v>2009.0</v>
      </c>
      <c r="K1206" s="58">
        <v>0.76</v>
      </c>
      <c r="L1206" s="37">
        <v>92.0</v>
      </c>
      <c r="M1206" s="59">
        <f t="shared" si="228"/>
        <v>0.8260869565</v>
      </c>
      <c r="N1206" s="17"/>
    </row>
    <row r="1207">
      <c r="A1207" s="9"/>
      <c r="B1207" s="38">
        <f t="shared" si="217"/>
        <v>1204</v>
      </c>
      <c r="C1207" s="70"/>
      <c r="D1207" s="48" t="s">
        <v>975</v>
      </c>
      <c r="E1207" s="13" t="s">
        <v>932</v>
      </c>
      <c r="F1207" s="13">
        <v>10.0</v>
      </c>
      <c r="G1207" s="35" t="str">
        <f t="shared" ref="G1207:G1208" si="230">IF(C1207&gt;40908,"2012",IF(C1207&gt;40543,"2011",IF(C1207&gt;40178,"2010",IF(C1207&gt;=39814,"2009",IF(C1207&gt;=39448,"2008",IF(C1207&gt;39082,"2007",IF(C1207&lt;38717,"Pre-2006","2006")))))))</f>
        <v>Pre-2006</v>
      </c>
      <c r="H1207" s="71"/>
      <c r="I1207" s="71"/>
      <c r="J1207" s="61"/>
      <c r="K1207" s="62"/>
      <c r="L1207" s="63"/>
      <c r="M1207" s="59" t="str">
        <f t="shared" si="228"/>
        <v>NA</v>
      </c>
      <c r="N1207" s="17"/>
    </row>
    <row r="1208">
      <c r="A1208" s="9"/>
      <c r="B1208" s="38">
        <f t="shared" si="217"/>
        <v>1205</v>
      </c>
      <c r="C1208" s="70"/>
      <c r="D1208" s="48" t="s">
        <v>976</v>
      </c>
      <c r="E1208" s="13" t="s">
        <v>932</v>
      </c>
      <c r="F1208" s="13">
        <v>10.0</v>
      </c>
      <c r="G1208" s="35" t="str">
        <f t="shared" si="230"/>
        <v>Pre-2006</v>
      </c>
      <c r="H1208" s="71"/>
      <c r="I1208" s="71"/>
      <c r="J1208" s="61"/>
      <c r="K1208" s="62"/>
      <c r="L1208" s="63"/>
      <c r="M1208" s="59" t="str">
        <f t="shared" si="228"/>
        <v>NA</v>
      </c>
      <c r="N1208" s="17"/>
    </row>
    <row r="1209">
      <c r="A1209" s="9"/>
      <c r="B1209" s="38">
        <f t="shared" si="217"/>
        <v>1206</v>
      </c>
      <c r="C1209" s="34">
        <v>43644.0</v>
      </c>
      <c r="D1209" s="95" t="str">
        <f>HYPERLINK("https://rottentomatoes.com/m/captain_marvel","Captain Marvel")</f>
        <v>Captain Marvel</v>
      </c>
      <c r="E1209" s="33" t="s">
        <v>932</v>
      </c>
      <c r="F1209" s="33">
        <v>10.0</v>
      </c>
      <c r="G1209" s="36">
        <v>2019.0</v>
      </c>
      <c r="H1209" s="33" t="s">
        <v>58</v>
      </c>
      <c r="I1209" s="33" t="s">
        <v>47</v>
      </c>
      <c r="J1209" s="57">
        <v>2019.0</v>
      </c>
      <c r="K1209" s="58">
        <v>0.78</v>
      </c>
      <c r="L1209" s="37">
        <v>128.0</v>
      </c>
      <c r="M1209" s="59">
        <f t="shared" si="228"/>
        <v>0.609375</v>
      </c>
      <c r="N1209" s="17"/>
    </row>
    <row r="1210">
      <c r="A1210" s="9"/>
      <c r="B1210" s="38">
        <f t="shared" si="217"/>
        <v>1207</v>
      </c>
      <c r="C1210" s="34">
        <v>44913.0</v>
      </c>
      <c r="D1210" s="12" t="str">
        <f>hyperlink("https://www.rottentomatoes.com/m/carrie_pilby","Carrie Pilby")</f>
        <v>Carrie Pilby</v>
      </c>
      <c r="E1210" s="33" t="s">
        <v>932</v>
      </c>
      <c r="F1210" s="33">
        <v>10.0</v>
      </c>
      <c r="G1210" s="36">
        <v>2022.0</v>
      </c>
      <c r="H1210" s="33" t="s">
        <v>977</v>
      </c>
      <c r="I1210" s="33" t="s">
        <v>77</v>
      </c>
      <c r="J1210" s="57">
        <v>2016.0</v>
      </c>
      <c r="K1210" s="58">
        <v>0.63</v>
      </c>
      <c r="L1210" s="37">
        <v>98.0</v>
      </c>
      <c r="M1210" s="59">
        <f t="shared" si="228"/>
        <v>0.6428571429</v>
      </c>
      <c r="N1210" s="17"/>
    </row>
    <row r="1211">
      <c r="A1211" s="9"/>
      <c r="B1211" s="38">
        <f t="shared" si="217"/>
        <v>1208</v>
      </c>
      <c r="C1211" s="34">
        <v>43279.0</v>
      </c>
      <c r="D1211" s="12" t="str">
        <f>hyperlink("https://www.rottentomatoes.com/m/cars_2","Cars 2")</f>
        <v>Cars 2</v>
      </c>
      <c r="E1211" s="33" t="s">
        <v>932</v>
      </c>
      <c r="F1211" s="33">
        <v>10.0</v>
      </c>
      <c r="G1211" s="36">
        <v>2018.0</v>
      </c>
      <c r="H1211" s="33" t="s">
        <v>58</v>
      </c>
      <c r="I1211" s="33" t="s">
        <v>47</v>
      </c>
      <c r="J1211" s="57">
        <v>2011.0</v>
      </c>
      <c r="K1211" s="58">
        <v>0.39</v>
      </c>
      <c r="L1211" s="37">
        <v>112.0</v>
      </c>
      <c r="M1211" s="59">
        <f t="shared" si="228"/>
        <v>0.3482142857</v>
      </c>
      <c r="N1211" s="17"/>
    </row>
    <row r="1212">
      <c r="A1212" s="9"/>
      <c r="B1212" s="38">
        <f t="shared" si="217"/>
        <v>1209</v>
      </c>
      <c r="C1212" s="70"/>
      <c r="D1212" s="48" t="s">
        <v>978</v>
      </c>
      <c r="E1212" s="13" t="s">
        <v>932</v>
      </c>
      <c r="F1212" s="13">
        <v>10.0</v>
      </c>
      <c r="G1212" s="35" t="str">
        <f t="shared" ref="G1212:G1217" si="231">IF(C1212&gt;40908,"2012",IF(C1212&gt;40543,"2011",IF(C1212&gt;40178,"2010",IF(C1212&gt;=39814,"2009",IF(C1212&gt;=39448,"2008",IF(C1212&gt;39082,"2007",IF(C1212&lt;38717,"Pre-2006","2006")))))))</f>
        <v>Pre-2006</v>
      </c>
      <c r="H1212" s="71"/>
      <c r="I1212" s="71"/>
      <c r="J1212" s="61"/>
      <c r="K1212" s="62"/>
      <c r="L1212" s="63"/>
      <c r="M1212" s="59" t="str">
        <f t="shared" si="228"/>
        <v>NA</v>
      </c>
      <c r="N1212" s="17"/>
    </row>
    <row r="1213">
      <c r="A1213" s="9"/>
      <c r="B1213" s="38">
        <f t="shared" si="217"/>
        <v>1210</v>
      </c>
      <c r="C1213" s="70"/>
      <c r="D1213" s="48" t="s">
        <v>979</v>
      </c>
      <c r="E1213" s="13" t="s">
        <v>932</v>
      </c>
      <c r="F1213" s="13">
        <v>10.0</v>
      </c>
      <c r="G1213" s="35" t="str">
        <f t="shared" si="231"/>
        <v>Pre-2006</v>
      </c>
      <c r="H1213" s="71"/>
      <c r="I1213" s="71"/>
      <c r="J1213" s="61"/>
      <c r="K1213" s="62"/>
      <c r="L1213" s="63"/>
      <c r="M1213" s="59" t="str">
        <f t="shared" si="228"/>
        <v>NA</v>
      </c>
      <c r="N1213" s="17"/>
    </row>
    <row r="1214">
      <c r="A1214" s="9"/>
      <c r="B1214" s="38">
        <f t="shared" si="217"/>
        <v>1211</v>
      </c>
      <c r="C1214" s="70"/>
      <c r="D1214" s="48" t="s">
        <v>980</v>
      </c>
      <c r="E1214" s="13" t="s">
        <v>932</v>
      </c>
      <c r="F1214" s="13">
        <v>10.0</v>
      </c>
      <c r="G1214" s="35" t="str">
        <f t="shared" si="231"/>
        <v>Pre-2006</v>
      </c>
      <c r="H1214" s="71"/>
      <c r="I1214" s="71"/>
      <c r="J1214" s="61"/>
      <c r="K1214" s="62"/>
      <c r="L1214" s="63"/>
      <c r="M1214" s="59" t="str">
        <f t="shared" si="228"/>
        <v>NA</v>
      </c>
      <c r="N1214" s="17"/>
    </row>
    <row r="1215">
      <c r="A1215" s="9"/>
      <c r="B1215" s="38">
        <f t="shared" si="217"/>
        <v>1212</v>
      </c>
      <c r="C1215" s="70"/>
      <c r="D1215" s="48" t="s">
        <v>981</v>
      </c>
      <c r="E1215" s="13" t="s">
        <v>932</v>
      </c>
      <c r="F1215" s="13">
        <v>10.0</v>
      </c>
      <c r="G1215" s="35" t="str">
        <f t="shared" si="231"/>
        <v>Pre-2006</v>
      </c>
      <c r="H1215" s="71"/>
      <c r="I1215" s="71"/>
      <c r="J1215" s="61"/>
      <c r="K1215" s="62"/>
      <c r="L1215" s="63"/>
      <c r="M1215" s="59" t="str">
        <f t="shared" si="228"/>
        <v>NA</v>
      </c>
      <c r="N1215" s="17"/>
    </row>
    <row r="1216">
      <c r="A1216" s="9"/>
      <c r="B1216" s="38">
        <f t="shared" si="217"/>
        <v>1213</v>
      </c>
      <c r="C1216" s="70"/>
      <c r="D1216" s="48" t="s">
        <v>982</v>
      </c>
      <c r="E1216" s="13" t="s">
        <v>932</v>
      </c>
      <c r="F1216" s="13">
        <v>10.0</v>
      </c>
      <c r="G1216" s="35" t="str">
        <f t="shared" si="231"/>
        <v>Pre-2006</v>
      </c>
      <c r="H1216" s="71"/>
      <c r="I1216" s="71"/>
      <c r="J1216" s="61"/>
      <c r="K1216" s="62"/>
      <c r="L1216" s="63"/>
      <c r="M1216" s="59" t="str">
        <f t="shared" si="228"/>
        <v>NA</v>
      </c>
      <c r="N1216" s="17"/>
    </row>
    <row r="1217">
      <c r="A1217" s="9"/>
      <c r="B1217" s="38">
        <f t="shared" si="217"/>
        <v>1214</v>
      </c>
      <c r="C1217" s="70"/>
      <c r="D1217" s="48" t="s">
        <v>983</v>
      </c>
      <c r="E1217" s="13" t="s">
        <v>932</v>
      </c>
      <c r="F1217" s="13">
        <v>10.0</v>
      </c>
      <c r="G1217" s="35" t="str">
        <f t="shared" si="231"/>
        <v>Pre-2006</v>
      </c>
      <c r="H1217" s="71"/>
      <c r="I1217" s="71"/>
      <c r="J1217" s="61"/>
      <c r="K1217" s="62"/>
      <c r="L1217" s="63"/>
      <c r="M1217" s="59" t="str">
        <f t="shared" si="228"/>
        <v>NA</v>
      </c>
      <c r="N1217" s="17"/>
    </row>
    <row r="1218">
      <c r="A1218" s="9"/>
      <c r="B1218" s="38">
        <f t="shared" si="217"/>
        <v>1215</v>
      </c>
      <c r="C1218" s="34">
        <v>45474.0</v>
      </c>
      <c r="D1218" s="96" t="s">
        <v>984</v>
      </c>
      <c r="E1218" s="33" t="s">
        <v>932</v>
      </c>
      <c r="F1218" s="33">
        <v>10.0</v>
      </c>
      <c r="G1218" s="36">
        <v>2024.0</v>
      </c>
      <c r="H1218" s="33" t="s">
        <v>58</v>
      </c>
      <c r="I1218" s="33" t="s">
        <v>279</v>
      </c>
      <c r="J1218" s="57">
        <v>1983.0</v>
      </c>
      <c r="K1218" s="58">
        <v>0.29</v>
      </c>
      <c r="L1218" s="37">
        <v>98.0</v>
      </c>
      <c r="M1218" s="16">
        <f t="shared" si="228"/>
        <v>0.2959183673</v>
      </c>
      <c r="N1218" s="17"/>
    </row>
    <row r="1219">
      <c r="A1219" s="9"/>
      <c r="B1219" s="38">
        <f>B1217+1</f>
        <v>1215</v>
      </c>
      <c r="C1219" s="70"/>
      <c r="D1219" s="48" t="s">
        <v>985</v>
      </c>
      <c r="E1219" s="13" t="s">
        <v>932</v>
      </c>
      <c r="F1219" s="13">
        <v>10.0</v>
      </c>
      <c r="G1219" s="35" t="str">
        <f t="shared" ref="G1219:G1225" si="232">IF(C1219&gt;40908,"2012",IF(C1219&gt;40543,"2011",IF(C1219&gt;40178,"2010",IF(C1219&gt;=39814,"2009",IF(C1219&gt;=39448,"2008",IF(C1219&gt;39082,"2007",IF(C1219&lt;38717,"Pre-2006","2006")))))))</f>
        <v>Pre-2006</v>
      </c>
      <c r="H1219" s="71"/>
      <c r="I1219" s="71"/>
      <c r="J1219" s="61"/>
      <c r="K1219" s="62"/>
      <c r="L1219" s="63"/>
      <c r="M1219" s="59" t="str">
        <f t="shared" si="228"/>
        <v>NA</v>
      </c>
      <c r="N1219" s="17"/>
    </row>
    <row r="1220">
      <c r="A1220" s="9"/>
      <c r="B1220" s="38">
        <f t="shared" ref="B1220:B1732" si="233">B1219+1</f>
        <v>1216</v>
      </c>
      <c r="C1220" s="34">
        <v>39583.0</v>
      </c>
      <c r="D1220" s="48" t="s">
        <v>986</v>
      </c>
      <c r="E1220" s="13" t="s">
        <v>932</v>
      </c>
      <c r="F1220" s="13">
        <v>10.0</v>
      </c>
      <c r="G1220" s="35" t="str">
        <f t="shared" si="232"/>
        <v>2008</v>
      </c>
      <c r="H1220" s="13" t="s">
        <v>873</v>
      </c>
      <c r="I1220" s="13" t="s">
        <v>511</v>
      </c>
      <c r="J1220" s="14">
        <v>2005.0</v>
      </c>
      <c r="K1220" s="15">
        <v>0.63</v>
      </c>
      <c r="L1220" s="14">
        <v>136.0</v>
      </c>
      <c r="M1220" s="16">
        <f t="shared" si="228"/>
        <v>0.4632352941</v>
      </c>
      <c r="N1220" s="17"/>
    </row>
    <row r="1221">
      <c r="A1221" s="9"/>
      <c r="B1221" s="38">
        <f t="shared" si="233"/>
        <v>1217</v>
      </c>
      <c r="C1221" s="70"/>
      <c r="D1221" s="48" t="s">
        <v>987</v>
      </c>
      <c r="E1221" s="13" t="s">
        <v>932</v>
      </c>
      <c r="F1221" s="13">
        <v>10.0</v>
      </c>
      <c r="G1221" s="35" t="str">
        <f t="shared" si="232"/>
        <v>Pre-2006</v>
      </c>
      <c r="H1221" s="71"/>
      <c r="I1221" s="71"/>
      <c r="J1221" s="61"/>
      <c r="K1221" s="62"/>
      <c r="L1221" s="63"/>
      <c r="M1221" s="59" t="str">
        <f t="shared" si="228"/>
        <v>NA</v>
      </c>
      <c r="N1221" s="17"/>
    </row>
    <row r="1222">
      <c r="A1222" s="9"/>
      <c r="B1222" s="38">
        <f t="shared" si="233"/>
        <v>1218</v>
      </c>
      <c r="C1222" s="70"/>
      <c r="D1222" s="48" t="s">
        <v>988</v>
      </c>
      <c r="E1222" s="13" t="s">
        <v>932</v>
      </c>
      <c r="F1222" s="13">
        <v>10.0</v>
      </c>
      <c r="G1222" s="35" t="str">
        <f t="shared" si="232"/>
        <v>Pre-2006</v>
      </c>
      <c r="H1222" s="71"/>
      <c r="I1222" s="71"/>
      <c r="J1222" s="61"/>
      <c r="K1222" s="62"/>
      <c r="L1222" s="63"/>
      <c r="M1222" s="59" t="str">
        <f t="shared" si="228"/>
        <v>NA</v>
      </c>
      <c r="N1222" s="17"/>
    </row>
    <row r="1223">
      <c r="A1223" s="9"/>
      <c r="B1223" s="38">
        <f t="shared" si="233"/>
        <v>1219</v>
      </c>
      <c r="C1223" s="70"/>
      <c r="D1223" s="48" t="s">
        <v>989</v>
      </c>
      <c r="E1223" s="13" t="s">
        <v>932</v>
      </c>
      <c r="F1223" s="13">
        <v>10.0</v>
      </c>
      <c r="G1223" s="35" t="str">
        <f t="shared" si="232"/>
        <v>Pre-2006</v>
      </c>
      <c r="H1223" s="71"/>
      <c r="I1223" s="71"/>
      <c r="J1223" s="61"/>
      <c r="K1223" s="62"/>
      <c r="L1223" s="63"/>
      <c r="M1223" s="59" t="str">
        <f t="shared" si="228"/>
        <v>NA</v>
      </c>
      <c r="N1223" s="17"/>
    </row>
    <row r="1224">
      <c r="A1224" s="9"/>
      <c r="B1224" s="38">
        <f t="shared" si="233"/>
        <v>1220</v>
      </c>
      <c r="C1224" s="70"/>
      <c r="D1224" s="48" t="s">
        <v>990</v>
      </c>
      <c r="E1224" s="13" t="s">
        <v>932</v>
      </c>
      <c r="F1224" s="13">
        <v>10.0</v>
      </c>
      <c r="G1224" s="35" t="str">
        <f t="shared" si="232"/>
        <v>Pre-2006</v>
      </c>
      <c r="H1224" s="71"/>
      <c r="I1224" s="71"/>
      <c r="J1224" s="61"/>
      <c r="K1224" s="62"/>
      <c r="L1224" s="63"/>
      <c r="M1224" s="59" t="str">
        <f t="shared" si="228"/>
        <v>NA</v>
      </c>
      <c r="N1224" s="17"/>
    </row>
    <row r="1225">
      <c r="A1225" s="9"/>
      <c r="B1225" s="38">
        <f t="shared" si="233"/>
        <v>1221</v>
      </c>
      <c r="C1225" s="34">
        <v>39681.0</v>
      </c>
      <c r="D1225" s="48" t="s">
        <v>991</v>
      </c>
      <c r="E1225" s="13" t="s">
        <v>932</v>
      </c>
      <c r="F1225" s="13">
        <v>10.0</v>
      </c>
      <c r="G1225" s="35" t="str">
        <f t="shared" si="232"/>
        <v>2008</v>
      </c>
      <c r="H1225" s="13" t="s">
        <v>155</v>
      </c>
      <c r="I1225" s="13" t="s">
        <v>47</v>
      </c>
      <c r="J1225" s="14">
        <v>1967.0</v>
      </c>
      <c r="K1225" s="15">
        <v>1.0</v>
      </c>
      <c r="L1225" s="14">
        <v>127.0</v>
      </c>
      <c r="M1225" s="16">
        <f t="shared" si="228"/>
        <v>0.7874015748</v>
      </c>
      <c r="N1225" s="17"/>
    </row>
    <row r="1226">
      <c r="A1226" s="9"/>
      <c r="B1226" s="38">
        <f t="shared" si="233"/>
        <v>1222</v>
      </c>
      <c r="C1226" s="34">
        <v>41130.0</v>
      </c>
      <c r="D1226" s="12" t="str">
        <f>hyperlink("https://www.rottentomatoes.com/m/courage_under_fire","Courage Under Fire")</f>
        <v>Courage Under Fire</v>
      </c>
      <c r="E1226" s="33" t="s">
        <v>932</v>
      </c>
      <c r="F1226" s="33">
        <v>10.0</v>
      </c>
      <c r="G1226" s="36">
        <v>2022.0</v>
      </c>
      <c r="H1226" s="33" t="s">
        <v>58</v>
      </c>
      <c r="I1226" s="33" t="s">
        <v>47</v>
      </c>
      <c r="J1226" s="57">
        <v>1996.0</v>
      </c>
      <c r="K1226" s="58">
        <v>0.86</v>
      </c>
      <c r="L1226" s="37">
        <v>115.0</v>
      </c>
      <c r="M1226" s="16">
        <f t="shared" si="228"/>
        <v>0.747826087</v>
      </c>
      <c r="N1226" s="17"/>
    </row>
    <row r="1227">
      <c r="A1227" s="9"/>
      <c r="B1227" s="38">
        <f t="shared" si="233"/>
        <v>1223</v>
      </c>
      <c r="C1227" s="70"/>
      <c r="D1227" s="48" t="s">
        <v>992</v>
      </c>
      <c r="E1227" s="13" t="s">
        <v>932</v>
      </c>
      <c r="F1227" s="13">
        <v>10.0</v>
      </c>
      <c r="G1227" s="35" t="str">
        <f t="shared" ref="G1227:G1235" si="234">IF(C1227&gt;40908,"2012",IF(C1227&gt;40543,"2011",IF(C1227&gt;40178,"2010",IF(C1227&gt;=39814,"2009",IF(C1227&gt;=39448,"2008",IF(C1227&gt;39082,"2007",IF(C1227&lt;38717,"Pre-2006","2006")))))))</f>
        <v>Pre-2006</v>
      </c>
      <c r="H1227" s="71"/>
      <c r="I1227" s="71"/>
      <c r="J1227" s="61"/>
      <c r="K1227" s="62"/>
      <c r="L1227" s="63"/>
      <c r="M1227" s="59" t="str">
        <f t="shared" si="228"/>
        <v>NA</v>
      </c>
      <c r="N1227" s="17"/>
    </row>
    <row r="1228">
      <c r="A1228" s="9"/>
      <c r="B1228" s="38">
        <f t="shared" si="233"/>
        <v>1224</v>
      </c>
      <c r="C1228" s="97"/>
      <c r="D1228" s="48" t="s">
        <v>993</v>
      </c>
      <c r="E1228" s="13" t="s">
        <v>932</v>
      </c>
      <c r="F1228" s="13">
        <v>10.0</v>
      </c>
      <c r="G1228" s="35" t="str">
        <f t="shared" si="234"/>
        <v>Pre-2006</v>
      </c>
      <c r="H1228" s="71"/>
      <c r="I1228" s="71"/>
      <c r="J1228" s="61"/>
      <c r="K1228" s="62"/>
      <c r="L1228" s="63"/>
      <c r="M1228" s="59" t="str">
        <f t="shared" si="228"/>
        <v>NA</v>
      </c>
      <c r="N1228" s="17"/>
    </row>
    <row r="1229">
      <c r="A1229" s="9"/>
      <c r="B1229" s="38">
        <f t="shared" si="233"/>
        <v>1225</v>
      </c>
      <c r="C1229" s="70"/>
      <c r="D1229" s="48" t="s">
        <v>994</v>
      </c>
      <c r="E1229" s="13" t="s">
        <v>932</v>
      </c>
      <c r="F1229" s="13">
        <v>10.0</v>
      </c>
      <c r="G1229" s="35" t="str">
        <f t="shared" si="234"/>
        <v>Pre-2006</v>
      </c>
      <c r="H1229" s="71"/>
      <c r="I1229" s="71"/>
      <c r="J1229" s="61"/>
      <c r="K1229" s="62"/>
      <c r="L1229" s="63"/>
      <c r="M1229" s="59" t="str">
        <f t="shared" si="228"/>
        <v>NA</v>
      </c>
      <c r="N1229" s="17"/>
    </row>
    <row r="1230">
      <c r="A1230" s="9"/>
      <c r="B1230" s="38">
        <f t="shared" si="233"/>
        <v>1226</v>
      </c>
      <c r="C1230" s="70"/>
      <c r="D1230" s="48" t="s">
        <v>995</v>
      </c>
      <c r="E1230" s="13" t="s">
        <v>932</v>
      </c>
      <c r="F1230" s="13">
        <v>10.0</v>
      </c>
      <c r="G1230" s="35" t="str">
        <f t="shared" si="234"/>
        <v>Pre-2006</v>
      </c>
      <c r="H1230" s="71"/>
      <c r="I1230" s="71"/>
      <c r="J1230" s="61"/>
      <c r="K1230" s="62"/>
      <c r="L1230" s="63"/>
      <c r="M1230" s="59" t="str">
        <f t="shared" si="228"/>
        <v>NA</v>
      </c>
      <c r="N1230" s="17"/>
    </row>
    <row r="1231">
      <c r="A1231" s="9"/>
      <c r="B1231" s="38">
        <f t="shared" si="233"/>
        <v>1227</v>
      </c>
      <c r="C1231" s="70"/>
      <c r="D1231" s="48" t="s">
        <v>996</v>
      </c>
      <c r="E1231" s="13" t="s">
        <v>932</v>
      </c>
      <c r="F1231" s="13">
        <v>10.0</v>
      </c>
      <c r="G1231" s="35" t="str">
        <f t="shared" si="234"/>
        <v>Pre-2006</v>
      </c>
      <c r="H1231" s="71"/>
      <c r="I1231" s="71"/>
      <c r="J1231" s="61"/>
      <c r="K1231" s="62"/>
      <c r="L1231" s="63"/>
      <c r="M1231" s="59" t="str">
        <f t="shared" si="228"/>
        <v>NA</v>
      </c>
      <c r="N1231" s="17"/>
    </row>
    <row r="1232">
      <c r="A1232" s="9"/>
      <c r="B1232" s="38">
        <f t="shared" si="233"/>
        <v>1228</v>
      </c>
      <c r="C1232" s="34">
        <v>40744.0</v>
      </c>
      <c r="D1232" s="48" t="s">
        <v>997</v>
      </c>
      <c r="E1232" s="13" t="s">
        <v>932</v>
      </c>
      <c r="F1232" s="13">
        <v>10.0</v>
      </c>
      <c r="G1232" s="35" t="str">
        <f t="shared" si="234"/>
        <v>2011</v>
      </c>
      <c r="H1232" s="13" t="s">
        <v>58</v>
      </c>
      <c r="I1232" s="13" t="s">
        <v>47</v>
      </c>
      <c r="J1232" s="14">
        <v>1990.0</v>
      </c>
      <c r="K1232" s="15">
        <v>0.78</v>
      </c>
      <c r="L1232" s="14">
        <v>181.0</v>
      </c>
      <c r="M1232" s="16">
        <f t="shared" si="228"/>
        <v>0.4309392265</v>
      </c>
      <c r="N1232" s="17"/>
    </row>
    <row r="1233">
      <c r="A1233" s="9"/>
      <c r="B1233" s="38">
        <f t="shared" si="233"/>
        <v>1229</v>
      </c>
      <c r="C1233" s="70"/>
      <c r="D1233" s="48" t="s">
        <v>998</v>
      </c>
      <c r="E1233" s="13" t="s">
        <v>932</v>
      </c>
      <c r="F1233" s="13">
        <v>10.0</v>
      </c>
      <c r="G1233" s="35" t="str">
        <f t="shared" si="234"/>
        <v>Pre-2006</v>
      </c>
      <c r="H1233" s="71"/>
      <c r="I1233" s="71"/>
      <c r="J1233" s="61"/>
      <c r="K1233" s="62"/>
      <c r="L1233" s="63"/>
      <c r="M1233" s="59" t="str">
        <f t="shared" si="228"/>
        <v>NA</v>
      </c>
      <c r="N1233" s="17"/>
    </row>
    <row r="1234">
      <c r="A1234" s="9"/>
      <c r="B1234" s="38">
        <f t="shared" si="233"/>
        <v>1230</v>
      </c>
      <c r="C1234" s="34">
        <v>40634.0</v>
      </c>
      <c r="D1234" s="48" t="s">
        <v>999</v>
      </c>
      <c r="E1234" s="13" t="s">
        <v>932</v>
      </c>
      <c r="F1234" s="13">
        <v>10.0</v>
      </c>
      <c r="G1234" s="35" t="str">
        <f t="shared" si="234"/>
        <v>2011</v>
      </c>
      <c r="H1234" s="13" t="s">
        <v>58</v>
      </c>
      <c r="I1234" s="13" t="s">
        <v>47</v>
      </c>
      <c r="J1234" s="14">
        <v>2010.0</v>
      </c>
      <c r="K1234" s="15">
        <v>0.67</v>
      </c>
      <c r="L1234" s="14">
        <v>88.0</v>
      </c>
      <c r="M1234" s="16">
        <f t="shared" si="228"/>
        <v>0.7613636364</v>
      </c>
      <c r="N1234" s="17"/>
    </row>
    <row r="1235">
      <c r="A1235" s="9"/>
      <c r="B1235" s="38">
        <f t="shared" si="233"/>
        <v>1231</v>
      </c>
      <c r="C1235" s="34">
        <v>39056.0</v>
      </c>
      <c r="D1235" s="48" t="s">
        <v>1000</v>
      </c>
      <c r="E1235" s="13" t="s">
        <v>932</v>
      </c>
      <c r="F1235" s="13">
        <v>10.0</v>
      </c>
      <c r="G1235" s="35" t="str">
        <f t="shared" si="234"/>
        <v>2006</v>
      </c>
      <c r="H1235" s="71"/>
      <c r="I1235" s="71"/>
      <c r="J1235" s="61"/>
      <c r="K1235" s="62"/>
      <c r="L1235" s="63"/>
      <c r="M1235" s="59" t="str">
        <f t="shared" si="228"/>
        <v>NA</v>
      </c>
      <c r="N1235" s="17"/>
    </row>
    <row r="1236">
      <c r="A1236" s="9"/>
      <c r="B1236" s="38">
        <f t="shared" si="233"/>
        <v>1232</v>
      </c>
      <c r="C1236" s="34">
        <v>42883.0</v>
      </c>
      <c r="D1236" s="64" t="s">
        <v>1001</v>
      </c>
      <c r="E1236" s="33" t="s">
        <v>932</v>
      </c>
      <c r="F1236" s="33">
        <v>10.0</v>
      </c>
      <c r="G1236" s="36">
        <v>2017.0</v>
      </c>
      <c r="H1236" s="33" t="s">
        <v>58</v>
      </c>
      <c r="I1236" s="33" t="s">
        <v>47</v>
      </c>
      <c r="J1236" s="57">
        <v>2016.0</v>
      </c>
      <c r="K1236" s="82" t="s">
        <v>169</v>
      </c>
      <c r="L1236" s="37" t="s">
        <v>169</v>
      </c>
      <c r="M1236" s="72" t="str">
        <f t="shared" si="228"/>
        <v>NA</v>
      </c>
      <c r="N1236" s="17"/>
    </row>
    <row r="1237">
      <c r="A1237" s="9"/>
      <c r="B1237" s="38">
        <f t="shared" si="233"/>
        <v>1233</v>
      </c>
      <c r="C1237" s="34">
        <v>44545.0</v>
      </c>
      <c r="D1237" s="48" t="s">
        <v>1002</v>
      </c>
      <c r="E1237" s="13" t="s">
        <v>932</v>
      </c>
      <c r="F1237" s="13">
        <v>10.0</v>
      </c>
      <c r="G1237" s="36">
        <v>2021.0</v>
      </c>
      <c r="H1237" s="33" t="s">
        <v>58</v>
      </c>
      <c r="I1237" s="33" t="s">
        <v>77</v>
      </c>
      <c r="J1237" s="57">
        <v>1990.0</v>
      </c>
      <c r="K1237" s="58">
        <v>0.38</v>
      </c>
      <c r="L1237" s="37">
        <v>107.0</v>
      </c>
      <c r="M1237" s="59">
        <f t="shared" si="228"/>
        <v>0.3551401869</v>
      </c>
      <c r="N1237" s="17"/>
    </row>
    <row r="1238">
      <c r="A1238" s="9"/>
      <c r="B1238" s="38">
        <f t="shared" si="233"/>
        <v>1234</v>
      </c>
      <c r="C1238" s="34"/>
      <c r="D1238" s="48" t="s">
        <v>1003</v>
      </c>
      <c r="E1238" s="13" t="s">
        <v>932</v>
      </c>
      <c r="F1238" s="13">
        <v>10.0</v>
      </c>
      <c r="G1238" s="35" t="str">
        <f t="shared" ref="G1238:G1242" si="235">IF(C1238&gt;40908,"2012",IF(C1238&gt;40543,"2011",IF(C1238&gt;40178,"2010",IF(C1238&gt;=39814,"2009",IF(C1238&gt;=39448,"2008",IF(C1238&gt;39082,"2007",IF(C1238&lt;38717,"Pre-2006","2006")))))))</f>
        <v>Pre-2006</v>
      </c>
      <c r="H1238" s="71"/>
      <c r="I1238" s="71"/>
      <c r="J1238" s="61"/>
      <c r="K1238" s="62"/>
      <c r="L1238" s="63"/>
      <c r="M1238" s="59" t="str">
        <f t="shared" si="228"/>
        <v>NA</v>
      </c>
      <c r="N1238" s="17"/>
    </row>
    <row r="1239">
      <c r="A1239" s="9"/>
      <c r="B1239" s="38">
        <f t="shared" si="233"/>
        <v>1235</v>
      </c>
      <c r="C1239" s="34"/>
      <c r="D1239" s="48" t="s">
        <v>1004</v>
      </c>
      <c r="E1239" s="13" t="s">
        <v>932</v>
      </c>
      <c r="F1239" s="13">
        <v>10.0</v>
      </c>
      <c r="G1239" s="35" t="str">
        <f t="shared" si="235"/>
        <v>Pre-2006</v>
      </c>
      <c r="H1239" s="71"/>
      <c r="I1239" s="71"/>
      <c r="J1239" s="61"/>
      <c r="K1239" s="62"/>
      <c r="L1239" s="63"/>
      <c r="M1239" s="59" t="str">
        <f t="shared" si="228"/>
        <v>NA</v>
      </c>
      <c r="N1239" s="17"/>
    </row>
    <row r="1240">
      <c r="A1240" s="9"/>
      <c r="B1240" s="38">
        <f t="shared" si="233"/>
        <v>1236</v>
      </c>
      <c r="C1240" s="34"/>
      <c r="D1240" s="48" t="s">
        <v>1005</v>
      </c>
      <c r="E1240" s="13" t="s">
        <v>932</v>
      </c>
      <c r="F1240" s="13">
        <v>10.0</v>
      </c>
      <c r="G1240" s="35" t="str">
        <f t="shared" si="235"/>
        <v>Pre-2006</v>
      </c>
      <c r="H1240" s="71"/>
      <c r="I1240" s="71"/>
      <c r="J1240" s="61"/>
      <c r="K1240" s="62"/>
      <c r="L1240" s="63"/>
      <c r="M1240" s="59" t="str">
        <f t="shared" si="228"/>
        <v>NA</v>
      </c>
      <c r="N1240" s="17"/>
    </row>
    <row r="1241">
      <c r="A1241" s="9"/>
      <c r="B1241" s="38">
        <f t="shared" si="233"/>
        <v>1237</v>
      </c>
      <c r="C1241" s="34"/>
      <c r="D1241" s="48" t="s">
        <v>1006</v>
      </c>
      <c r="E1241" s="13" t="s">
        <v>932</v>
      </c>
      <c r="F1241" s="13">
        <v>10.0</v>
      </c>
      <c r="G1241" s="35" t="str">
        <f t="shared" si="235"/>
        <v>Pre-2006</v>
      </c>
      <c r="H1241" s="71"/>
      <c r="I1241" s="71"/>
      <c r="J1241" s="61"/>
      <c r="K1241" s="62"/>
      <c r="L1241" s="63"/>
      <c r="M1241" s="59" t="str">
        <f t="shared" si="228"/>
        <v>NA</v>
      </c>
      <c r="N1241" s="17"/>
    </row>
    <row r="1242">
      <c r="A1242" s="9"/>
      <c r="B1242" s="38">
        <f t="shared" si="233"/>
        <v>1238</v>
      </c>
      <c r="C1242" s="34"/>
      <c r="D1242" s="48" t="s">
        <v>1007</v>
      </c>
      <c r="E1242" s="13" t="s">
        <v>932</v>
      </c>
      <c r="F1242" s="13">
        <v>10.0</v>
      </c>
      <c r="G1242" s="35" t="str">
        <f t="shared" si="235"/>
        <v>Pre-2006</v>
      </c>
      <c r="H1242" s="71"/>
      <c r="I1242" s="71"/>
      <c r="J1242" s="61"/>
      <c r="K1242" s="62"/>
      <c r="L1242" s="63"/>
      <c r="M1242" s="59" t="str">
        <f t="shared" si="228"/>
        <v>NA</v>
      </c>
      <c r="N1242" s="17"/>
    </row>
    <row r="1243">
      <c r="A1243" s="9"/>
      <c r="B1243" s="38">
        <f t="shared" si="233"/>
        <v>1239</v>
      </c>
      <c r="C1243" s="34">
        <v>44848.0</v>
      </c>
      <c r="D1243" s="12" t="str">
        <f>hyperlink("https://www.rottentomatoes.com/m/do_revenge","Do Revenge")</f>
        <v>Do Revenge</v>
      </c>
      <c r="E1243" s="33" t="s">
        <v>932</v>
      </c>
      <c r="F1243" s="33">
        <v>10.0</v>
      </c>
      <c r="G1243" s="36">
        <v>2022.0</v>
      </c>
      <c r="H1243" s="33" t="s">
        <v>58</v>
      </c>
      <c r="I1243" s="33" t="s">
        <v>77</v>
      </c>
      <c r="J1243" s="57">
        <v>2022.0</v>
      </c>
      <c r="K1243" s="58">
        <v>0.84</v>
      </c>
      <c r="L1243" s="37">
        <v>118.0</v>
      </c>
      <c r="M1243" s="59">
        <f t="shared" si="228"/>
        <v>0.7118644068</v>
      </c>
      <c r="N1243" s="17"/>
    </row>
    <row r="1244">
      <c r="A1244" s="9"/>
      <c r="B1244" s="38">
        <f t="shared" si="233"/>
        <v>1240</v>
      </c>
      <c r="C1244" s="70"/>
      <c r="D1244" s="48" t="s">
        <v>1008</v>
      </c>
      <c r="E1244" s="13" t="s">
        <v>932</v>
      </c>
      <c r="F1244" s="13">
        <v>10.0</v>
      </c>
      <c r="G1244" s="35" t="str">
        <f>IF(C1244&gt;40908,"2012",IF(C1244&gt;40543,"2011",IF(C1244&gt;40178,"2010",IF(C1244&gt;=39814,"2009",IF(C1244&gt;=39448,"2008",IF(C1244&gt;39082,"2007",IF(C1244&lt;38717,"Pre-2006","2006")))))))</f>
        <v>Pre-2006</v>
      </c>
      <c r="H1244" s="71"/>
      <c r="I1244" s="71"/>
      <c r="J1244" s="61"/>
      <c r="K1244" s="62"/>
      <c r="L1244" s="63"/>
      <c r="M1244" s="59" t="str">
        <f t="shared" si="228"/>
        <v>NA</v>
      </c>
      <c r="N1244" s="17"/>
    </row>
    <row r="1245">
      <c r="A1245" s="9"/>
      <c r="B1245" s="38">
        <f t="shared" si="233"/>
        <v>1241</v>
      </c>
      <c r="C1245" s="75">
        <v>42893.0</v>
      </c>
      <c r="D1245" s="12" t="str">
        <f>hyperlink("https://www.rottentomatoes.com/m/doctor_strange_2016","Doctor Strange")</f>
        <v>Doctor Strange</v>
      </c>
      <c r="E1245" s="33" t="s">
        <v>932</v>
      </c>
      <c r="F1245" s="33">
        <v>10.0</v>
      </c>
      <c r="G1245" s="36">
        <v>2017.0</v>
      </c>
      <c r="H1245" s="33" t="s">
        <v>58</v>
      </c>
      <c r="I1245" s="33" t="s">
        <v>47</v>
      </c>
      <c r="J1245" s="57">
        <v>2017.0</v>
      </c>
      <c r="K1245" s="58">
        <v>0.9</v>
      </c>
      <c r="L1245" s="37">
        <v>130.0</v>
      </c>
      <c r="M1245" s="59">
        <f t="shared" si="228"/>
        <v>0.6923076923</v>
      </c>
      <c r="N1245" s="17"/>
    </row>
    <row r="1246">
      <c r="A1246" s="9"/>
      <c r="B1246" s="38">
        <f t="shared" si="233"/>
        <v>1242</v>
      </c>
      <c r="C1246" s="70"/>
      <c r="D1246" s="48" t="s">
        <v>1009</v>
      </c>
      <c r="E1246" s="13" t="s">
        <v>932</v>
      </c>
      <c r="F1246" s="13">
        <v>10.0</v>
      </c>
      <c r="G1246" s="35" t="str">
        <f t="shared" ref="G1246:G1248" si="236">IF(C1246&gt;40908,"2012",IF(C1246&gt;40543,"2011",IF(C1246&gt;40178,"2010",IF(C1246&gt;=39814,"2009",IF(C1246&gt;=39448,"2008",IF(C1246&gt;39082,"2007",IF(C1246&lt;38717,"Pre-2006","2006")))))))</f>
        <v>Pre-2006</v>
      </c>
      <c r="H1246" s="71"/>
      <c r="I1246" s="71"/>
      <c r="J1246" s="61"/>
      <c r="K1246" s="62"/>
      <c r="L1246" s="63"/>
      <c r="M1246" s="59" t="str">
        <f t="shared" si="228"/>
        <v>NA</v>
      </c>
      <c r="N1246" s="17"/>
    </row>
    <row r="1247">
      <c r="A1247" s="9"/>
      <c r="B1247" s="38">
        <f t="shared" si="233"/>
        <v>1243</v>
      </c>
      <c r="C1247" s="70"/>
      <c r="D1247" s="48" t="s">
        <v>1010</v>
      </c>
      <c r="E1247" s="13" t="s">
        <v>932</v>
      </c>
      <c r="F1247" s="13">
        <v>10.0</v>
      </c>
      <c r="G1247" s="35" t="str">
        <f t="shared" si="236"/>
        <v>Pre-2006</v>
      </c>
      <c r="H1247" s="71"/>
      <c r="I1247" s="71"/>
      <c r="J1247" s="61"/>
      <c r="K1247" s="62"/>
      <c r="L1247" s="63"/>
      <c r="M1247" s="59" t="str">
        <f t="shared" si="228"/>
        <v>NA</v>
      </c>
      <c r="N1247" s="17"/>
    </row>
    <row r="1248">
      <c r="A1248" s="9"/>
      <c r="B1248" s="38">
        <f t="shared" si="233"/>
        <v>1244</v>
      </c>
      <c r="C1248" s="70"/>
      <c r="D1248" s="48" t="s">
        <v>1011</v>
      </c>
      <c r="E1248" s="13" t="s">
        <v>932</v>
      </c>
      <c r="F1248" s="13">
        <v>10.0</v>
      </c>
      <c r="G1248" s="35" t="str">
        <f t="shared" si="236"/>
        <v>Pre-2006</v>
      </c>
      <c r="H1248" s="71"/>
      <c r="I1248" s="71"/>
      <c r="J1248" s="61"/>
      <c r="K1248" s="62"/>
      <c r="L1248" s="63"/>
      <c r="M1248" s="59" t="str">
        <f t="shared" si="228"/>
        <v>NA</v>
      </c>
      <c r="N1248" s="17"/>
    </row>
    <row r="1249">
      <c r="A1249" s="9"/>
      <c r="B1249" s="38">
        <f t="shared" si="233"/>
        <v>1245</v>
      </c>
      <c r="C1249" s="34">
        <v>41888.0</v>
      </c>
      <c r="D1249" s="12" t="str">
        <f>hyperlink("http://www.rottentomatoes.com/m/draft_day/","Draft Day")</f>
        <v>Draft Day</v>
      </c>
      <c r="E1249" s="13" t="s">
        <v>932</v>
      </c>
      <c r="F1249" s="13">
        <v>10.0</v>
      </c>
      <c r="G1249" s="13">
        <v>2014.0</v>
      </c>
      <c r="H1249" s="13" t="s">
        <v>58</v>
      </c>
      <c r="I1249" s="13" t="s">
        <v>47</v>
      </c>
      <c r="J1249" s="55">
        <v>2014.0</v>
      </c>
      <c r="K1249" s="56">
        <v>0.62</v>
      </c>
      <c r="L1249" s="14">
        <v>109.0</v>
      </c>
      <c r="M1249" s="16">
        <f t="shared" si="228"/>
        <v>0.5688073394</v>
      </c>
      <c r="N1249" s="17"/>
    </row>
    <row r="1250">
      <c r="A1250" s="9"/>
      <c r="B1250" s="38">
        <f t="shared" si="233"/>
        <v>1246</v>
      </c>
      <c r="C1250" s="34">
        <v>42099.0</v>
      </c>
      <c r="D1250" s="12" t="str">
        <f>hyperlink("http://www.rottentomatoes.com/m/drinking_buddies_2013","Drinking Buddies")</f>
        <v>Drinking Buddies</v>
      </c>
      <c r="E1250" s="13" t="s">
        <v>932</v>
      </c>
      <c r="F1250" s="13">
        <v>10.0</v>
      </c>
      <c r="G1250" s="13">
        <v>2015.0</v>
      </c>
      <c r="H1250" s="13" t="s">
        <v>58</v>
      </c>
      <c r="I1250" s="13" t="s">
        <v>47</v>
      </c>
      <c r="J1250" s="55">
        <v>2013.0</v>
      </c>
      <c r="K1250" s="56">
        <v>0.83</v>
      </c>
      <c r="L1250" s="14">
        <v>90.0</v>
      </c>
      <c r="M1250" s="16">
        <f t="shared" si="228"/>
        <v>0.9222222222</v>
      </c>
      <c r="N1250" s="17"/>
    </row>
    <row r="1251">
      <c r="A1251" s="9"/>
      <c r="B1251" s="38">
        <f t="shared" si="233"/>
        <v>1247</v>
      </c>
      <c r="C1251" s="70"/>
      <c r="D1251" s="48" t="s">
        <v>1012</v>
      </c>
      <c r="E1251" s="13" t="s">
        <v>932</v>
      </c>
      <c r="F1251" s="13">
        <v>10.0</v>
      </c>
      <c r="G1251" s="13">
        <v>2012.0</v>
      </c>
      <c r="H1251" s="13" t="s">
        <v>58</v>
      </c>
      <c r="I1251" s="13" t="s">
        <v>47</v>
      </c>
      <c r="J1251" s="55">
        <v>2011.0</v>
      </c>
      <c r="K1251" s="56">
        <v>0.93</v>
      </c>
      <c r="L1251" s="14">
        <v>100.0</v>
      </c>
      <c r="M1251" s="16">
        <f t="shared" si="228"/>
        <v>0.93</v>
      </c>
      <c r="N1251" s="17"/>
    </row>
    <row r="1252">
      <c r="A1252" s="9"/>
      <c r="B1252" s="38">
        <f t="shared" si="233"/>
        <v>1248</v>
      </c>
      <c r="C1252" s="70"/>
      <c r="D1252" s="48" t="s">
        <v>1013</v>
      </c>
      <c r="E1252" s="13" t="s">
        <v>932</v>
      </c>
      <c r="F1252" s="13">
        <v>10.0</v>
      </c>
      <c r="G1252" s="35" t="str">
        <f>IF(C1252&gt;40908,"2012",IF(C1252&gt;40543,"2011",IF(C1252&gt;40178,"2010",IF(C1252&gt;=39814,"2009",IF(C1252&gt;=39448,"2008",IF(C1252&gt;39082,"2007",IF(C1252&lt;38717,"Pre-2006","2006")))))))</f>
        <v>Pre-2006</v>
      </c>
      <c r="H1252" s="71"/>
      <c r="I1252" s="71"/>
      <c r="J1252" s="61"/>
      <c r="K1252" s="62"/>
      <c r="L1252" s="63"/>
      <c r="M1252" s="59" t="str">
        <f t="shared" si="228"/>
        <v>NA</v>
      </c>
      <c r="N1252" s="17"/>
    </row>
    <row r="1253">
      <c r="A1253" s="9"/>
      <c r="B1253" s="38">
        <f t="shared" si="233"/>
        <v>1249</v>
      </c>
      <c r="C1253" s="34">
        <v>44534.0</v>
      </c>
      <c r="D1253" s="12" t="str">
        <f>hyperlink("https://driven.vhx.tv/","Driven")</f>
        <v>Driven</v>
      </c>
      <c r="E1253" s="33" t="s">
        <v>932</v>
      </c>
      <c r="F1253" s="33">
        <v>10.0</v>
      </c>
      <c r="G1253" s="36">
        <v>2021.0</v>
      </c>
      <c r="H1253" s="33" t="s">
        <v>58</v>
      </c>
      <c r="I1253" s="33" t="s">
        <v>399</v>
      </c>
      <c r="J1253" s="57">
        <v>2014.0</v>
      </c>
      <c r="K1253" s="82" t="s">
        <v>169</v>
      </c>
      <c r="L1253" s="37">
        <v>80.0</v>
      </c>
      <c r="M1253" s="72" t="s">
        <v>169</v>
      </c>
      <c r="N1253" s="17"/>
    </row>
    <row r="1254">
      <c r="A1254" s="9"/>
      <c r="B1254" s="38">
        <f t="shared" si="233"/>
        <v>1250</v>
      </c>
      <c r="C1254" s="34">
        <v>42309.0</v>
      </c>
      <c r="D1254" s="12" t="str">
        <f>hyperlink("http://www.rottentomatoes.com/m/the_duff/?search=the%20duff","Duff, The")</f>
        <v>Duff, The</v>
      </c>
      <c r="E1254" s="33" t="s">
        <v>932</v>
      </c>
      <c r="F1254" s="33">
        <v>10.0</v>
      </c>
      <c r="G1254" s="36">
        <v>2015.0</v>
      </c>
      <c r="H1254" s="33" t="s">
        <v>58</v>
      </c>
      <c r="I1254" s="33" t="s">
        <v>47</v>
      </c>
      <c r="J1254" s="57">
        <v>2015.0</v>
      </c>
      <c r="K1254" s="58">
        <v>0.71</v>
      </c>
      <c r="L1254" s="37">
        <v>100.0</v>
      </c>
      <c r="M1254" s="59">
        <f t="shared" ref="M1254:M1262" si="237">if(iserror(K1254/L1254*100),"NA",K1254/L1254*100)</f>
        <v>0.71</v>
      </c>
      <c r="N1254" s="17"/>
    </row>
    <row r="1255">
      <c r="A1255" s="9"/>
      <c r="B1255" s="38">
        <f t="shared" si="233"/>
        <v>1251</v>
      </c>
      <c r="C1255" s="34">
        <v>45318.0</v>
      </c>
      <c r="D1255" s="12" t="str">
        <f>hyperlink("https://www.rottentomatoes.com/m/dumb_money","Dumb Money")</f>
        <v>Dumb Money</v>
      </c>
      <c r="E1255" s="33" t="s">
        <v>932</v>
      </c>
      <c r="F1255" s="33">
        <v>10.0</v>
      </c>
      <c r="G1255" s="36">
        <v>2024.0</v>
      </c>
      <c r="H1255" s="33" t="s">
        <v>58</v>
      </c>
      <c r="I1255" s="33" t="s">
        <v>77</v>
      </c>
      <c r="J1255" s="57">
        <v>2023.0</v>
      </c>
      <c r="K1255" s="58">
        <v>0.84</v>
      </c>
      <c r="L1255" s="37">
        <v>105.0</v>
      </c>
      <c r="M1255" s="59">
        <f t="shared" si="237"/>
        <v>0.8</v>
      </c>
      <c r="N1255" s="17"/>
    </row>
    <row r="1256">
      <c r="A1256" s="9"/>
      <c r="B1256" s="38">
        <f t="shared" si="233"/>
        <v>1252</v>
      </c>
      <c r="C1256" s="70"/>
      <c r="D1256" s="48" t="s">
        <v>1014</v>
      </c>
      <c r="E1256" s="13" t="s">
        <v>932</v>
      </c>
      <c r="F1256" s="13">
        <v>10.0</v>
      </c>
      <c r="G1256" s="35" t="str">
        <f t="shared" ref="G1256:G1257" si="238">IF(C1256&gt;40908,"2012",IF(C1256&gt;40543,"2011",IF(C1256&gt;40178,"2010",IF(C1256&gt;=39814,"2009",IF(C1256&gt;=39448,"2008",IF(C1256&gt;39082,"2007",IF(C1256&lt;38717,"Pre-2006","2006")))))))</f>
        <v>Pre-2006</v>
      </c>
      <c r="H1256" s="71"/>
      <c r="I1256" s="71"/>
      <c r="J1256" s="61"/>
      <c r="K1256" s="62"/>
      <c r="L1256" s="63"/>
      <c r="M1256" s="59" t="str">
        <f t="shared" si="237"/>
        <v>NA</v>
      </c>
      <c r="N1256" s="17"/>
    </row>
    <row r="1257">
      <c r="A1257" s="9"/>
      <c r="B1257" s="38">
        <f t="shared" si="233"/>
        <v>1253</v>
      </c>
      <c r="C1257" s="70"/>
      <c r="D1257" s="48" t="s">
        <v>1015</v>
      </c>
      <c r="E1257" s="13" t="s">
        <v>932</v>
      </c>
      <c r="F1257" s="13">
        <v>10.0</v>
      </c>
      <c r="G1257" s="35" t="str">
        <f t="shared" si="238"/>
        <v>Pre-2006</v>
      </c>
      <c r="H1257" s="71"/>
      <c r="I1257" s="71"/>
      <c r="J1257" s="61"/>
      <c r="K1257" s="62"/>
      <c r="L1257" s="63"/>
      <c r="M1257" s="59" t="str">
        <f t="shared" si="237"/>
        <v>NA</v>
      </c>
      <c r="N1257" s="17"/>
    </row>
    <row r="1258">
      <c r="A1258" s="9"/>
      <c r="B1258" s="38">
        <f t="shared" si="233"/>
        <v>1254</v>
      </c>
      <c r="C1258" s="34">
        <v>44940.0</v>
      </c>
      <c r="D1258" s="12" t="str">
        <f>hyperlink("https://www.rottentomatoes.com/m/emily_the_criminal","Emily the Criminal")</f>
        <v>Emily the Criminal</v>
      </c>
      <c r="E1258" s="33" t="s">
        <v>932</v>
      </c>
      <c r="F1258" s="33">
        <v>10.0</v>
      </c>
      <c r="G1258" s="36">
        <v>2023.0</v>
      </c>
      <c r="H1258" s="33" t="s">
        <v>58</v>
      </c>
      <c r="I1258" s="33" t="s">
        <v>77</v>
      </c>
      <c r="J1258" s="57">
        <v>2022.0</v>
      </c>
      <c r="K1258" s="58">
        <v>0.94</v>
      </c>
      <c r="L1258" s="37">
        <v>97.0</v>
      </c>
      <c r="M1258" s="59">
        <f t="shared" si="237"/>
        <v>0.9690721649</v>
      </c>
      <c r="N1258" s="17"/>
    </row>
    <row r="1259">
      <c r="A1259" s="9"/>
      <c r="B1259" s="38">
        <f t="shared" si="233"/>
        <v>1255</v>
      </c>
      <c r="C1259" s="70"/>
      <c r="D1259" s="48" t="s">
        <v>1016</v>
      </c>
      <c r="E1259" s="13" t="s">
        <v>932</v>
      </c>
      <c r="F1259" s="13">
        <v>10.0</v>
      </c>
      <c r="G1259" s="35" t="str">
        <f t="shared" ref="G1259:G1261" si="239">IF(C1259&gt;40908,"2012",IF(C1259&gt;40543,"2011",IF(C1259&gt;40178,"2010",IF(C1259&gt;=39814,"2009",IF(C1259&gt;=39448,"2008",IF(C1259&gt;39082,"2007",IF(C1259&lt;38717,"Pre-2006","2006")))))))</f>
        <v>Pre-2006</v>
      </c>
      <c r="H1259" s="71"/>
      <c r="I1259" s="71"/>
      <c r="J1259" s="61"/>
      <c r="K1259" s="62"/>
      <c r="L1259" s="63"/>
      <c r="M1259" s="59" t="str">
        <f t="shared" si="237"/>
        <v>NA</v>
      </c>
      <c r="N1259" s="17"/>
    </row>
    <row r="1260">
      <c r="A1260" s="9"/>
      <c r="B1260" s="38">
        <f t="shared" si="233"/>
        <v>1256</v>
      </c>
      <c r="C1260" s="70"/>
      <c r="D1260" s="48" t="s">
        <v>1017</v>
      </c>
      <c r="E1260" s="13" t="s">
        <v>932</v>
      </c>
      <c r="F1260" s="13">
        <v>10.0</v>
      </c>
      <c r="G1260" s="35" t="str">
        <f t="shared" si="239"/>
        <v>Pre-2006</v>
      </c>
      <c r="H1260" s="71"/>
      <c r="I1260" s="71"/>
      <c r="J1260" s="61"/>
      <c r="K1260" s="62"/>
      <c r="L1260" s="63"/>
      <c r="M1260" s="59" t="str">
        <f t="shared" si="237"/>
        <v>NA</v>
      </c>
      <c r="N1260" s="17"/>
    </row>
    <row r="1261">
      <c r="A1261" s="9"/>
      <c r="B1261" s="38">
        <f t="shared" si="233"/>
        <v>1257</v>
      </c>
      <c r="C1261" s="70"/>
      <c r="D1261" s="48" t="s">
        <v>1018</v>
      </c>
      <c r="E1261" s="13" t="s">
        <v>932</v>
      </c>
      <c r="F1261" s="13">
        <v>10.0</v>
      </c>
      <c r="G1261" s="35" t="str">
        <f t="shared" si="239"/>
        <v>Pre-2006</v>
      </c>
      <c r="H1261" s="71"/>
      <c r="I1261" s="71"/>
      <c r="J1261" s="61"/>
      <c r="K1261" s="62"/>
      <c r="L1261" s="63"/>
      <c r="M1261" s="59" t="str">
        <f t="shared" si="237"/>
        <v>NA</v>
      </c>
      <c r="N1261" s="17"/>
    </row>
    <row r="1262">
      <c r="A1262" s="9"/>
      <c r="B1262" s="38">
        <f t="shared" si="233"/>
        <v>1258</v>
      </c>
      <c r="C1262" s="34">
        <v>43661.0</v>
      </c>
      <c r="D1262" s="12" t="str">
        <f>HYPERLINK("https://rottentomatoes.com/m/escape_plan","Escape Plan")</f>
        <v>Escape Plan</v>
      </c>
      <c r="E1262" s="33" t="s">
        <v>932</v>
      </c>
      <c r="F1262" s="33">
        <v>10.0</v>
      </c>
      <c r="G1262" s="33">
        <v>2019.0</v>
      </c>
      <c r="H1262" s="33" t="s">
        <v>58</v>
      </c>
      <c r="I1262" s="33" t="s">
        <v>47</v>
      </c>
      <c r="J1262" s="57">
        <v>2013.0</v>
      </c>
      <c r="K1262" s="56">
        <v>0.5</v>
      </c>
      <c r="L1262" s="37">
        <v>115.0</v>
      </c>
      <c r="M1262" s="59">
        <f t="shared" si="237"/>
        <v>0.4347826087</v>
      </c>
      <c r="N1262" s="17"/>
    </row>
    <row r="1263">
      <c r="A1263" s="9"/>
      <c r="B1263" s="38">
        <f t="shared" si="233"/>
        <v>1259</v>
      </c>
      <c r="C1263" s="34">
        <v>44554.0</v>
      </c>
      <c r="D1263" s="12" t="str">
        <f>hyperlink("https://www.rottentomatoes.com/m/the_escort_2015","Escort, The")</f>
        <v>Escort, The</v>
      </c>
      <c r="E1263" s="33" t="s">
        <v>932</v>
      </c>
      <c r="F1263" s="33">
        <v>10.0</v>
      </c>
      <c r="G1263" s="33">
        <v>2021.0</v>
      </c>
      <c r="H1263" s="33" t="s">
        <v>58</v>
      </c>
      <c r="I1263" s="33" t="s">
        <v>77</v>
      </c>
      <c r="J1263" s="57">
        <v>2015.0</v>
      </c>
      <c r="K1263" s="82" t="s">
        <v>169</v>
      </c>
      <c r="L1263" s="37">
        <v>85.0</v>
      </c>
      <c r="M1263" s="72" t="s">
        <v>169</v>
      </c>
      <c r="N1263" s="17"/>
    </row>
    <row r="1264">
      <c r="A1264" s="9"/>
      <c r="B1264" s="38">
        <f t="shared" si="233"/>
        <v>1260</v>
      </c>
      <c r="C1264" s="34">
        <v>41420.0</v>
      </c>
      <c r="D1264" s="48" t="s">
        <v>1019</v>
      </c>
      <c r="E1264" s="13" t="s">
        <v>932</v>
      </c>
      <c r="F1264" s="13">
        <v>10.0</v>
      </c>
      <c r="G1264" s="13">
        <v>2013.0</v>
      </c>
      <c r="H1264" s="13" t="s">
        <v>58</v>
      </c>
      <c r="I1264" s="13" t="s">
        <v>511</v>
      </c>
      <c r="J1264" s="55">
        <v>2003.0</v>
      </c>
      <c r="K1264" s="56">
        <v>0.46</v>
      </c>
      <c r="L1264" s="14">
        <v>89.0</v>
      </c>
      <c r="M1264" s="16">
        <f t="shared" ref="M1264:M1276" si="240">if(iserror(K1264/L1264*100),"NA",K1264/L1264*100)</f>
        <v>0.5168539326</v>
      </c>
      <c r="N1264" s="17"/>
    </row>
    <row r="1265">
      <c r="A1265" s="9"/>
      <c r="B1265" s="38">
        <f t="shared" si="233"/>
        <v>1261</v>
      </c>
      <c r="C1265" s="70"/>
      <c r="D1265" s="48" t="s">
        <v>1020</v>
      </c>
      <c r="E1265" s="13" t="s">
        <v>932</v>
      </c>
      <c r="F1265" s="13">
        <v>10.0</v>
      </c>
      <c r="G1265" s="35" t="str">
        <f>IF(C1265&gt;40908,"2012",IF(C1265&gt;40543,"2011",IF(C1265&gt;40178,"2010",IF(C1265&gt;=39814,"2009",IF(C1265&gt;=39448,"2008",IF(C1265&gt;39082,"2007",IF(C1265&lt;38717,"Pre-2006","2006")))))))</f>
        <v>Pre-2006</v>
      </c>
      <c r="H1265" s="71"/>
      <c r="I1265" s="71"/>
      <c r="J1265" s="61"/>
      <c r="K1265" s="62"/>
      <c r="L1265" s="63"/>
      <c r="M1265" s="59" t="str">
        <f t="shared" si="240"/>
        <v>NA</v>
      </c>
      <c r="N1265" s="17"/>
    </row>
    <row r="1266">
      <c r="A1266" s="9"/>
      <c r="B1266" s="38">
        <f t="shared" si="233"/>
        <v>1262</v>
      </c>
      <c r="C1266" s="34">
        <v>44771.0</v>
      </c>
      <c r="D1266" s="12" t="str">
        <f>hyperlink("https://www.rottentomatoes.com/m/everything_everywhere_all_at_once","Everything Everywhere All At Once")</f>
        <v>Everything Everywhere All At Once</v>
      </c>
      <c r="E1266" s="33" t="s">
        <v>932</v>
      </c>
      <c r="F1266" s="33">
        <v>10.0</v>
      </c>
      <c r="G1266" s="36">
        <v>2022.0</v>
      </c>
      <c r="H1266" s="33" t="s">
        <v>1021</v>
      </c>
      <c r="I1266" s="33" t="s">
        <v>26</v>
      </c>
      <c r="J1266" s="37">
        <v>2022.0</v>
      </c>
      <c r="K1266" s="15">
        <v>0.95</v>
      </c>
      <c r="L1266" s="37">
        <v>132.0</v>
      </c>
      <c r="M1266" s="16">
        <f t="shared" si="240"/>
        <v>0.7196969697</v>
      </c>
      <c r="N1266" s="17"/>
    </row>
    <row r="1267">
      <c r="A1267" s="9"/>
      <c r="B1267" s="38">
        <f t="shared" si="233"/>
        <v>1263</v>
      </c>
      <c r="C1267" s="34">
        <v>40452.0</v>
      </c>
      <c r="D1267" s="48" t="s">
        <v>1022</v>
      </c>
      <c r="E1267" s="13" t="s">
        <v>932</v>
      </c>
      <c r="F1267" s="13">
        <v>10.0</v>
      </c>
      <c r="G1267" s="35" t="str">
        <f>IF(C1267&gt;40908,"2012",IF(C1267&gt;40543,"2011",IF(C1267&gt;40178,"2010",IF(C1267&gt;=39814,"2009",IF(C1267&gt;=39448,"2008",IF(C1267&gt;39082,"2007",IF(C1267&lt;38717,"Pre-2006","2006")))))))</f>
        <v>2010</v>
      </c>
      <c r="H1267" s="13" t="s">
        <v>27</v>
      </c>
      <c r="I1267" s="13" t="s">
        <v>399</v>
      </c>
      <c r="J1267" s="14">
        <v>2010.0</v>
      </c>
      <c r="K1267" s="15">
        <v>0.4</v>
      </c>
      <c r="L1267" s="14">
        <v>103.0</v>
      </c>
      <c r="M1267" s="16">
        <f t="shared" si="240"/>
        <v>0.3883495146</v>
      </c>
      <c r="N1267" s="17"/>
    </row>
    <row r="1268">
      <c r="A1268" s="9"/>
      <c r="B1268" s="38">
        <f t="shared" si="233"/>
        <v>1264</v>
      </c>
      <c r="C1268" s="34">
        <v>41861.0</v>
      </c>
      <c r="D1268" s="12" t="str">
        <f>hyperlink("http://www.rottentomatoes.com/m/1211183-extract/","Extract")</f>
        <v>Extract</v>
      </c>
      <c r="E1268" s="13" t="s">
        <v>932</v>
      </c>
      <c r="F1268" s="13">
        <v>10.0</v>
      </c>
      <c r="G1268" s="13">
        <v>2014.0</v>
      </c>
      <c r="H1268" s="13" t="s">
        <v>58</v>
      </c>
      <c r="I1268" s="13" t="s">
        <v>47</v>
      </c>
      <c r="J1268" s="55">
        <v>2009.0</v>
      </c>
      <c r="K1268" s="56">
        <v>0.63</v>
      </c>
      <c r="L1268" s="14">
        <v>99.0</v>
      </c>
      <c r="M1268" s="16">
        <f t="shared" si="240"/>
        <v>0.6363636364</v>
      </c>
      <c r="N1268" s="17"/>
    </row>
    <row r="1269">
      <c r="A1269" s="9"/>
      <c r="B1269" s="38">
        <f t="shared" si="233"/>
        <v>1265</v>
      </c>
      <c r="C1269" s="70"/>
      <c r="D1269" s="48" t="s">
        <v>1023</v>
      </c>
      <c r="E1269" s="13" t="s">
        <v>932</v>
      </c>
      <c r="F1269" s="13">
        <v>10.0</v>
      </c>
      <c r="G1269" s="35" t="str">
        <f t="shared" ref="G1269:G1271" si="241">IF(C1269&gt;40908,"2012",IF(C1269&gt;40543,"2011",IF(C1269&gt;40178,"2010",IF(C1269&gt;=39814,"2009",IF(C1269&gt;=39448,"2008",IF(C1269&gt;39082,"2007",IF(C1269&lt;38717,"Pre-2006","2006")))))))</f>
        <v>Pre-2006</v>
      </c>
      <c r="H1269" s="71"/>
      <c r="I1269" s="71"/>
      <c r="J1269" s="61"/>
      <c r="K1269" s="62"/>
      <c r="L1269" s="63"/>
      <c r="M1269" s="59" t="str">
        <f t="shared" si="240"/>
        <v>NA</v>
      </c>
      <c r="N1269" s="17"/>
    </row>
    <row r="1270">
      <c r="A1270" s="9"/>
      <c r="B1270" s="38">
        <f t="shared" si="233"/>
        <v>1266</v>
      </c>
      <c r="C1270" s="70"/>
      <c r="D1270" s="48" t="s">
        <v>1024</v>
      </c>
      <c r="E1270" s="13" t="s">
        <v>932</v>
      </c>
      <c r="F1270" s="13">
        <v>10.0</v>
      </c>
      <c r="G1270" s="35" t="str">
        <f t="shared" si="241"/>
        <v>Pre-2006</v>
      </c>
      <c r="H1270" s="71"/>
      <c r="I1270" s="71"/>
      <c r="J1270" s="61"/>
      <c r="K1270" s="62"/>
      <c r="L1270" s="63"/>
      <c r="M1270" s="59" t="str">
        <f t="shared" si="240"/>
        <v>NA</v>
      </c>
      <c r="N1270" s="17"/>
    </row>
    <row r="1271">
      <c r="A1271" s="9"/>
      <c r="B1271" s="38">
        <f t="shared" si="233"/>
        <v>1267</v>
      </c>
      <c r="C1271" s="70"/>
      <c r="D1271" s="48" t="s">
        <v>1025</v>
      </c>
      <c r="E1271" s="13" t="s">
        <v>932</v>
      </c>
      <c r="F1271" s="13">
        <v>10.0</v>
      </c>
      <c r="G1271" s="35" t="str">
        <f t="shared" si="241"/>
        <v>Pre-2006</v>
      </c>
      <c r="H1271" s="71"/>
      <c r="I1271" s="71"/>
      <c r="J1271" s="61"/>
      <c r="K1271" s="62"/>
      <c r="L1271" s="63"/>
      <c r="M1271" s="59" t="str">
        <f t="shared" si="240"/>
        <v>NA</v>
      </c>
      <c r="N1271" s="17"/>
    </row>
    <row r="1272">
      <c r="A1272" s="9"/>
      <c r="B1272" s="38">
        <f t="shared" si="233"/>
        <v>1268</v>
      </c>
      <c r="C1272" s="34">
        <v>42857.0</v>
      </c>
      <c r="D1272" s="74" t="str">
        <f>hyperlink("https://www.rottentomatoes.com/m/fast_and_furious","Fast &amp; Furious (4)")</f>
        <v>Fast &amp; Furious (4)</v>
      </c>
      <c r="E1272" s="33" t="s">
        <v>932</v>
      </c>
      <c r="F1272" s="33">
        <v>10.0</v>
      </c>
      <c r="G1272" s="36">
        <v>2017.0</v>
      </c>
      <c r="H1272" s="33" t="s">
        <v>58</v>
      </c>
      <c r="I1272" s="13" t="s">
        <v>47</v>
      </c>
      <c r="J1272" s="57">
        <v>2009.0</v>
      </c>
      <c r="K1272" s="58">
        <v>0.28</v>
      </c>
      <c r="L1272" s="37">
        <v>107.0</v>
      </c>
      <c r="M1272" s="59">
        <f t="shared" si="240"/>
        <v>0.261682243</v>
      </c>
      <c r="N1272" s="17"/>
    </row>
    <row r="1273">
      <c r="A1273" s="9"/>
      <c r="B1273" s="38">
        <f t="shared" si="233"/>
        <v>1269</v>
      </c>
      <c r="C1273" s="70"/>
      <c r="D1273" s="48" t="s">
        <v>1026</v>
      </c>
      <c r="E1273" s="13" t="s">
        <v>932</v>
      </c>
      <c r="F1273" s="13">
        <v>10.0</v>
      </c>
      <c r="G1273" s="35" t="str">
        <f t="shared" ref="G1273:G1276" si="242">IF(C1273&gt;40908,"2012",IF(C1273&gt;40543,"2011",IF(C1273&gt;40178,"2010",IF(C1273&gt;=39814,"2009",IF(C1273&gt;=39448,"2008",IF(C1273&gt;39082,"2007",IF(C1273&lt;38717,"Pre-2006","2006")))))))</f>
        <v>Pre-2006</v>
      </c>
      <c r="H1273" s="71"/>
      <c r="I1273" s="71"/>
      <c r="J1273" s="61"/>
      <c r="K1273" s="62"/>
      <c r="L1273" s="63"/>
      <c r="M1273" s="59" t="str">
        <f t="shared" si="240"/>
        <v>NA</v>
      </c>
      <c r="N1273" s="17"/>
    </row>
    <row r="1274">
      <c r="A1274" s="9"/>
      <c r="B1274" s="38">
        <f t="shared" si="233"/>
        <v>1270</v>
      </c>
      <c r="C1274" s="70"/>
      <c r="D1274" s="48" t="s">
        <v>1027</v>
      </c>
      <c r="E1274" s="13" t="s">
        <v>932</v>
      </c>
      <c r="F1274" s="13">
        <v>10.0</v>
      </c>
      <c r="G1274" s="35" t="str">
        <f t="shared" si="242"/>
        <v>Pre-2006</v>
      </c>
      <c r="H1274" s="71"/>
      <c r="I1274" s="71"/>
      <c r="J1274" s="61"/>
      <c r="K1274" s="62"/>
      <c r="L1274" s="63"/>
      <c r="M1274" s="59" t="str">
        <f t="shared" si="240"/>
        <v>NA</v>
      </c>
      <c r="N1274" s="17"/>
    </row>
    <row r="1275">
      <c r="A1275" s="9"/>
      <c r="B1275" s="38">
        <f t="shared" si="233"/>
        <v>1271</v>
      </c>
      <c r="C1275" s="70"/>
      <c r="D1275" s="48" t="s">
        <v>1028</v>
      </c>
      <c r="E1275" s="13" t="s">
        <v>932</v>
      </c>
      <c r="F1275" s="13">
        <v>10.0</v>
      </c>
      <c r="G1275" s="35" t="str">
        <f t="shared" si="242"/>
        <v>Pre-2006</v>
      </c>
      <c r="H1275" s="71"/>
      <c r="I1275" s="71"/>
      <c r="J1275" s="61"/>
      <c r="K1275" s="62"/>
      <c r="L1275" s="63"/>
      <c r="M1275" s="59" t="str">
        <f t="shared" si="240"/>
        <v>NA</v>
      </c>
      <c r="N1275" s="17"/>
    </row>
    <row r="1276">
      <c r="A1276" s="9"/>
      <c r="B1276" s="38">
        <f t="shared" si="233"/>
        <v>1272</v>
      </c>
      <c r="C1276" s="70"/>
      <c r="D1276" s="48" t="s">
        <v>1029</v>
      </c>
      <c r="E1276" s="13" t="s">
        <v>932</v>
      </c>
      <c r="F1276" s="13">
        <v>10.0</v>
      </c>
      <c r="G1276" s="35" t="str">
        <f t="shared" si="242"/>
        <v>Pre-2006</v>
      </c>
      <c r="H1276" s="71"/>
      <c r="I1276" s="71"/>
      <c r="J1276" s="61"/>
      <c r="K1276" s="62"/>
      <c r="L1276" s="63"/>
      <c r="M1276" s="59" t="str">
        <f t="shared" si="240"/>
        <v>NA</v>
      </c>
      <c r="N1276" s="17"/>
    </row>
    <row r="1277">
      <c r="A1277" s="9"/>
      <c r="B1277" s="38">
        <f t="shared" si="233"/>
        <v>1273</v>
      </c>
      <c r="C1277" s="34">
        <v>42596.0</v>
      </c>
      <c r="D1277" s="74" t="str">
        <f>hyperlink("https://www.rottentomatoes.com/m/fittest_on_earth","Fittest on Earth")</f>
        <v>Fittest on Earth</v>
      </c>
      <c r="E1277" s="33" t="s">
        <v>932</v>
      </c>
      <c r="F1277" s="33">
        <v>10.0</v>
      </c>
      <c r="G1277" s="36">
        <v>2016.0</v>
      </c>
      <c r="H1277" s="33" t="s">
        <v>58</v>
      </c>
      <c r="I1277" s="33" t="s">
        <v>77</v>
      </c>
      <c r="J1277" s="57">
        <v>2016.0</v>
      </c>
      <c r="K1277" s="82" t="s">
        <v>169</v>
      </c>
      <c r="L1277" s="37">
        <v>105.0</v>
      </c>
      <c r="M1277" s="72" t="s">
        <v>169</v>
      </c>
      <c r="N1277" s="17"/>
    </row>
    <row r="1278">
      <c r="A1278" s="9"/>
      <c r="B1278" s="38">
        <f t="shared" si="233"/>
        <v>1274</v>
      </c>
      <c r="C1278" s="70"/>
      <c r="D1278" s="48" t="s">
        <v>1030</v>
      </c>
      <c r="E1278" s="13" t="s">
        <v>932</v>
      </c>
      <c r="F1278" s="13">
        <v>10.0</v>
      </c>
      <c r="G1278" s="35" t="str">
        <f t="shared" ref="G1278:G1283" si="243">IF(C1278&gt;40908,"2012",IF(C1278&gt;40543,"2011",IF(C1278&gt;40178,"2010",IF(C1278&gt;=39814,"2009",IF(C1278&gt;=39448,"2008",IF(C1278&gt;39082,"2007",IF(C1278&lt;38717,"Pre-2006","2006")))))))</f>
        <v>Pre-2006</v>
      </c>
      <c r="H1278" s="71"/>
      <c r="I1278" s="71"/>
      <c r="J1278" s="61"/>
      <c r="K1278" s="62"/>
      <c r="L1278" s="63"/>
      <c r="M1278" s="59" t="str">
        <f t="shared" ref="M1278:M1288" si="244">if(iserror(K1278/L1278*100),"NA",K1278/L1278*100)</f>
        <v>NA</v>
      </c>
      <c r="N1278" s="17"/>
    </row>
    <row r="1279">
      <c r="A1279" s="9"/>
      <c r="B1279" s="38">
        <f t="shared" si="233"/>
        <v>1275</v>
      </c>
      <c r="C1279" s="70"/>
      <c r="D1279" s="48" t="s">
        <v>1031</v>
      </c>
      <c r="E1279" s="13" t="s">
        <v>932</v>
      </c>
      <c r="F1279" s="13">
        <v>10.0</v>
      </c>
      <c r="G1279" s="35" t="str">
        <f t="shared" si="243"/>
        <v>Pre-2006</v>
      </c>
      <c r="H1279" s="71"/>
      <c r="I1279" s="71"/>
      <c r="J1279" s="61"/>
      <c r="K1279" s="62"/>
      <c r="L1279" s="63"/>
      <c r="M1279" s="59" t="str">
        <f t="shared" si="244"/>
        <v>NA</v>
      </c>
      <c r="N1279" s="17"/>
    </row>
    <row r="1280">
      <c r="A1280" s="9"/>
      <c r="B1280" s="38">
        <f t="shared" si="233"/>
        <v>1276</v>
      </c>
      <c r="C1280" s="70"/>
      <c r="D1280" s="48" t="s">
        <v>1032</v>
      </c>
      <c r="E1280" s="13" t="s">
        <v>932</v>
      </c>
      <c r="F1280" s="13">
        <v>10.0</v>
      </c>
      <c r="G1280" s="35" t="str">
        <f t="shared" si="243"/>
        <v>Pre-2006</v>
      </c>
      <c r="H1280" s="71"/>
      <c r="I1280" s="71"/>
      <c r="J1280" s="61"/>
      <c r="K1280" s="62"/>
      <c r="L1280" s="63"/>
      <c r="M1280" s="59" t="str">
        <f t="shared" si="244"/>
        <v>NA</v>
      </c>
      <c r="N1280" s="17"/>
    </row>
    <row r="1281">
      <c r="A1281" s="9"/>
      <c r="B1281" s="38">
        <f t="shared" si="233"/>
        <v>1277</v>
      </c>
      <c r="C1281" s="70"/>
      <c r="D1281" s="48" t="s">
        <v>1033</v>
      </c>
      <c r="E1281" s="13" t="s">
        <v>932</v>
      </c>
      <c r="F1281" s="13">
        <v>10.0</v>
      </c>
      <c r="G1281" s="35" t="str">
        <f t="shared" si="243"/>
        <v>Pre-2006</v>
      </c>
      <c r="H1281" s="71"/>
      <c r="I1281" s="71"/>
      <c r="J1281" s="61"/>
      <c r="K1281" s="62"/>
      <c r="L1281" s="63"/>
      <c r="M1281" s="59" t="str">
        <f t="shared" si="244"/>
        <v>NA</v>
      </c>
      <c r="N1281" s="17"/>
    </row>
    <row r="1282">
      <c r="A1282" s="9"/>
      <c r="B1282" s="38">
        <f t="shared" si="233"/>
        <v>1278</v>
      </c>
      <c r="C1282" s="70"/>
      <c r="D1282" s="48" t="s">
        <v>1034</v>
      </c>
      <c r="E1282" s="13" t="s">
        <v>932</v>
      </c>
      <c r="F1282" s="13">
        <v>10.0</v>
      </c>
      <c r="G1282" s="35" t="str">
        <f t="shared" si="243"/>
        <v>Pre-2006</v>
      </c>
      <c r="H1282" s="71"/>
      <c r="I1282" s="71"/>
      <c r="J1282" s="61"/>
      <c r="K1282" s="62"/>
      <c r="L1282" s="63"/>
      <c r="M1282" s="59" t="str">
        <f t="shared" si="244"/>
        <v>NA</v>
      </c>
      <c r="N1282" s="17"/>
    </row>
    <row r="1283">
      <c r="A1283" s="9"/>
      <c r="B1283" s="38">
        <f t="shared" si="233"/>
        <v>1279</v>
      </c>
      <c r="C1283" s="70"/>
      <c r="D1283" s="48" t="s">
        <v>1035</v>
      </c>
      <c r="E1283" s="13" t="s">
        <v>932</v>
      </c>
      <c r="F1283" s="13">
        <v>10.0</v>
      </c>
      <c r="G1283" s="35" t="str">
        <f t="shared" si="243"/>
        <v>Pre-2006</v>
      </c>
      <c r="H1283" s="71"/>
      <c r="I1283" s="71"/>
      <c r="J1283" s="61"/>
      <c r="K1283" s="62"/>
      <c r="L1283" s="63"/>
      <c r="M1283" s="59" t="str">
        <f t="shared" si="244"/>
        <v>NA</v>
      </c>
      <c r="N1283" s="17"/>
    </row>
    <row r="1284" ht="12.75" customHeight="1">
      <c r="A1284" s="9"/>
      <c r="B1284" s="38">
        <f t="shared" si="233"/>
        <v>1280</v>
      </c>
      <c r="C1284" s="75">
        <v>43799.0</v>
      </c>
      <c r="D1284" s="12" t="str">
        <f>hyperlink("https://rottentomatoes.com/m/frozen_ii","Frozen II")</f>
        <v>Frozen II</v>
      </c>
      <c r="E1284" s="33" t="s">
        <v>932</v>
      </c>
      <c r="F1284" s="33">
        <v>10.0</v>
      </c>
      <c r="G1284" s="36">
        <v>2019.0</v>
      </c>
      <c r="H1284" s="33" t="s">
        <v>731</v>
      </c>
      <c r="I1284" s="33" t="s">
        <v>26</v>
      </c>
      <c r="J1284" s="57">
        <v>2019.0</v>
      </c>
      <c r="K1284" s="58">
        <v>0.76</v>
      </c>
      <c r="L1284" s="37">
        <v>104.0</v>
      </c>
      <c r="M1284" s="59">
        <f t="shared" si="244"/>
        <v>0.7307692308</v>
      </c>
      <c r="N1284" s="17"/>
    </row>
    <row r="1285">
      <c r="A1285" s="9"/>
      <c r="B1285" s="38">
        <f t="shared" si="233"/>
        <v>1281</v>
      </c>
      <c r="C1285" s="70"/>
      <c r="D1285" s="48" t="s">
        <v>1036</v>
      </c>
      <c r="E1285" s="13" t="s">
        <v>932</v>
      </c>
      <c r="F1285" s="13">
        <v>10.0</v>
      </c>
      <c r="G1285" s="35" t="str">
        <f t="shared" ref="G1285:G1288" si="245">IF(C1285&gt;40908,"2012",IF(C1285&gt;40543,"2011",IF(C1285&gt;40178,"2010",IF(C1285&gt;=39814,"2009",IF(C1285&gt;=39448,"2008",IF(C1285&gt;39082,"2007",IF(C1285&lt;38717,"Pre-2006","2006")))))))</f>
        <v>Pre-2006</v>
      </c>
      <c r="H1285" s="71"/>
      <c r="I1285" s="71"/>
      <c r="J1285" s="61"/>
      <c r="K1285" s="62"/>
      <c r="L1285" s="63"/>
      <c r="M1285" s="59" t="str">
        <f t="shared" si="244"/>
        <v>NA</v>
      </c>
      <c r="N1285" s="17"/>
    </row>
    <row r="1286">
      <c r="A1286" s="9"/>
      <c r="B1286" s="38">
        <f t="shared" si="233"/>
        <v>1282</v>
      </c>
      <c r="C1286" s="70"/>
      <c r="D1286" s="48" t="s">
        <v>1037</v>
      </c>
      <c r="E1286" s="13" t="s">
        <v>932</v>
      </c>
      <c r="F1286" s="13">
        <v>10.0</v>
      </c>
      <c r="G1286" s="35" t="str">
        <f t="shared" si="245"/>
        <v>Pre-2006</v>
      </c>
      <c r="H1286" s="71"/>
      <c r="I1286" s="71"/>
      <c r="J1286" s="61"/>
      <c r="K1286" s="62"/>
      <c r="L1286" s="63"/>
      <c r="M1286" s="59" t="str">
        <f t="shared" si="244"/>
        <v>NA</v>
      </c>
      <c r="N1286" s="17"/>
    </row>
    <row r="1287">
      <c r="A1287" s="9"/>
      <c r="B1287" s="38">
        <f t="shared" si="233"/>
        <v>1283</v>
      </c>
      <c r="C1287" s="70"/>
      <c r="D1287" s="48" t="s">
        <v>1038</v>
      </c>
      <c r="E1287" s="13" t="s">
        <v>932</v>
      </c>
      <c r="F1287" s="13">
        <v>10.0</v>
      </c>
      <c r="G1287" s="35" t="str">
        <f t="shared" si="245"/>
        <v>Pre-2006</v>
      </c>
      <c r="H1287" s="71"/>
      <c r="I1287" s="71"/>
      <c r="J1287" s="61"/>
      <c r="K1287" s="62"/>
      <c r="L1287" s="63"/>
      <c r="M1287" s="59" t="str">
        <f t="shared" si="244"/>
        <v>NA</v>
      </c>
      <c r="N1287" s="17"/>
    </row>
    <row r="1288">
      <c r="A1288" s="9"/>
      <c r="B1288" s="38">
        <f t="shared" si="233"/>
        <v>1284</v>
      </c>
      <c r="C1288" s="34">
        <v>39278.0</v>
      </c>
      <c r="D1288" s="48" t="s">
        <v>1039</v>
      </c>
      <c r="E1288" s="13" t="s">
        <v>932</v>
      </c>
      <c r="F1288" s="13">
        <v>10.0</v>
      </c>
      <c r="G1288" s="35" t="str">
        <f t="shared" si="245"/>
        <v>2007</v>
      </c>
      <c r="H1288" s="71"/>
      <c r="I1288" s="71"/>
      <c r="J1288" s="61"/>
      <c r="K1288" s="62"/>
      <c r="L1288" s="63"/>
      <c r="M1288" s="59" t="str">
        <f t="shared" si="244"/>
        <v>NA</v>
      </c>
      <c r="N1288" s="17"/>
    </row>
    <row r="1289">
      <c r="A1289" s="9"/>
      <c r="B1289" s="38">
        <f t="shared" si="233"/>
        <v>1285</v>
      </c>
      <c r="C1289" s="34">
        <v>42549.0</v>
      </c>
      <c r="D1289" s="12" t="str">
        <f>hyperlink("https://www.rottentomatoes.com/m/the_great_alone/?search=the%20great%20alone","Great Alone, The")</f>
        <v>Great Alone, The</v>
      </c>
      <c r="E1289" s="33" t="s">
        <v>932</v>
      </c>
      <c r="F1289" s="33">
        <v>10.0</v>
      </c>
      <c r="G1289" s="36">
        <v>2016.0</v>
      </c>
      <c r="H1289" s="33" t="s">
        <v>58</v>
      </c>
      <c r="I1289" s="33" t="s">
        <v>77</v>
      </c>
      <c r="J1289" s="57">
        <v>2015.0</v>
      </c>
      <c r="K1289" s="82" t="s">
        <v>169</v>
      </c>
      <c r="L1289" s="37">
        <v>80.0</v>
      </c>
      <c r="M1289" s="72" t="s">
        <v>169</v>
      </c>
      <c r="N1289" s="17"/>
    </row>
    <row r="1290">
      <c r="A1290" s="9"/>
      <c r="B1290" s="38">
        <f t="shared" si="233"/>
        <v>1286</v>
      </c>
      <c r="C1290" s="70"/>
      <c r="D1290" s="48" t="s">
        <v>1040</v>
      </c>
      <c r="E1290" s="13" t="s">
        <v>932</v>
      </c>
      <c r="F1290" s="13">
        <v>10.0</v>
      </c>
      <c r="G1290" s="35" t="str">
        <f>IF(C1290&gt;40908,"2012",IF(C1290&gt;40543,"2011",IF(C1290&gt;40178,"2010",IF(C1290&gt;=39814,"2009",IF(C1290&gt;=39448,"2008",IF(C1290&gt;39082,"2007",IF(C1290&lt;38717,"Pre-2006","2006")))))))</f>
        <v>Pre-2006</v>
      </c>
      <c r="H1290" s="71"/>
      <c r="I1290" s="71"/>
      <c r="J1290" s="61"/>
      <c r="K1290" s="62"/>
      <c r="L1290" s="63"/>
      <c r="M1290" s="59" t="str">
        <f t="shared" ref="M1290:M1324" si="246">if(iserror(K1290/L1290*100),"NA",K1290/L1290*100)</f>
        <v>NA</v>
      </c>
      <c r="N1290" s="17"/>
    </row>
    <row r="1291">
      <c r="A1291" s="9"/>
      <c r="B1291" s="38">
        <f t="shared" si="233"/>
        <v>1287</v>
      </c>
      <c r="C1291" s="34">
        <v>44767.0</v>
      </c>
      <c r="D1291" s="12" t="str">
        <f>hyperlink("https://www.rottentomatoes.com/m/the_gray_man_2022","Gray Man, The")</f>
        <v>Gray Man, The</v>
      </c>
      <c r="E1291" s="33" t="s">
        <v>932</v>
      </c>
      <c r="F1291" s="33">
        <v>10.0</v>
      </c>
      <c r="G1291" s="36">
        <v>2022.0</v>
      </c>
      <c r="H1291" s="33" t="s">
        <v>58</v>
      </c>
      <c r="I1291" s="33" t="s">
        <v>77</v>
      </c>
      <c r="J1291" s="57">
        <v>2022.0</v>
      </c>
      <c r="K1291" s="58">
        <v>0.45</v>
      </c>
      <c r="L1291" s="37">
        <v>129.0</v>
      </c>
      <c r="M1291" s="16">
        <f t="shared" si="246"/>
        <v>0.3488372093</v>
      </c>
      <c r="N1291" s="17"/>
    </row>
    <row r="1292">
      <c r="A1292" s="9"/>
      <c r="B1292" s="38">
        <f t="shared" si="233"/>
        <v>1288</v>
      </c>
      <c r="C1292" s="70"/>
      <c r="D1292" s="48" t="s">
        <v>1041</v>
      </c>
      <c r="E1292" s="13" t="s">
        <v>932</v>
      </c>
      <c r="F1292" s="13">
        <v>10.0</v>
      </c>
      <c r="G1292" s="35" t="str">
        <f t="shared" ref="G1292:G1295" si="247">IF(C1292&gt;40908,"2012",IF(C1292&gt;40543,"2011",IF(C1292&gt;40178,"2010",IF(C1292&gt;=39814,"2009",IF(C1292&gt;=39448,"2008",IF(C1292&gt;39082,"2007",IF(C1292&lt;38717,"Pre-2006","2006")))))))</f>
        <v>Pre-2006</v>
      </c>
      <c r="H1292" s="71"/>
      <c r="I1292" s="71"/>
      <c r="J1292" s="61"/>
      <c r="K1292" s="62"/>
      <c r="L1292" s="63"/>
      <c r="M1292" s="59" t="str">
        <f t="shared" si="246"/>
        <v>NA</v>
      </c>
      <c r="N1292" s="17"/>
    </row>
    <row r="1293">
      <c r="A1293" s="9"/>
      <c r="B1293" s="38">
        <f t="shared" si="233"/>
        <v>1289</v>
      </c>
      <c r="C1293" s="34">
        <v>39795.0</v>
      </c>
      <c r="D1293" s="48" t="s">
        <v>1042</v>
      </c>
      <c r="E1293" s="13" t="s">
        <v>932</v>
      </c>
      <c r="F1293" s="13">
        <v>10.0</v>
      </c>
      <c r="G1293" s="35" t="str">
        <f t="shared" si="247"/>
        <v>2008</v>
      </c>
      <c r="H1293" s="13" t="s">
        <v>27</v>
      </c>
      <c r="I1293" s="13" t="s">
        <v>511</v>
      </c>
      <c r="J1293" s="14">
        <v>2005.0</v>
      </c>
      <c r="K1293" s="15">
        <v>0.43</v>
      </c>
      <c r="L1293" s="14">
        <v>105.0</v>
      </c>
      <c r="M1293" s="16">
        <f t="shared" si="246"/>
        <v>0.4095238095</v>
      </c>
      <c r="N1293" s="17"/>
    </row>
    <row r="1294">
      <c r="A1294" s="9"/>
      <c r="B1294" s="38">
        <f t="shared" si="233"/>
        <v>1290</v>
      </c>
      <c r="C1294" s="70"/>
      <c r="D1294" s="48" t="s">
        <v>1043</v>
      </c>
      <c r="E1294" s="13" t="s">
        <v>932</v>
      </c>
      <c r="F1294" s="13">
        <v>10.0</v>
      </c>
      <c r="G1294" s="35" t="str">
        <f t="shared" si="247"/>
        <v>Pre-2006</v>
      </c>
      <c r="H1294" s="71"/>
      <c r="I1294" s="71"/>
      <c r="J1294" s="61"/>
      <c r="K1294" s="62"/>
      <c r="L1294" s="63"/>
      <c r="M1294" s="59" t="str">
        <f t="shared" si="246"/>
        <v>NA</v>
      </c>
      <c r="N1294" s="17"/>
    </row>
    <row r="1295">
      <c r="A1295" s="9"/>
      <c r="B1295" s="38">
        <f t="shared" si="233"/>
        <v>1291</v>
      </c>
      <c r="C1295" s="70"/>
      <c r="D1295" s="48" t="s">
        <v>1044</v>
      </c>
      <c r="E1295" s="13" t="s">
        <v>932</v>
      </c>
      <c r="F1295" s="13">
        <v>10.0</v>
      </c>
      <c r="G1295" s="35" t="str">
        <f t="shared" si="247"/>
        <v>Pre-2006</v>
      </c>
      <c r="H1295" s="71"/>
      <c r="I1295" s="71"/>
      <c r="J1295" s="61"/>
      <c r="K1295" s="62"/>
      <c r="L1295" s="63"/>
      <c r="M1295" s="59" t="str">
        <f t="shared" si="246"/>
        <v>NA</v>
      </c>
      <c r="N1295" s="17"/>
    </row>
    <row r="1296">
      <c r="A1296" s="9"/>
      <c r="B1296" s="38">
        <f t="shared" si="233"/>
        <v>1292</v>
      </c>
      <c r="C1296" s="34">
        <v>44846.0</v>
      </c>
      <c r="D1296" s="12" t="str">
        <f>hyperlink("https://www.rottentomatoes.com/m/hampstead","Hampstead")</f>
        <v>Hampstead</v>
      </c>
      <c r="E1296" s="33" t="s">
        <v>932</v>
      </c>
      <c r="F1296" s="33">
        <v>10.0</v>
      </c>
      <c r="G1296" s="36">
        <v>2022.0</v>
      </c>
      <c r="H1296" s="33" t="s">
        <v>58</v>
      </c>
      <c r="I1296" s="33" t="s">
        <v>77</v>
      </c>
      <c r="J1296" s="37">
        <v>2017.0</v>
      </c>
      <c r="K1296" s="15">
        <v>0.43</v>
      </c>
      <c r="L1296" s="37">
        <v>103.0</v>
      </c>
      <c r="M1296" s="16">
        <f t="shared" si="246"/>
        <v>0.4174757282</v>
      </c>
      <c r="N1296" s="17"/>
    </row>
    <row r="1297">
      <c r="A1297" s="9"/>
      <c r="B1297" s="38">
        <f t="shared" si="233"/>
        <v>1293</v>
      </c>
      <c r="C1297" s="34">
        <v>39478.0</v>
      </c>
      <c r="D1297" s="48" t="s">
        <v>1045</v>
      </c>
      <c r="E1297" s="13" t="s">
        <v>932</v>
      </c>
      <c r="F1297" s="13">
        <v>10.0</v>
      </c>
      <c r="G1297" s="35" t="str">
        <f>IF(C1297&gt;40908,"2012",IF(C1297&gt;40543,"2011",IF(C1297&gt;40178,"2010",IF(C1297&gt;=39814,"2009",IF(C1297&gt;=39448,"2008",IF(C1297&gt;39082,"2007",IF(C1297&lt;38717,"Pre-2006","2006")))))))</f>
        <v>2008</v>
      </c>
      <c r="H1297" s="13" t="s">
        <v>17</v>
      </c>
      <c r="I1297" s="13" t="s">
        <v>47</v>
      </c>
      <c r="J1297" s="14">
        <v>1986.0</v>
      </c>
      <c r="K1297" s="15">
        <v>0.92</v>
      </c>
      <c r="L1297" s="14">
        <v>107.0</v>
      </c>
      <c r="M1297" s="16">
        <f t="shared" si="246"/>
        <v>0.8598130841</v>
      </c>
      <c r="N1297" s="17"/>
    </row>
    <row r="1298">
      <c r="A1298" s="9"/>
      <c r="B1298" s="38">
        <f t="shared" si="233"/>
        <v>1294</v>
      </c>
      <c r="C1298" s="34">
        <v>41968.0</v>
      </c>
      <c r="D1298" s="12" t="str">
        <f>hyperlink("http://www.rottentomatoes.com/m/happy_2011/","Happy")</f>
        <v>Happy</v>
      </c>
      <c r="E1298" s="13" t="s">
        <v>932</v>
      </c>
      <c r="F1298" s="13">
        <v>10.0</v>
      </c>
      <c r="G1298" s="13">
        <v>2014.0</v>
      </c>
      <c r="H1298" s="13" t="s">
        <v>25</v>
      </c>
      <c r="I1298" s="13" t="s">
        <v>47</v>
      </c>
      <c r="J1298" s="55">
        <v>2011.0</v>
      </c>
      <c r="K1298" s="88" t="s">
        <v>169</v>
      </c>
      <c r="L1298" s="14">
        <v>75.0</v>
      </c>
      <c r="M1298" s="89" t="str">
        <f t="shared" si="246"/>
        <v>NA</v>
      </c>
      <c r="N1298" s="17"/>
    </row>
    <row r="1299">
      <c r="A1299" s="9"/>
      <c r="B1299" s="38">
        <f t="shared" si="233"/>
        <v>1295</v>
      </c>
      <c r="C1299" s="70"/>
      <c r="D1299" s="48" t="s">
        <v>1046</v>
      </c>
      <c r="E1299" s="13" t="s">
        <v>932</v>
      </c>
      <c r="F1299" s="13">
        <v>10.0</v>
      </c>
      <c r="G1299" s="35" t="str">
        <f t="shared" ref="G1299:G1307" si="248">IF(C1299&gt;40908,"2012",IF(C1299&gt;40543,"2011",IF(C1299&gt;40178,"2010",IF(C1299&gt;=39814,"2009",IF(C1299&gt;=39448,"2008",IF(C1299&gt;39082,"2007",IF(C1299&lt;38717,"Pre-2006","2006")))))))</f>
        <v>Pre-2006</v>
      </c>
      <c r="H1299" s="71"/>
      <c r="I1299" s="71"/>
      <c r="J1299" s="61"/>
      <c r="K1299" s="62"/>
      <c r="L1299" s="63"/>
      <c r="M1299" s="59" t="str">
        <f t="shared" si="246"/>
        <v>NA</v>
      </c>
      <c r="N1299" s="17"/>
    </row>
    <row r="1300">
      <c r="A1300" s="9"/>
      <c r="B1300" s="38">
        <f t="shared" si="233"/>
        <v>1296</v>
      </c>
      <c r="C1300" s="34">
        <v>39183.0</v>
      </c>
      <c r="D1300" s="48" t="s">
        <v>1047</v>
      </c>
      <c r="E1300" s="13" t="s">
        <v>932</v>
      </c>
      <c r="F1300" s="13">
        <v>10.0</v>
      </c>
      <c r="G1300" s="35" t="str">
        <f t="shared" si="248"/>
        <v>2007</v>
      </c>
      <c r="H1300" s="71"/>
      <c r="I1300" s="71"/>
      <c r="J1300" s="61"/>
      <c r="K1300" s="62"/>
      <c r="L1300" s="63"/>
      <c r="M1300" s="59" t="str">
        <f t="shared" si="246"/>
        <v>NA</v>
      </c>
      <c r="N1300" s="17"/>
    </row>
    <row r="1301">
      <c r="A1301" s="9"/>
      <c r="B1301" s="38">
        <f t="shared" si="233"/>
        <v>1297</v>
      </c>
      <c r="C1301" s="70"/>
      <c r="D1301" s="48" t="s">
        <v>1048</v>
      </c>
      <c r="E1301" s="13" t="s">
        <v>932</v>
      </c>
      <c r="F1301" s="13">
        <v>10.0</v>
      </c>
      <c r="G1301" s="35" t="str">
        <f t="shared" si="248"/>
        <v>Pre-2006</v>
      </c>
      <c r="H1301" s="71"/>
      <c r="I1301" s="71"/>
      <c r="J1301" s="61"/>
      <c r="K1301" s="62"/>
      <c r="L1301" s="63"/>
      <c r="M1301" s="59" t="str">
        <f t="shared" si="246"/>
        <v>NA</v>
      </c>
      <c r="N1301" s="17"/>
    </row>
    <row r="1302">
      <c r="A1302" s="9"/>
      <c r="B1302" s="38">
        <f t="shared" si="233"/>
        <v>1298</v>
      </c>
      <c r="C1302" s="34">
        <v>39083.0</v>
      </c>
      <c r="D1302" s="48" t="s">
        <v>1049</v>
      </c>
      <c r="E1302" s="13" t="s">
        <v>932</v>
      </c>
      <c r="F1302" s="13">
        <v>10.0</v>
      </c>
      <c r="G1302" s="35" t="str">
        <f t="shared" si="248"/>
        <v>2007</v>
      </c>
      <c r="H1302" s="71"/>
      <c r="I1302" s="71"/>
      <c r="J1302" s="61"/>
      <c r="K1302" s="62"/>
      <c r="L1302" s="63"/>
      <c r="M1302" s="59" t="str">
        <f t="shared" si="246"/>
        <v>NA</v>
      </c>
      <c r="N1302" s="17"/>
    </row>
    <row r="1303">
      <c r="A1303" s="9"/>
      <c r="B1303" s="38">
        <f t="shared" si="233"/>
        <v>1299</v>
      </c>
      <c r="C1303" s="70"/>
      <c r="D1303" s="48" t="s">
        <v>1050</v>
      </c>
      <c r="E1303" s="13" t="s">
        <v>932</v>
      </c>
      <c r="F1303" s="13">
        <v>10.0</v>
      </c>
      <c r="G1303" s="35" t="str">
        <f t="shared" si="248"/>
        <v>Pre-2006</v>
      </c>
      <c r="H1303" s="71"/>
      <c r="I1303" s="71"/>
      <c r="J1303" s="61"/>
      <c r="K1303" s="62"/>
      <c r="L1303" s="63"/>
      <c r="M1303" s="59" t="str">
        <f t="shared" si="246"/>
        <v>NA</v>
      </c>
      <c r="N1303" s="17"/>
    </row>
    <row r="1304">
      <c r="A1304" s="9"/>
      <c r="B1304" s="38">
        <f t="shared" si="233"/>
        <v>1300</v>
      </c>
      <c r="C1304" s="70"/>
      <c r="D1304" s="48" t="s">
        <v>1051</v>
      </c>
      <c r="E1304" s="13" t="s">
        <v>932</v>
      </c>
      <c r="F1304" s="13">
        <v>10.0</v>
      </c>
      <c r="G1304" s="35" t="str">
        <f t="shared" si="248"/>
        <v>Pre-2006</v>
      </c>
      <c r="H1304" s="71"/>
      <c r="I1304" s="71"/>
      <c r="J1304" s="61"/>
      <c r="K1304" s="62"/>
      <c r="L1304" s="63"/>
      <c r="M1304" s="59" t="str">
        <f t="shared" si="246"/>
        <v>NA</v>
      </c>
      <c r="N1304" s="17"/>
    </row>
    <row r="1305">
      <c r="A1305" s="9"/>
      <c r="B1305" s="38">
        <f t="shared" si="233"/>
        <v>1301</v>
      </c>
      <c r="C1305" s="70"/>
      <c r="D1305" s="48" t="s">
        <v>1052</v>
      </c>
      <c r="E1305" s="13" t="s">
        <v>932</v>
      </c>
      <c r="F1305" s="13">
        <v>10.0</v>
      </c>
      <c r="G1305" s="35" t="str">
        <f t="shared" si="248"/>
        <v>Pre-2006</v>
      </c>
      <c r="H1305" s="71"/>
      <c r="I1305" s="71"/>
      <c r="J1305" s="61"/>
      <c r="K1305" s="62"/>
      <c r="L1305" s="63"/>
      <c r="M1305" s="59" t="str">
        <f t="shared" si="246"/>
        <v>NA</v>
      </c>
      <c r="N1305" s="17"/>
    </row>
    <row r="1306">
      <c r="A1306" s="9"/>
      <c r="B1306" s="38">
        <f t="shared" si="233"/>
        <v>1302</v>
      </c>
      <c r="C1306" s="70"/>
      <c r="D1306" s="48" t="s">
        <v>1053</v>
      </c>
      <c r="E1306" s="13" t="s">
        <v>932</v>
      </c>
      <c r="F1306" s="13">
        <v>10.0</v>
      </c>
      <c r="G1306" s="35" t="str">
        <f t="shared" si="248"/>
        <v>Pre-2006</v>
      </c>
      <c r="H1306" s="71"/>
      <c r="I1306" s="71"/>
      <c r="J1306" s="61"/>
      <c r="K1306" s="62"/>
      <c r="L1306" s="63"/>
      <c r="M1306" s="59" t="str">
        <f t="shared" si="246"/>
        <v>NA</v>
      </c>
      <c r="N1306" s="17"/>
    </row>
    <row r="1307">
      <c r="A1307" s="9"/>
      <c r="B1307" s="38">
        <f t="shared" si="233"/>
        <v>1303</v>
      </c>
      <c r="C1307" s="34">
        <v>40817.0</v>
      </c>
      <c r="D1307" s="48" t="s">
        <v>1054</v>
      </c>
      <c r="E1307" s="13" t="s">
        <v>932</v>
      </c>
      <c r="F1307" s="13">
        <v>10.0</v>
      </c>
      <c r="G1307" s="35" t="str">
        <f t="shared" si="248"/>
        <v>2011</v>
      </c>
      <c r="H1307" s="13" t="s">
        <v>25</v>
      </c>
      <c r="I1307" s="13" t="s">
        <v>47</v>
      </c>
      <c r="J1307" s="14">
        <v>2011.0</v>
      </c>
      <c r="K1307" s="15">
        <v>0.69</v>
      </c>
      <c r="L1307" s="14">
        <v>97.0</v>
      </c>
      <c r="M1307" s="16">
        <f t="shared" si="246"/>
        <v>0.7113402062</v>
      </c>
      <c r="N1307" s="17"/>
    </row>
    <row r="1308">
      <c r="A1308" s="9"/>
      <c r="B1308" s="38">
        <f t="shared" si="233"/>
        <v>1304</v>
      </c>
      <c r="C1308" s="34">
        <v>42211.0</v>
      </c>
      <c r="D1308" s="12" t="str">
        <f>hyperlink("http://www.rottentomatoes.com/m/horrible_bosses_2/?search=horrible%20boss","Horrible Bosses 2")</f>
        <v>Horrible Bosses 2</v>
      </c>
      <c r="E1308" s="33" t="s">
        <v>932</v>
      </c>
      <c r="F1308" s="33">
        <v>10.0</v>
      </c>
      <c r="G1308" s="36">
        <v>2015.0</v>
      </c>
      <c r="H1308" s="33" t="s">
        <v>25</v>
      </c>
      <c r="I1308" s="33" t="s">
        <v>208</v>
      </c>
      <c r="J1308" s="57">
        <v>2014.0</v>
      </c>
      <c r="K1308" s="58">
        <v>0.35</v>
      </c>
      <c r="L1308" s="37">
        <v>108.0</v>
      </c>
      <c r="M1308" s="16">
        <f t="shared" si="246"/>
        <v>0.3240740741</v>
      </c>
      <c r="N1308" s="17"/>
    </row>
    <row r="1309">
      <c r="A1309" s="9"/>
      <c r="B1309" s="38">
        <f t="shared" si="233"/>
        <v>1305</v>
      </c>
      <c r="C1309" s="34">
        <v>44747.0</v>
      </c>
      <c r="D1309" s="12" t="str">
        <f>hyperlink("https://www.rottentomatoes.com/m/hot_girls_wanted_2015","Hot Girls Wanted")</f>
        <v>Hot Girls Wanted</v>
      </c>
      <c r="E1309" s="33" t="s">
        <v>932</v>
      </c>
      <c r="F1309" s="33">
        <v>10.0</v>
      </c>
      <c r="G1309" s="36">
        <v>2022.0</v>
      </c>
      <c r="H1309" s="33" t="s">
        <v>58</v>
      </c>
      <c r="I1309" s="33" t="s">
        <v>77</v>
      </c>
      <c r="J1309" s="57">
        <v>2015.0</v>
      </c>
      <c r="K1309" s="58">
        <v>0.83</v>
      </c>
      <c r="L1309" s="37">
        <v>84.0</v>
      </c>
      <c r="M1309" s="16">
        <f t="shared" si="246"/>
        <v>0.9880952381</v>
      </c>
      <c r="N1309" s="17"/>
    </row>
    <row r="1310">
      <c r="A1310" s="9"/>
      <c r="B1310" s="38">
        <f t="shared" si="233"/>
        <v>1306</v>
      </c>
      <c r="C1310" s="70"/>
      <c r="D1310" s="48" t="s">
        <v>1055</v>
      </c>
      <c r="E1310" s="13" t="s">
        <v>932</v>
      </c>
      <c r="F1310" s="13">
        <v>10.0</v>
      </c>
      <c r="G1310" s="35" t="str">
        <f t="shared" ref="G1310:G1313" si="249">IF(C1310&gt;40908,"2012",IF(C1310&gt;40543,"2011",IF(C1310&gt;40178,"2010",IF(C1310&gt;=39814,"2009",IF(C1310&gt;=39448,"2008",IF(C1310&gt;39082,"2007",IF(C1310&lt;38717,"Pre-2006","2006")))))))</f>
        <v>Pre-2006</v>
      </c>
      <c r="H1310" s="71"/>
      <c r="I1310" s="71"/>
      <c r="J1310" s="61"/>
      <c r="K1310" s="62"/>
      <c r="L1310" s="63"/>
      <c r="M1310" s="59" t="str">
        <f t="shared" si="246"/>
        <v>NA</v>
      </c>
      <c r="N1310" s="17"/>
    </row>
    <row r="1311">
      <c r="A1311" s="9"/>
      <c r="B1311" s="38">
        <f t="shared" si="233"/>
        <v>1307</v>
      </c>
      <c r="C1311" s="70"/>
      <c r="D1311" s="48" t="s">
        <v>1056</v>
      </c>
      <c r="E1311" s="13" t="s">
        <v>932</v>
      </c>
      <c r="F1311" s="13">
        <v>10.0</v>
      </c>
      <c r="G1311" s="35" t="str">
        <f t="shared" si="249"/>
        <v>Pre-2006</v>
      </c>
      <c r="H1311" s="71"/>
      <c r="I1311" s="71"/>
      <c r="J1311" s="61"/>
      <c r="K1311" s="62"/>
      <c r="L1311" s="63"/>
      <c r="M1311" s="59" t="str">
        <f t="shared" si="246"/>
        <v>NA</v>
      </c>
      <c r="N1311" s="17"/>
    </row>
    <row r="1312">
      <c r="A1312" s="9"/>
      <c r="B1312" s="38">
        <f t="shared" si="233"/>
        <v>1308</v>
      </c>
      <c r="C1312" s="70"/>
      <c r="D1312" s="48" t="s">
        <v>1057</v>
      </c>
      <c r="E1312" s="13" t="s">
        <v>932</v>
      </c>
      <c r="F1312" s="13">
        <v>10.0</v>
      </c>
      <c r="G1312" s="35" t="str">
        <f t="shared" si="249"/>
        <v>Pre-2006</v>
      </c>
      <c r="H1312" s="71"/>
      <c r="I1312" s="71"/>
      <c r="J1312" s="61"/>
      <c r="K1312" s="62"/>
      <c r="L1312" s="63"/>
      <c r="M1312" s="59" t="str">
        <f t="shared" si="246"/>
        <v>NA</v>
      </c>
      <c r="N1312" s="17"/>
    </row>
    <row r="1313">
      <c r="A1313" s="9"/>
      <c r="B1313" s="38">
        <f t="shared" si="233"/>
        <v>1309</v>
      </c>
      <c r="C1313" s="70"/>
      <c r="D1313" s="48" t="s">
        <v>1058</v>
      </c>
      <c r="E1313" s="13" t="s">
        <v>932</v>
      </c>
      <c r="F1313" s="13">
        <v>10.0</v>
      </c>
      <c r="G1313" s="35" t="str">
        <f t="shared" si="249"/>
        <v>Pre-2006</v>
      </c>
      <c r="H1313" s="71"/>
      <c r="I1313" s="71"/>
      <c r="J1313" s="61"/>
      <c r="K1313" s="62"/>
      <c r="L1313" s="63"/>
      <c r="M1313" s="59" t="str">
        <f t="shared" si="246"/>
        <v>NA</v>
      </c>
      <c r="N1313" s="17"/>
    </row>
    <row r="1314">
      <c r="A1314" s="9"/>
      <c r="B1314" s="38">
        <f t="shared" si="233"/>
        <v>1310</v>
      </c>
      <c r="C1314" s="34">
        <v>41975.0</v>
      </c>
      <c r="D1314" s="12" t="str">
        <f>hyperlink("http://www.rottentomatoes.com/m/the_hunger_games_mockingjay_part_1/?search=hunger%20games","Hunger Games, The: The Mockingjay, Part 1")</f>
        <v>Hunger Games, The: The Mockingjay, Part 1</v>
      </c>
      <c r="E1314" s="13" t="s">
        <v>932</v>
      </c>
      <c r="F1314" s="13">
        <v>10.0</v>
      </c>
      <c r="G1314" s="13">
        <v>2014.0</v>
      </c>
      <c r="H1314" s="13" t="s">
        <v>25</v>
      </c>
      <c r="I1314" s="13" t="s">
        <v>26</v>
      </c>
      <c r="J1314" s="55">
        <v>2014.0</v>
      </c>
      <c r="K1314" s="56">
        <v>0.65</v>
      </c>
      <c r="L1314" s="14">
        <v>125.0</v>
      </c>
      <c r="M1314" s="16">
        <f t="shared" si="246"/>
        <v>0.52</v>
      </c>
      <c r="N1314" s="17"/>
    </row>
    <row r="1315">
      <c r="A1315" s="9"/>
      <c r="B1315" s="38">
        <f t="shared" si="233"/>
        <v>1311</v>
      </c>
      <c r="C1315" s="70"/>
      <c r="D1315" s="48" t="s">
        <v>1059</v>
      </c>
      <c r="E1315" s="13" t="s">
        <v>932</v>
      </c>
      <c r="F1315" s="13">
        <v>10.0</v>
      </c>
      <c r="G1315" s="35" t="str">
        <f>IF(C1315&gt;40908,"2012",IF(C1315&gt;40543,"2011",IF(C1315&gt;40178,"2010",IF(C1315&gt;=39814,"2009",IF(C1315&gt;=39448,"2008",IF(C1315&gt;39082,"2007",IF(C1315&lt;38717,"Pre-2006","2006")))))))</f>
        <v>Pre-2006</v>
      </c>
      <c r="H1315" s="71"/>
      <c r="I1315" s="71"/>
      <c r="J1315" s="61"/>
      <c r="K1315" s="62"/>
      <c r="L1315" s="63"/>
      <c r="M1315" s="59" t="str">
        <f t="shared" si="246"/>
        <v>NA</v>
      </c>
      <c r="N1315" s="17"/>
    </row>
    <row r="1316">
      <c r="A1316" s="9"/>
      <c r="B1316" s="38">
        <f t="shared" si="233"/>
        <v>1312</v>
      </c>
      <c r="C1316" s="34">
        <v>44415.0</v>
      </c>
      <c r="D1316" s="12" t="str">
        <f>hyperlink("https://www.rottentomatoes.com/m/tony_robbins_i_am_not_your_guru","Tony Robbins: I am not your guru")</f>
        <v>Tony Robbins: I am not your guru</v>
      </c>
      <c r="E1316" s="33" t="s">
        <v>932</v>
      </c>
      <c r="F1316" s="33">
        <v>10.0</v>
      </c>
      <c r="G1316" s="36">
        <v>2021.0</v>
      </c>
      <c r="H1316" s="33" t="s">
        <v>58</v>
      </c>
      <c r="I1316" s="33" t="s">
        <v>77</v>
      </c>
      <c r="J1316" s="37">
        <v>2016.0</v>
      </c>
      <c r="K1316" s="15">
        <v>0.45</v>
      </c>
      <c r="L1316" s="37">
        <v>115.0</v>
      </c>
      <c r="M1316" s="59">
        <f t="shared" si="246"/>
        <v>0.3913043478</v>
      </c>
      <c r="N1316" s="17"/>
    </row>
    <row r="1317">
      <c r="A1317" s="9"/>
      <c r="B1317" s="38">
        <f t="shared" si="233"/>
        <v>1313</v>
      </c>
      <c r="C1317" s="34">
        <v>44914.0</v>
      </c>
      <c r="D1317" s="12" t="str">
        <f>hyperlink("https://www.rottentomatoes.com/m/i_used_to_be_famous_2022","I used to be Famous")</f>
        <v>I used to be Famous</v>
      </c>
      <c r="E1317" s="33" t="s">
        <v>932</v>
      </c>
      <c r="F1317" s="33">
        <v>10.0</v>
      </c>
      <c r="G1317" s="36">
        <v>2022.0</v>
      </c>
      <c r="H1317" s="33" t="s">
        <v>977</v>
      </c>
      <c r="I1317" s="33" t="s">
        <v>77</v>
      </c>
      <c r="J1317" s="37">
        <v>2022.0</v>
      </c>
      <c r="K1317" s="15">
        <v>0.8</v>
      </c>
      <c r="L1317" s="37">
        <v>104.0</v>
      </c>
      <c r="M1317" s="59">
        <f t="shared" si="246"/>
        <v>0.7692307692</v>
      </c>
      <c r="N1317" s="17"/>
    </row>
    <row r="1318">
      <c r="A1318" s="9"/>
      <c r="B1318" s="38">
        <f t="shared" si="233"/>
        <v>1314</v>
      </c>
      <c r="C1318" s="34">
        <v>39456.0</v>
      </c>
      <c r="D1318" s="48" t="s">
        <v>1060</v>
      </c>
      <c r="E1318" s="13" t="s">
        <v>932</v>
      </c>
      <c r="F1318" s="13">
        <v>10.0</v>
      </c>
      <c r="G1318" s="35" t="str">
        <f>IF(C1318&gt;40908,"2012",IF(C1318&gt;40543,"2011",IF(C1318&gt;40178,"2010",IF(C1318&gt;=39814,"2009",IF(C1318&gt;=39448,"2008",IF(C1318&gt;39082,"2007",IF(C1318&lt;38717,"Pre-2006","2006")))))))</f>
        <v>2008</v>
      </c>
      <c r="H1318" s="13" t="s">
        <v>17</v>
      </c>
      <c r="I1318" s="13" t="s">
        <v>47</v>
      </c>
      <c r="J1318" s="14">
        <v>2007.0</v>
      </c>
      <c r="K1318" s="15">
        <v>0.14</v>
      </c>
      <c r="L1318" s="14">
        <v>140.0</v>
      </c>
      <c r="M1318" s="16">
        <f t="shared" si="246"/>
        <v>0.1</v>
      </c>
      <c r="N1318" s="17"/>
    </row>
    <row r="1319">
      <c r="A1319" s="9"/>
      <c r="B1319" s="38">
        <f t="shared" si="233"/>
        <v>1315</v>
      </c>
      <c r="C1319" s="34">
        <v>44110.0</v>
      </c>
      <c r="D1319" s="85" t="s">
        <v>1061</v>
      </c>
      <c r="E1319" s="33" t="s">
        <v>932</v>
      </c>
      <c r="F1319" s="33">
        <v>10.0</v>
      </c>
      <c r="G1319" s="36">
        <v>2020.0</v>
      </c>
      <c r="H1319" s="33" t="s">
        <v>58</v>
      </c>
      <c r="I1319" s="33" t="s">
        <v>47</v>
      </c>
      <c r="J1319" s="57">
        <v>2013.0</v>
      </c>
      <c r="K1319" s="58">
        <v>0.92</v>
      </c>
      <c r="L1319" s="37">
        <v>104.0</v>
      </c>
      <c r="M1319" s="16">
        <f t="shared" si="246"/>
        <v>0.8846153846</v>
      </c>
      <c r="N1319" s="17"/>
    </row>
    <row r="1320">
      <c r="A1320" s="9"/>
      <c r="B1320" s="38">
        <f t="shared" si="233"/>
        <v>1316</v>
      </c>
      <c r="C1320" s="70"/>
      <c r="D1320" s="48" t="s">
        <v>1062</v>
      </c>
      <c r="E1320" s="13" t="s">
        <v>932</v>
      </c>
      <c r="F1320" s="13">
        <v>10.0</v>
      </c>
      <c r="G1320" s="35" t="str">
        <f t="shared" ref="G1320:G1324" si="250">IF(C1320&gt;40908,"2012",IF(C1320&gt;40543,"2011",IF(C1320&gt;40178,"2010",IF(C1320&gt;=39814,"2009",IF(C1320&gt;=39448,"2008",IF(C1320&gt;39082,"2007",IF(C1320&lt;38717,"Pre-2006","2006")))))))</f>
        <v>Pre-2006</v>
      </c>
      <c r="H1320" s="71"/>
      <c r="I1320" s="71"/>
      <c r="J1320" s="61"/>
      <c r="K1320" s="62"/>
      <c r="L1320" s="63"/>
      <c r="M1320" s="59" t="str">
        <f t="shared" si="246"/>
        <v>NA</v>
      </c>
      <c r="N1320" s="17"/>
    </row>
    <row r="1321">
      <c r="A1321" s="9"/>
      <c r="B1321" s="38">
        <f t="shared" si="233"/>
        <v>1317</v>
      </c>
      <c r="C1321" s="70"/>
      <c r="D1321" s="48" t="s">
        <v>1063</v>
      </c>
      <c r="E1321" s="13" t="s">
        <v>932</v>
      </c>
      <c r="F1321" s="13">
        <v>10.0</v>
      </c>
      <c r="G1321" s="35" t="str">
        <f t="shared" si="250"/>
        <v>Pre-2006</v>
      </c>
      <c r="H1321" s="71"/>
      <c r="I1321" s="71"/>
      <c r="J1321" s="61"/>
      <c r="K1321" s="62"/>
      <c r="L1321" s="63"/>
      <c r="M1321" s="59" t="str">
        <f t="shared" si="246"/>
        <v>NA</v>
      </c>
      <c r="N1321" s="17"/>
    </row>
    <row r="1322">
      <c r="A1322" s="9"/>
      <c r="B1322" s="38">
        <f t="shared" si="233"/>
        <v>1318</v>
      </c>
      <c r="C1322" s="34">
        <v>40369.0</v>
      </c>
      <c r="D1322" s="48" t="s">
        <v>1064</v>
      </c>
      <c r="E1322" s="13" t="s">
        <v>932</v>
      </c>
      <c r="F1322" s="13">
        <v>10.0</v>
      </c>
      <c r="G1322" s="35" t="str">
        <f t="shared" si="250"/>
        <v>2010</v>
      </c>
      <c r="H1322" s="13" t="s">
        <v>25</v>
      </c>
      <c r="I1322" s="13" t="s">
        <v>26</v>
      </c>
      <c r="J1322" s="14">
        <v>2010.0</v>
      </c>
      <c r="K1322" s="15">
        <v>0.74</v>
      </c>
      <c r="L1322" s="14">
        <v>124.0</v>
      </c>
      <c r="M1322" s="16">
        <f t="shared" si="246"/>
        <v>0.5967741935</v>
      </c>
      <c r="N1322" s="17"/>
    </row>
    <row r="1323">
      <c r="A1323" s="9"/>
      <c r="B1323" s="38">
        <f t="shared" si="233"/>
        <v>1319</v>
      </c>
      <c r="C1323" s="70"/>
      <c r="D1323" s="48" t="s">
        <v>1065</v>
      </c>
      <c r="E1323" s="13" t="s">
        <v>932</v>
      </c>
      <c r="F1323" s="13">
        <v>10.0</v>
      </c>
      <c r="G1323" s="35" t="str">
        <f t="shared" si="250"/>
        <v>Pre-2006</v>
      </c>
      <c r="H1323" s="71"/>
      <c r="I1323" s="71"/>
      <c r="J1323" s="61"/>
      <c r="K1323" s="62"/>
      <c r="L1323" s="63"/>
      <c r="M1323" s="59" t="str">
        <f t="shared" si="246"/>
        <v>NA</v>
      </c>
      <c r="N1323" s="17"/>
    </row>
    <row r="1324">
      <c r="A1324" s="9"/>
      <c r="B1324" s="38">
        <f t="shared" si="233"/>
        <v>1320</v>
      </c>
      <c r="C1324" s="70"/>
      <c r="D1324" s="48" t="s">
        <v>1066</v>
      </c>
      <c r="E1324" s="13" t="s">
        <v>932</v>
      </c>
      <c r="F1324" s="13">
        <v>10.0</v>
      </c>
      <c r="G1324" s="35" t="str">
        <f t="shared" si="250"/>
        <v>Pre-2006</v>
      </c>
      <c r="H1324" s="71"/>
      <c r="I1324" s="71"/>
      <c r="J1324" s="61"/>
      <c r="K1324" s="62"/>
      <c r="L1324" s="63"/>
      <c r="M1324" s="59" t="str">
        <f t="shared" si="246"/>
        <v>NA</v>
      </c>
      <c r="N1324" s="17"/>
    </row>
    <row r="1325">
      <c r="A1325" s="9"/>
      <c r="B1325" s="38">
        <f t="shared" si="233"/>
        <v>1321</v>
      </c>
      <c r="C1325" s="34">
        <v>42582.0</v>
      </c>
      <c r="D1325" s="74" t="str">
        <f>hyperlink("https://www.rottentomatoes.com/m/jason_bourne","Jason Bourne")</f>
        <v>Jason Bourne</v>
      </c>
      <c r="E1325" s="33" t="s">
        <v>932</v>
      </c>
      <c r="F1325" s="33">
        <v>10.0</v>
      </c>
      <c r="G1325" s="36">
        <v>2016.0</v>
      </c>
      <c r="H1325" s="33" t="s">
        <v>1067</v>
      </c>
      <c r="I1325" s="33" t="s">
        <v>26</v>
      </c>
      <c r="J1325" s="57">
        <v>2016.0</v>
      </c>
      <c r="K1325" s="58">
        <v>0.57</v>
      </c>
      <c r="L1325" s="37">
        <v>123.0</v>
      </c>
      <c r="M1325" s="59">
        <f>K1325/L1325*100</f>
        <v>0.4634146341</v>
      </c>
      <c r="N1325" s="17"/>
    </row>
    <row r="1326">
      <c r="A1326" s="9"/>
      <c r="B1326" s="38">
        <f t="shared" si="233"/>
        <v>1322</v>
      </c>
      <c r="C1326" s="70"/>
      <c r="D1326" s="48" t="s">
        <v>1068</v>
      </c>
      <c r="E1326" s="13" t="s">
        <v>932</v>
      </c>
      <c r="F1326" s="13">
        <v>10.0</v>
      </c>
      <c r="G1326" s="35" t="str">
        <f t="shared" ref="G1326:G1328" si="251">IF(C1326&gt;40908,"2012",IF(C1326&gt;40543,"2011",IF(C1326&gt;40178,"2010",IF(C1326&gt;=39814,"2009",IF(C1326&gt;=39448,"2008",IF(C1326&gt;39082,"2007",IF(C1326&lt;38717,"Pre-2006","2006")))))))</f>
        <v>Pre-2006</v>
      </c>
      <c r="H1326" s="71"/>
      <c r="I1326" s="71"/>
      <c r="J1326" s="61"/>
      <c r="K1326" s="62"/>
      <c r="L1326" s="63"/>
      <c r="M1326" s="59" t="str">
        <f t="shared" ref="M1326:M1380" si="252">if(iserror(K1326/L1326*100),"NA",K1326/L1326*100)</f>
        <v>NA</v>
      </c>
      <c r="N1326" s="17"/>
    </row>
    <row r="1327">
      <c r="A1327" s="9"/>
      <c r="B1327" s="38">
        <f t="shared" si="233"/>
        <v>1323</v>
      </c>
      <c r="C1327" s="34">
        <v>39467.0</v>
      </c>
      <c r="D1327" s="48" t="s">
        <v>1069</v>
      </c>
      <c r="E1327" s="13" t="s">
        <v>932</v>
      </c>
      <c r="F1327" s="13">
        <v>10.0</v>
      </c>
      <c r="G1327" s="35" t="str">
        <f t="shared" si="251"/>
        <v>2008</v>
      </c>
      <c r="H1327" s="13" t="s">
        <v>17</v>
      </c>
      <c r="I1327" s="13" t="s">
        <v>47</v>
      </c>
      <c r="J1327" s="14">
        <v>2007.0</v>
      </c>
      <c r="K1327" s="15">
        <v>0.86</v>
      </c>
      <c r="L1327" s="14">
        <v>124.0</v>
      </c>
      <c r="M1327" s="16">
        <f t="shared" si="252"/>
        <v>0.6935483871</v>
      </c>
      <c r="N1327" s="17"/>
    </row>
    <row r="1328">
      <c r="A1328" s="9"/>
      <c r="B1328" s="38">
        <f t="shared" si="233"/>
        <v>1324</v>
      </c>
      <c r="C1328" s="70"/>
      <c r="D1328" s="48" t="s">
        <v>1070</v>
      </c>
      <c r="E1328" s="13" t="s">
        <v>932</v>
      </c>
      <c r="F1328" s="13">
        <v>10.0</v>
      </c>
      <c r="G1328" s="35" t="str">
        <f t="shared" si="251"/>
        <v>Pre-2006</v>
      </c>
      <c r="H1328" s="71"/>
      <c r="I1328" s="71"/>
      <c r="J1328" s="61"/>
      <c r="K1328" s="62"/>
      <c r="L1328" s="63"/>
      <c r="M1328" s="59" t="str">
        <f t="shared" si="252"/>
        <v>NA</v>
      </c>
      <c r="N1328" s="17"/>
    </row>
    <row r="1329">
      <c r="A1329" s="9"/>
      <c r="B1329" s="38">
        <f t="shared" si="233"/>
        <v>1325</v>
      </c>
      <c r="C1329" s="34">
        <v>42781.0</v>
      </c>
      <c r="D1329" s="12" t="str">
        <f>hyperlink("https://www.rottentomatoes.com/m/john_wick_chapter_2","John Wick: Chapter 2")</f>
        <v>John Wick: Chapter 2</v>
      </c>
      <c r="E1329" s="33" t="s">
        <v>932</v>
      </c>
      <c r="F1329" s="33">
        <v>10.0</v>
      </c>
      <c r="G1329" s="36">
        <v>2017.0</v>
      </c>
      <c r="H1329" s="33" t="s">
        <v>25</v>
      </c>
      <c r="I1329" s="33" t="s">
        <v>26</v>
      </c>
      <c r="J1329" s="57">
        <v>2017.0</v>
      </c>
      <c r="K1329" s="58">
        <v>0.9</v>
      </c>
      <c r="L1329" s="37">
        <v>122.0</v>
      </c>
      <c r="M1329" s="59">
        <f t="shared" si="252"/>
        <v>0.737704918</v>
      </c>
      <c r="N1329" s="17"/>
    </row>
    <row r="1330">
      <c r="A1330" s="9"/>
      <c r="B1330" s="38">
        <f t="shared" si="233"/>
        <v>1326</v>
      </c>
      <c r="C1330" s="34">
        <v>38892.0</v>
      </c>
      <c r="D1330" s="48" t="s">
        <v>1071</v>
      </c>
      <c r="E1330" s="13" t="s">
        <v>932</v>
      </c>
      <c r="F1330" s="13">
        <v>10.0</v>
      </c>
      <c r="G1330" s="35" t="str">
        <f t="shared" ref="G1330:G1336" si="253">IF(C1330&gt;40908,"2012",IF(C1330&gt;40543,"2011",IF(C1330&gt;40178,"2010",IF(C1330&gt;=39814,"2009",IF(C1330&gt;=39448,"2008",IF(C1330&gt;39082,"2007",IF(C1330&lt;38717,"Pre-2006","2006")))))))</f>
        <v>2006</v>
      </c>
      <c r="H1330" s="71"/>
      <c r="I1330" s="71"/>
      <c r="J1330" s="61"/>
      <c r="K1330" s="62"/>
      <c r="L1330" s="63"/>
      <c r="M1330" s="59" t="str">
        <f t="shared" si="252"/>
        <v>NA</v>
      </c>
      <c r="N1330" s="17"/>
    </row>
    <row r="1331">
      <c r="A1331" s="9"/>
      <c r="B1331" s="38">
        <f t="shared" si="233"/>
        <v>1327</v>
      </c>
      <c r="C1331" s="70"/>
      <c r="D1331" s="48" t="s">
        <v>1072</v>
      </c>
      <c r="E1331" s="13" t="s">
        <v>932</v>
      </c>
      <c r="F1331" s="13">
        <v>10.0</v>
      </c>
      <c r="G1331" s="35" t="str">
        <f t="shared" si="253"/>
        <v>Pre-2006</v>
      </c>
      <c r="H1331" s="71"/>
      <c r="I1331" s="71"/>
      <c r="J1331" s="61"/>
      <c r="K1331" s="62"/>
      <c r="L1331" s="63"/>
      <c r="M1331" s="59" t="str">
        <f t="shared" si="252"/>
        <v>NA</v>
      </c>
      <c r="N1331" s="17"/>
    </row>
    <row r="1332">
      <c r="A1332" s="9"/>
      <c r="B1332" s="38">
        <f t="shared" si="233"/>
        <v>1328</v>
      </c>
      <c r="C1332" s="70"/>
      <c r="D1332" s="48" t="s">
        <v>1073</v>
      </c>
      <c r="E1332" s="13" t="s">
        <v>932</v>
      </c>
      <c r="F1332" s="13">
        <v>10.0</v>
      </c>
      <c r="G1332" s="35" t="str">
        <f t="shared" si="253"/>
        <v>Pre-2006</v>
      </c>
      <c r="H1332" s="71"/>
      <c r="I1332" s="71"/>
      <c r="J1332" s="61"/>
      <c r="K1332" s="62"/>
      <c r="L1332" s="63"/>
      <c r="M1332" s="59" t="str">
        <f t="shared" si="252"/>
        <v>NA</v>
      </c>
      <c r="N1332" s="17"/>
    </row>
    <row r="1333">
      <c r="A1333" s="9"/>
      <c r="B1333" s="38">
        <f t="shared" si="233"/>
        <v>1329</v>
      </c>
      <c r="C1333" s="70"/>
      <c r="D1333" s="48" t="s">
        <v>1074</v>
      </c>
      <c r="E1333" s="13" t="s">
        <v>932</v>
      </c>
      <c r="F1333" s="13">
        <v>10.0</v>
      </c>
      <c r="G1333" s="35" t="str">
        <f t="shared" si="253"/>
        <v>Pre-2006</v>
      </c>
      <c r="H1333" s="71"/>
      <c r="I1333" s="71"/>
      <c r="J1333" s="61"/>
      <c r="K1333" s="62"/>
      <c r="L1333" s="63"/>
      <c r="M1333" s="59" t="str">
        <f t="shared" si="252"/>
        <v>NA</v>
      </c>
      <c r="N1333" s="17"/>
    </row>
    <row r="1334">
      <c r="A1334" s="9"/>
      <c r="B1334" s="38">
        <f t="shared" si="233"/>
        <v>1330</v>
      </c>
      <c r="C1334" s="70"/>
      <c r="D1334" s="48" t="s">
        <v>1075</v>
      </c>
      <c r="E1334" s="13" t="s">
        <v>932</v>
      </c>
      <c r="F1334" s="13">
        <v>10.0</v>
      </c>
      <c r="G1334" s="35" t="str">
        <f t="shared" si="253"/>
        <v>Pre-2006</v>
      </c>
      <c r="H1334" s="71"/>
      <c r="I1334" s="71"/>
      <c r="J1334" s="61"/>
      <c r="K1334" s="62"/>
      <c r="L1334" s="63"/>
      <c r="M1334" s="59" t="str">
        <f t="shared" si="252"/>
        <v>NA</v>
      </c>
      <c r="N1334" s="17"/>
    </row>
    <row r="1335">
      <c r="A1335" s="9"/>
      <c r="B1335" s="38">
        <f t="shared" si="233"/>
        <v>1331</v>
      </c>
      <c r="C1335" s="70"/>
      <c r="D1335" s="48" t="s">
        <v>1076</v>
      </c>
      <c r="E1335" s="13" t="s">
        <v>932</v>
      </c>
      <c r="F1335" s="13">
        <v>10.0</v>
      </c>
      <c r="G1335" s="35" t="str">
        <f t="shared" si="253"/>
        <v>Pre-2006</v>
      </c>
      <c r="H1335" s="71"/>
      <c r="I1335" s="71"/>
      <c r="J1335" s="61"/>
      <c r="K1335" s="62"/>
      <c r="L1335" s="63"/>
      <c r="M1335" s="59" t="str">
        <f t="shared" si="252"/>
        <v>NA</v>
      </c>
      <c r="N1335" s="17"/>
    </row>
    <row r="1336">
      <c r="A1336" s="9"/>
      <c r="B1336" s="38">
        <f t="shared" si="233"/>
        <v>1332</v>
      </c>
      <c r="C1336" s="70"/>
      <c r="D1336" s="48" t="s">
        <v>1077</v>
      </c>
      <c r="E1336" s="13" t="s">
        <v>932</v>
      </c>
      <c r="F1336" s="13">
        <v>10.0</v>
      </c>
      <c r="G1336" s="35" t="str">
        <f t="shared" si="253"/>
        <v>Pre-2006</v>
      </c>
      <c r="H1336" s="71"/>
      <c r="I1336" s="71"/>
      <c r="J1336" s="61"/>
      <c r="K1336" s="62"/>
      <c r="L1336" s="63"/>
      <c r="M1336" s="59" t="str">
        <f t="shared" si="252"/>
        <v>NA</v>
      </c>
      <c r="N1336" s="17"/>
    </row>
    <row r="1337">
      <c r="A1337" s="9"/>
      <c r="B1337" s="38">
        <f t="shared" si="233"/>
        <v>1333</v>
      </c>
      <c r="C1337" s="34">
        <v>43439.0</v>
      </c>
      <c r="D1337" s="12" t="str">
        <f>hyperlink("https://www.rottentomatoes.com/m/killer_elite_2011","Killer Elite")</f>
        <v>Killer Elite</v>
      </c>
      <c r="E1337" s="33" t="s">
        <v>932</v>
      </c>
      <c r="F1337" s="33">
        <v>10.0</v>
      </c>
      <c r="G1337" s="36">
        <v>2018.0</v>
      </c>
      <c r="H1337" s="33" t="s">
        <v>58</v>
      </c>
      <c r="I1337" s="33" t="s">
        <v>77</v>
      </c>
      <c r="J1337" s="57">
        <v>2011.0</v>
      </c>
      <c r="K1337" s="58">
        <v>0.25</v>
      </c>
      <c r="L1337" s="37">
        <v>117.0</v>
      </c>
      <c r="M1337" s="59">
        <f t="shared" si="252"/>
        <v>0.2136752137</v>
      </c>
      <c r="N1337" s="17"/>
    </row>
    <row r="1338">
      <c r="A1338" s="9"/>
      <c r="B1338" s="38">
        <f t="shared" si="233"/>
        <v>1334</v>
      </c>
      <c r="C1338" s="70"/>
      <c r="D1338" s="48" t="s">
        <v>1078</v>
      </c>
      <c r="E1338" s="13" t="s">
        <v>932</v>
      </c>
      <c r="F1338" s="13">
        <v>10.0</v>
      </c>
      <c r="G1338" s="35" t="str">
        <f t="shared" ref="G1338:G1345" si="254">IF(C1338&gt;40908,"2012",IF(C1338&gt;40543,"2011",IF(C1338&gt;40178,"2010",IF(C1338&gt;=39814,"2009",IF(C1338&gt;=39448,"2008",IF(C1338&gt;39082,"2007",IF(C1338&lt;38717,"Pre-2006","2006")))))))</f>
        <v>Pre-2006</v>
      </c>
      <c r="H1338" s="71"/>
      <c r="I1338" s="71"/>
      <c r="J1338" s="61"/>
      <c r="K1338" s="62"/>
      <c r="L1338" s="63"/>
      <c r="M1338" s="59" t="str">
        <f t="shared" si="252"/>
        <v>NA</v>
      </c>
      <c r="N1338" s="17"/>
    </row>
    <row r="1339">
      <c r="A1339" s="9"/>
      <c r="B1339" s="38">
        <f t="shared" si="233"/>
        <v>1335</v>
      </c>
      <c r="C1339" s="70"/>
      <c r="D1339" s="48" t="s">
        <v>1079</v>
      </c>
      <c r="E1339" s="13" t="s">
        <v>932</v>
      </c>
      <c r="F1339" s="13">
        <v>10.0</v>
      </c>
      <c r="G1339" s="35" t="str">
        <f t="shared" si="254"/>
        <v>Pre-2006</v>
      </c>
      <c r="H1339" s="71"/>
      <c r="I1339" s="71"/>
      <c r="J1339" s="61"/>
      <c r="K1339" s="62"/>
      <c r="L1339" s="63"/>
      <c r="M1339" s="59" t="str">
        <f t="shared" si="252"/>
        <v>NA</v>
      </c>
      <c r="N1339" s="17"/>
    </row>
    <row r="1340">
      <c r="A1340" s="9"/>
      <c r="B1340" s="38">
        <f t="shared" si="233"/>
        <v>1336</v>
      </c>
      <c r="C1340" s="70"/>
      <c r="D1340" s="48" t="s">
        <v>1080</v>
      </c>
      <c r="E1340" s="13" t="s">
        <v>932</v>
      </c>
      <c r="F1340" s="13">
        <v>10.0</v>
      </c>
      <c r="G1340" s="35" t="str">
        <f t="shared" si="254"/>
        <v>Pre-2006</v>
      </c>
      <c r="H1340" s="71"/>
      <c r="I1340" s="71"/>
      <c r="J1340" s="61"/>
      <c r="K1340" s="62"/>
      <c r="L1340" s="63"/>
      <c r="M1340" s="59" t="str">
        <f t="shared" si="252"/>
        <v>NA</v>
      </c>
      <c r="N1340" s="17"/>
    </row>
    <row r="1341">
      <c r="A1341" s="9"/>
      <c r="B1341" s="38">
        <f t="shared" si="233"/>
        <v>1337</v>
      </c>
      <c r="C1341" s="34">
        <v>40369.0</v>
      </c>
      <c r="D1341" s="48" t="s">
        <v>1081</v>
      </c>
      <c r="E1341" s="13" t="s">
        <v>932</v>
      </c>
      <c r="F1341" s="13">
        <v>10.0</v>
      </c>
      <c r="G1341" s="35" t="str">
        <f t="shared" si="254"/>
        <v>2010</v>
      </c>
      <c r="H1341" s="13" t="s">
        <v>25</v>
      </c>
      <c r="I1341" s="13" t="s">
        <v>26</v>
      </c>
      <c r="J1341" s="14">
        <v>2010.0</v>
      </c>
      <c r="K1341" s="15">
        <v>0.53</v>
      </c>
      <c r="L1341" s="14">
        <v>130.0</v>
      </c>
      <c r="M1341" s="16">
        <f t="shared" si="252"/>
        <v>0.4076923077</v>
      </c>
      <c r="N1341" s="17"/>
    </row>
    <row r="1342">
      <c r="A1342" s="9"/>
      <c r="B1342" s="38">
        <f t="shared" si="233"/>
        <v>1338</v>
      </c>
      <c r="C1342" s="70"/>
      <c r="D1342" s="48" t="s">
        <v>1082</v>
      </c>
      <c r="E1342" s="13" t="s">
        <v>932</v>
      </c>
      <c r="F1342" s="13">
        <v>10.0</v>
      </c>
      <c r="G1342" s="35" t="str">
        <f t="shared" si="254"/>
        <v>Pre-2006</v>
      </c>
      <c r="H1342" s="71"/>
      <c r="I1342" s="71"/>
      <c r="J1342" s="61"/>
      <c r="K1342" s="62"/>
      <c r="L1342" s="63"/>
      <c r="M1342" s="59" t="str">
        <f t="shared" si="252"/>
        <v>NA</v>
      </c>
      <c r="N1342" s="17"/>
    </row>
    <row r="1343">
      <c r="A1343" s="9"/>
      <c r="B1343" s="38">
        <f t="shared" si="233"/>
        <v>1339</v>
      </c>
      <c r="C1343" s="70"/>
      <c r="D1343" s="48" t="s">
        <v>1083</v>
      </c>
      <c r="E1343" s="13" t="s">
        <v>932</v>
      </c>
      <c r="F1343" s="13">
        <v>10.0</v>
      </c>
      <c r="G1343" s="35" t="str">
        <f t="shared" si="254"/>
        <v>Pre-2006</v>
      </c>
      <c r="H1343" s="71"/>
      <c r="I1343" s="71"/>
      <c r="J1343" s="61"/>
      <c r="K1343" s="62"/>
      <c r="L1343" s="63"/>
      <c r="M1343" s="59" t="str">
        <f t="shared" si="252"/>
        <v>NA</v>
      </c>
      <c r="N1343" s="17"/>
    </row>
    <row r="1344">
      <c r="A1344" s="9"/>
      <c r="B1344" s="38">
        <f t="shared" si="233"/>
        <v>1340</v>
      </c>
      <c r="C1344" s="70"/>
      <c r="D1344" s="48" t="s">
        <v>1084</v>
      </c>
      <c r="E1344" s="13" t="s">
        <v>932</v>
      </c>
      <c r="F1344" s="13">
        <v>10.0</v>
      </c>
      <c r="G1344" s="35" t="str">
        <f t="shared" si="254"/>
        <v>Pre-2006</v>
      </c>
      <c r="H1344" s="71"/>
      <c r="I1344" s="71"/>
      <c r="J1344" s="61"/>
      <c r="K1344" s="62"/>
      <c r="L1344" s="63"/>
      <c r="M1344" s="59" t="str">
        <f t="shared" si="252"/>
        <v>NA</v>
      </c>
      <c r="N1344" s="17"/>
    </row>
    <row r="1345">
      <c r="A1345" s="9"/>
      <c r="B1345" s="38">
        <f t="shared" si="233"/>
        <v>1341</v>
      </c>
      <c r="C1345" s="70"/>
      <c r="D1345" s="48" t="s">
        <v>1085</v>
      </c>
      <c r="E1345" s="13" t="s">
        <v>932</v>
      </c>
      <c r="F1345" s="13">
        <v>10.0</v>
      </c>
      <c r="G1345" s="35" t="str">
        <f t="shared" si="254"/>
        <v>Pre-2006</v>
      </c>
      <c r="H1345" s="71"/>
      <c r="I1345" s="71"/>
      <c r="J1345" s="61"/>
      <c r="K1345" s="62"/>
      <c r="L1345" s="63"/>
      <c r="M1345" s="59" t="str">
        <f t="shared" si="252"/>
        <v>NA</v>
      </c>
      <c r="N1345" s="17"/>
    </row>
    <row r="1346">
      <c r="A1346" s="9"/>
      <c r="B1346" s="38">
        <f t="shared" si="233"/>
        <v>1342</v>
      </c>
      <c r="C1346" s="34">
        <v>44668.0</v>
      </c>
      <c r="D1346" s="12" t="str">
        <f>hyperlink("https://www.rottentomatoes.com/m/licorice_pizza","Licorice Pizza")</f>
        <v>Licorice Pizza</v>
      </c>
      <c r="E1346" s="33" t="s">
        <v>932</v>
      </c>
      <c r="F1346" s="33">
        <v>10.0</v>
      </c>
      <c r="G1346" s="36">
        <v>2022.0</v>
      </c>
      <c r="H1346" s="33" t="s">
        <v>58</v>
      </c>
      <c r="I1346" s="33" t="s">
        <v>47</v>
      </c>
      <c r="J1346" s="57">
        <v>2021.0</v>
      </c>
      <c r="K1346" s="58">
        <v>0.9</v>
      </c>
      <c r="L1346" s="37">
        <v>133.0</v>
      </c>
      <c r="M1346" s="16">
        <f t="shared" si="252"/>
        <v>0.6766917293</v>
      </c>
      <c r="N1346" s="17"/>
    </row>
    <row r="1347">
      <c r="A1347" s="9"/>
      <c r="B1347" s="38">
        <f t="shared" si="233"/>
        <v>1343</v>
      </c>
      <c r="C1347" s="70"/>
      <c r="D1347" s="48" t="s">
        <v>1086</v>
      </c>
      <c r="E1347" s="13" t="s">
        <v>932</v>
      </c>
      <c r="F1347" s="13">
        <v>10.0</v>
      </c>
      <c r="G1347" s="35" t="str">
        <f>IF(C1347&gt;40908,"2012",IF(C1347&gt;40543,"2011",IF(C1347&gt;40178,"2010",IF(C1347&gt;=39814,"2009",IF(C1347&gt;=39448,"2008",IF(C1347&gt;39082,"2007",IF(C1347&lt;38717,"Pre-2006","2006")))))))</f>
        <v>Pre-2006</v>
      </c>
      <c r="H1347" s="71"/>
      <c r="I1347" s="71"/>
      <c r="J1347" s="61"/>
      <c r="K1347" s="62"/>
      <c r="L1347" s="63"/>
      <c r="M1347" s="59" t="str">
        <f t="shared" si="252"/>
        <v>NA</v>
      </c>
      <c r="N1347" s="17"/>
    </row>
    <row r="1348">
      <c r="A1348" s="9"/>
      <c r="B1348" s="38">
        <f t="shared" si="233"/>
        <v>1344</v>
      </c>
      <c r="C1348" s="34">
        <v>44680.0</v>
      </c>
      <c r="D1348" s="12" t="str">
        <f>hyperlink("https://www.rottentomatoes.com/m/the_little_mermaid_1989","Little Mermaid, The")</f>
        <v>Little Mermaid, The</v>
      </c>
      <c r="E1348" s="33" t="s">
        <v>932</v>
      </c>
      <c r="F1348" s="33">
        <v>10.0</v>
      </c>
      <c r="G1348" s="36">
        <v>2022.0</v>
      </c>
      <c r="H1348" s="33" t="s">
        <v>58</v>
      </c>
      <c r="I1348" s="33" t="s">
        <v>230</v>
      </c>
      <c r="J1348" s="57">
        <v>1989.0</v>
      </c>
      <c r="K1348" s="58">
        <v>0.93</v>
      </c>
      <c r="L1348" s="37">
        <v>82.0</v>
      </c>
      <c r="M1348" s="16">
        <f t="shared" si="252"/>
        <v>1.134146341</v>
      </c>
      <c r="N1348" s="17"/>
    </row>
    <row r="1349">
      <c r="A1349" s="9"/>
      <c r="B1349" s="38">
        <f t="shared" si="233"/>
        <v>1345</v>
      </c>
      <c r="C1349" s="70"/>
      <c r="D1349" s="48" t="s">
        <v>1087</v>
      </c>
      <c r="E1349" s="13" t="s">
        <v>932</v>
      </c>
      <c r="F1349" s="13">
        <v>10.0</v>
      </c>
      <c r="G1349" s="35" t="str">
        <f t="shared" ref="G1349:G1350" si="255">IF(C1349&gt;40908,"2012",IF(C1349&gt;40543,"2011",IF(C1349&gt;40178,"2010",IF(C1349&gt;=39814,"2009",IF(C1349&gt;=39448,"2008",IF(C1349&gt;39082,"2007",IF(C1349&lt;38717,"Pre-2006","2006")))))))</f>
        <v>Pre-2006</v>
      </c>
      <c r="H1349" s="71"/>
      <c r="I1349" s="71"/>
      <c r="J1349" s="61"/>
      <c r="K1349" s="62"/>
      <c r="L1349" s="63"/>
      <c r="M1349" s="59" t="str">
        <f t="shared" si="252"/>
        <v>NA</v>
      </c>
      <c r="N1349" s="17"/>
    </row>
    <row r="1350">
      <c r="A1350" s="9"/>
      <c r="B1350" s="38">
        <f t="shared" si="233"/>
        <v>1346</v>
      </c>
      <c r="C1350" s="70"/>
      <c r="D1350" s="48" t="s">
        <v>1088</v>
      </c>
      <c r="E1350" s="13" t="s">
        <v>932</v>
      </c>
      <c r="F1350" s="13">
        <v>10.0</v>
      </c>
      <c r="G1350" s="35" t="str">
        <f t="shared" si="255"/>
        <v>Pre-2006</v>
      </c>
      <c r="H1350" s="71"/>
      <c r="I1350" s="71"/>
      <c r="J1350" s="61"/>
      <c r="K1350" s="62"/>
      <c r="L1350" s="63"/>
      <c r="M1350" s="59" t="str">
        <f t="shared" si="252"/>
        <v>NA</v>
      </c>
      <c r="N1350" s="17"/>
    </row>
    <row r="1351">
      <c r="A1351" s="9"/>
      <c r="B1351" s="38">
        <f t="shared" si="233"/>
        <v>1347</v>
      </c>
      <c r="C1351" s="34">
        <v>44695.0</v>
      </c>
      <c r="D1351" s="12" t="str">
        <f>hyperlink("https://www.rottentomatoes.com/m/london_has_fallen","London Has Fallen")</f>
        <v>London Has Fallen</v>
      </c>
      <c r="E1351" s="33" t="s">
        <v>932</v>
      </c>
      <c r="F1351" s="33">
        <v>10.0</v>
      </c>
      <c r="G1351" s="36">
        <v>2022.0</v>
      </c>
      <c r="H1351" s="33" t="s">
        <v>58</v>
      </c>
      <c r="I1351" s="33" t="s">
        <v>77</v>
      </c>
      <c r="J1351" s="57">
        <v>2016.0</v>
      </c>
      <c r="K1351" s="58">
        <v>0.27</v>
      </c>
      <c r="L1351" s="37">
        <v>99.0</v>
      </c>
      <c r="M1351" s="16">
        <f t="shared" si="252"/>
        <v>0.2727272727</v>
      </c>
      <c r="N1351" s="17"/>
    </row>
    <row r="1352">
      <c r="A1352" s="9"/>
      <c r="B1352" s="38">
        <f t="shared" si="233"/>
        <v>1348</v>
      </c>
      <c r="C1352" s="34">
        <v>41983.0</v>
      </c>
      <c r="D1352" s="12" t="str">
        <f>hyperlink("http://www.rottentomatoes.com/m/lone_survivor/?search=lone%20surv","Lone Survivor")</f>
        <v>Lone Survivor</v>
      </c>
      <c r="E1352" s="13" t="s">
        <v>932</v>
      </c>
      <c r="F1352" s="13">
        <v>10.0</v>
      </c>
      <c r="G1352" s="13">
        <v>2014.0</v>
      </c>
      <c r="H1352" s="13" t="s">
        <v>25</v>
      </c>
      <c r="I1352" s="13" t="s">
        <v>47</v>
      </c>
      <c r="J1352" s="55">
        <v>2014.0</v>
      </c>
      <c r="K1352" s="56">
        <v>0.75</v>
      </c>
      <c r="L1352" s="14">
        <v>122.0</v>
      </c>
      <c r="M1352" s="16">
        <f t="shared" si="252"/>
        <v>0.6147540984</v>
      </c>
      <c r="N1352" s="17"/>
    </row>
    <row r="1353">
      <c r="A1353" s="9"/>
      <c r="B1353" s="38">
        <f t="shared" si="233"/>
        <v>1349</v>
      </c>
      <c r="C1353" s="70"/>
      <c r="D1353" s="48" t="s">
        <v>1089</v>
      </c>
      <c r="E1353" s="13" t="s">
        <v>932</v>
      </c>
      <c r="F1353" s="13">
        <v>10.0</v>
      </c>
      <c r="G1353" s="35" t="str">
        <f>IF(C1353&gt;40908,"2012",IF(C1353&gt;40543,"2011",IF(C1353&gt;40178,"2010",IF(C1353&gt;=39814,"2009",IF(C1353&gt;=39448,"2008",IF(C1353&gt;39082,"2007",IF(C1353&lt;38717,"Pre-2006","2006")))))))</f>
        <v>Pre-2006</v>
      </c>
      <c r="H1353" s="71"/>
      <c r="I1353" s="71"/>
      <c r="J1353" s="61"/>
      <c r="K1353" s="62"/>
      <c r="L1353" s="63"/>
      <c r="M1353" s="59" t="str">
        <f t="shared" si="252"/>
        <v>NA</v>
      </c>
      <c r="N1353" s="17"/>
    </row>
    <row r="1354">
      <c r="A1354" s="9"/>
      <c r="B1354" s="38">
        <f t="shared" si="233"/>
        <v>1350</v>
      </c>
      <c r="C1354" s="34">
        <v>41279.0</v>
      </c>
      <c r="D1354" s="48" t="s">
        <v>1090</v>
      </c>
      <c r="E1354" s="13" t="s">
        <v>932</v>
      </c>
      <c r="F1354" s="13">
        <v>10.0</v>
      </c>
      <c r="G1354" s="13">
        <v>2013.0</v>
      </c>
      <c r="H1354" s="13" t="s">
        <v>25</v>
      </c>
      <c r="I1354" s="13" t="s">
        <v>399</v>
      </c>
      <c r="J1354" s="55">
        <v>2012.0</v>
      </c>
      <c r="K1354" s="56">
        <v>0.94</v>
      </c>
      <c r="L1354" s="14">
        <v>119.0</v>
      </c>
      <c r="M1354" s="16">
        <f t="shared" si="252"/>
        <v>0.7899159664</v>
      </c>
      <c r="N1354" s="17"/>
    </row>
    <row r="1355">
      <c r="A1355" s="9"/>
      <c r="B1355" s="38">
        <f t="shared" si="233"/>
        <v>1351</v>
      </c>
      <c r="C1355" s="70"/>
      <c r="D1355" s="48" t="s">
        <v>1091</v>
      </c>
      <c r="E1355" s="13" t="s">
        <v>932</v>
      </c>
      <c r="F1355" s="13">
        <v>10.0</v>
      </c>
      <c r="G1355" s="35" t="str">
        <f t="shared" ref="G1355:G1358" si="256">IF(C1355&gt;40908,"2012",IF(C1355&gt;40543,"2011",IF(C1355&gt;40178,"2010",IF(C1355&gt;=39814,"2009",IF(C1355&gt;=39448,"2008",IF(C1355&gt;39082,"2007",IF(C1355&lt;38717,"Pre-2006","2006")))))))</f>
        <v>Pre-2006</v>
      </c>
      <c r="H1355" s="71"/>
      <c r="I1355" s="71"/>
      <c r="J1355" s="61"/>
      <c r="K1355" s="62"/>
      <c r="L1355" s="63"/>
      <c r="M1355" s="59" t="str">
        <f t="shared" si="252"/>
        <v>NA</v>
      </c>
      <c r="N1355" s="17"/>
    </row>
    <row r="1356">
      <c r="A1356" s="9"/>
      <c r="B1356" s="38">
        <f t="shared" si="233"/>
        <v>1352</v>
      </c>
      <c r="C1356" s="70"/>
      <c r="D1356" s="48" t="s">
        <v>1092</v>
      </c>
      <c r="E1356" s="13" t="s">
        <v>932</v>
      </c>
      <c r="F1356" s="13">
        <v>10.0</v>
      </c>
      <c r="G1356" s="35" t="str">
        <f t="shared" si="256"/>
        <v>Pre-2006</v>
      </c>
      <c r="H1356" s="71"/>
      <c r="I1356" s="71"/>
      <c r="J1356" s="61"/>
      <c r="K1356" s="62"/>
      <c r="L1356" s="63"/>
      <c r="M1356" s="59" t="str">
        <f t="shared" si="252"/>
        <v>NA</v>
      </c>
      <c r="N1356" s="17"/>
    </row>
    <row r="1357">
      <c r="A1357" s="9"/>
      <c r="B1357" s="38">
        <f t="shared" si="233"/>
        <v>1353</v>
      </c>
      <c r="C1357" s="70"/>
      <c r="D1357" s="48" t="s">
        <v>1093</v>
      </c>
      <c r="E1357" s="13" t="s">
        <v>932</v>
      </c>
      <c r="F1357" s="13">
        <v>10.0</v>
      </c>
      <c r="G1357" s="35" t="str">
        <f t="shared" si="256"/>
        <v>Pre-2006</v>
      </c>
      <c r="H1357" s="71"/>
      <c r="I1357" s="71"/>
      <c r="J1357" s="61"/>
      <c r="K1357" s="62"/>
      <c r="L1357" s="63"/>
      <c r="M1357" s="59" t="str">
        <f t="shared" si="252"/>
        <v>NA</v>
      </c>
      <c r="N1357" s="17"/>
    </row>
    <row r="1358">
      <c r="A1358" s="9"/>
      <c r="B1358" s="38">
        <f t="shared" si="233"/>
        <v>1354</v>
      </c>
      <c r="C1358" s="70"/>
      <c r="D1358" s="48" t="s">
        <v>1094</v>
      </c>
      <c r="E1358" s="13" t="s">
        <v>932</v>
      </c>
      <c r="F1358" s="13">
        <v>10.0</v>
      </c>
      <c r="G1358" s="35" t="str">
        <f t="shared" si="256"/>
        <v>Pre-2006</v>
      </c>
      <c r="H1358" s="71"/>
      <c r="I1358" s="71"/>
      <c r="J1358" s="61"/>
      <c r="K1358" s="62"/>
      <c r="L1358" s="63"/>
      <c r="M1358" s="59" t="str">
        <f t="shared" si="252"/>
        <v>NA</v>
      </c>
      <c r="N1358" s="17"/>
    </row>
    <row r="1359">
      <c r="A1359" s="9"/>
      <c r="B1359" s="38">
        <f t="shared" si="233"/>
        <v>1355</v>
      </c>
      <c r="C1359" s="34">
        <v>42870.0</v>
      </c>
      <c r="D1359" s="74" t="str">
        <f>hyperlink("https://www.rottentomatoes.com/m/man_up_2015","Man Up")</f>
        <v>Man Up</v>
      </c>
      <c r="E1359" s="33" t="s">
        <v>932</v>
      </c>
      <c r="F1359" s="33">
        <v>10.0</v>
      </c>
      <c r="G1359" s="36">
        <v>2017.0</v>
      </c>
      <c r="H1359" s="33" t="s">
        <v>25</v>
      </c>
      <c r="I1359" s="33" t="s">
        <v>77</v>
      </c>
      <c r="J1359" s="37">
        <v>2015.0</v>
      </c>
      <c r="K1359" s="15">
        <v>0.81</v>
      </c>
      <c r="L1359" s="37">
        <v>88.0</v>
      </c>
      <c r="M1359" s="59">
        <f t="shared" si="252"/>
        <v>0.9204545455</v>
      </c>
      <c r="N1359" s="17"/>
    </row>
    <row r="1360">
      <c r="A1360" s="9"/>
      <c r="B1360" s="38">
        <f t="shared" si="233"/>
        <v>1356</v>
      </c>
      <c r="C1360" s="34">
        <v>40887.0</v>
      </c>
      <c r="D1360" s="48" t="s">
        <v>1095</v>
      </c>
      <c r="E1360" s="13" t="s">
        <v>932</v>
      </c>
      <c r="F1360" s="13">
        <v>10.0</v>
      </c>
      <c r="G1360" s="35" t="str">
        <f t="shared" ref="G1360:G1365" si="257">IF(C1360&gt;40908,"2012",IF(C1360&gt;40543,"2011",IF(C1360&gt;40178,"2010",IF(C1360&gt;=39814,"2009",IF(C1360&gt;=39448,"2008",IF(C1360&gt;39082,"2007",IF(C1360&lt;38717,"Pre-2006","2006")))))))</f>
        <v>2011</v>
      </c>
      <c r="H1360" s="13" t="s">
        <v>25</v>
      </c>
      <c r="I1360" s="13" t="s">
        <v>47</v>
      </c>
      <c r="J1360" s="14">
        <v>2011.0</v>
      </c>
      <c r="K1360" s="15">
        <v>0.85</v>
      </c>
      <c r="L1360" s="14">
        <v>109.0</v>
      </c>
      <c r="M1360" s="16">
        <f t="shared" si="252"/>
        <v>0.7798165138</v>
      </c>
      <c r="N1360" s="17"/>
    </row>
    <row r="1361">
      <c r="A1361" s="9"/>
      <c r="B1361" s="38">
        <f t="shared" si="233"/>
        <v>1357</v>
      </c>
      <c r="C1361" s="70"/>
      <c r="D1361" s="48" t="s">
        <v>1096</v>
      </c>
      <c r="E1361" s="13" t="s">
        <v>932</v>
      </c>
      <c r="F1361" s="13">
        <v>10.0</v>
      </c>
      <c r="G1361" s="35" t="str">
        <f t="shared" si="257"/>
        <v>Pre-2006</v>
      </c>
      <c r="H1361" s="71"/>
      <c r="I1361" s="71"/>
      <c r="J1361" s="61"/>
      <c r="K1361" s="62"/>
      <c r="L1361" s="63"/>
      <c r="M1361" s="59" t="str">
        <f t="shared" si="252"/>
        <v>NA</v>
      </c>
      <c r="N1361" s="17"/>
    </row>
    <row r="1362">
      <c r="A1362" s="9"/>
      <c r="B1362" s="38">
        <f t="shared" si="233"/>
        <v>1358</v>
      </c>
      <c r="C1362" s="70"/>
      <c r="D1362" s="48" t="s">
        <v>1097</v>
      </c>
      <c r="E1362" s="13" t="s">
        <v>932</v>
      </c>
      <c r="F1362" s="13">
        <v>10.0</v>
      </c>
      <c r="G1362" s="35" t="str">
        <f t="shared" si="257"/>
        <v>Pre-2006</v>
      </c>
      <c r="H1362" s="71"/>
      <c r="I1362" s="71"/>
      <c r="J1362" s="61"/>
      <c r="K1362" s="62"/>
      <c r="L1362" s="63"/>
      <c r="M1362" s="59" t="str">
        <f t="shared" si="252"/>
        <v>NA</v>
      </c>
      <c r="N1362" s="17"/>
    </row>
    <row r="1363">
      <c r="A1363" s="9"/>
      <c r="B1363" s="38">
        <f t="shared" si="233"/>
        <v>1359</v>
      </c>
      <c r="C1363" s="70"/>
      <c r="D1363" s="48" t="s">
        <v>1098</v>
      </c>
      <c r="E1363" s="13" t="s">
        <v>932</v>
      </c>
      <c r="F1363" s="13">
        <v>10.0</v>
      </c>
      <c r="G1363" s="35" t="str">
        <f t="shared" si="257"/>
        <v>Pre-2006</v>
      </c>
      <c r="H1363" s="71"/>
      <c r="I1363" s="71"/>
      <c r="J1363" s="61"/>
      <c r="K1363" s="62"/>
      <c r="L1363" s="63"/>
      <c r="M1363" s="59" t="str">
        <f t="shared" si="252"/>
        <v>NA</v>
      </c>
      <c r="N1363" s="17"/>
    </row>
    <row r="1364">
      <c r="A1364" s="9"/>
      <c r="B1364" s="38">
        <f t="shared" si="233"/>
        <v>1360</v>
      </c>
      <c r="C1364" s="70"/>
      <c r="D1364" s="48" t="s">
        <v>1099</v>
      </c>
      <c r="E1364" s="13" t="s">
        <v>932</v>
      </c>
      <c r="F1364" s="13">
        <v>10.0</v>
      </c>
      <c r="G1364" s="35" t="str">
        <f t="shared" si="257"/>
        <v>Pre-2006</v>
      </c>
      <c r="H1364" s="71"/>
      <c r="I1364" s="71"/>
      <c r="J1364" s="61"/>
      <c r="K1364" s="62"/>
      <c r="L1364" s="63"/>
      <c r="M1364" s="59" t="str">
        <f t="shared" si="252"/>
        <v>NA</v>
      </c>
      <c r="N1364" s="17"/>
    </row>
    <row r="1365">
      <c r="A1365" s="9"/>
      <c r="B1365" s="38">
        <f t="shared" si="233"/>
        <v>1361</v>
      </c>
      <c r="C1365" s="34">
        <v>39168.0</v>
      </c>
      <c r="D1365" s="48" t="s">
        <v>1100</v>
      </c>
      <c r="E1365" s="13" t="s">
        <v>932</v>
      </c>
      <c r="F1365" s="13">
        <v>10.0</v>
      </c>
      <c r="G1365" s="35" t="str">
        <f t="shared" si="257"/>
        <v>2007</v>
      </c>
      <c r="H1365" s="71"/>
      <c r="I1365" s="71"/>
      <c r="J1365" s="61"/>
      <c r="K1365" s="62"/>
      <c r="L1365" s="63"/>
      <c r="M1365" s="59" t="str">
        <f t="shared" si="252"/>
        <v>NA</v>
      </c>
      <c r="N1365" s="17"/>
    </row>
    <row r="1366">
      <c r="A1366" s="9"/>
      <c r="B1366" s="38">
        <f t="shared" si="233"/>
        <v>1362</v>
      </c>
      <c r="C1366" s="34">
        <v>45453.0</v>
      </c>
      <c r="D1366" s="12" t="str">
        <f>hyperlink("https://www.rottentomatoes.com/m/mean_girls_2024","Mean Girls: The Musical")</f>
        <v>Mean Girls: The Musical</v>
      </c>
      <c r="E1366" s="33" t="s">
        <v>932</v>
      </c>
      <c r="F1366" s="33">
        <v>10.0</v>
      </c>
      <c r="G1366" s="36">
        <v>2024.0</v>
      </c>
      <c r="H1366" s="33" t="s">
        <v>785</v>
      </c>
      <c r="I1366" s="33" t="s">
        <v>47</v>
      </c>
      <c r="J1366" s="57">
        <v>2024.0</v>
      </c>
      <c r="K1366" s="58">
        <v>0.69</v>
      </c>
      <c r="L1366" s="37">
        <v>112.0</v>
      </c>
      <c r="M1366" s="16">
        <f t="shared" si="252"/>
        <v>0.6160714286</v>
      </c>
      <c r="N1366" s="17"/>
    </row>
    <row r="1367">
      <c r="A1367" s="9"/>
      <c r="B1367" s="38">
        <f t="shared" si="233"/>
        <v>1363</v>
      </c>
      <c r="C1367" s="70"/>
      <c r="D1367" s="48" t="s">
        <v>1101</v>
      </c>
      <c r="E1367" s="13" t="s">
        <v>932</v>
      </c>
      <c r="F1367" s="13">
        <v>10.0</v>
      </c>
      <c r="G1367" s="35" t="str">
        <f t="shared" ref="G1367:G1368" si="258">IF(C1367&gt;40908,"2012",IF(C1367&gt;40543,"2011",IF(C1367&gt;40178,"2010",IF(C1367&gt;=39814,"2009",IF(C1367&gt;=39448,"2008",IF(C1367&gt;39082,"2007",IF(C1367&lt;38717,"Pre-2006","2006")))))))</f>
        <v>Pre-2006</v>
      </c>
      <c r="H1367" s="71"/>
      <c r="I1367" s="71"/>
      <c r="J1367" s="61"/>
      <c r="K1367" s="62"/>
      <c r="L1367" s="63"/>
      <c r="M1367" s="59" t="str">
        <f t="shared" si="252"/>
        <v>NA</v>
      </c>
      <c r="N1367" s="17"/>
    </row>
    <row r="1368">
      <c r="A1368" s="9"/>
      <c r="B1368" s="38">
        <f t="shared" si="233"/>
        <v>1364</v>
      </c>
      <c r="C1368" s="34">
        <v>39121.0</v>
      </c>
      <c r="D1368" s="48" t="s">
        <v>1102</v>
      </c>
      <c r="E1368" s="13" t="s">
        <v>932</v>
      </c>
      <c r="F1368" s="13">
        <v>10.0</v>
      </c>
      <c r="G1368" s="35" t="str">
        <f t="shared" si="258"/>
        <v>2007</v>
      </c>
      <c r="H1368" s="71"/>
      <c r="I1368" s="71"/>
      <c r="J1368" s="61"/>
      <c r="K1368" s="62"/>
      <c r="L1368" s="63"/>
      <c r="M1368" s="59" t="str">
        <f t="shared" si="252"/>
        <v>NA</v>
      </c>
      <c r="N1368" s="17"/>
    </row>
    <row r="1369">
      <c r="A1369" s="9"/>
      <c r="B1369" s="38">
        <f t="shared" si="233"/>
        <v>1365</v>
      </c>
      <c r="C1369" s="34">
        <v>45083.0</v>
      </c>
      <c r="D1369" s="12" t="str">
        <f>hyperlink("https://www.rottentomatoes.com/m/the_menu","Menu, The")</f>
        <v>Menu, The</v>
      </c>
      <c r="E1369" s="33" t="s">
        <v>932</v>
      </c>
      <c r="F1369" s="33">
        <v>10.0</v>
      </c>
      <c r="G1369" s="36">
        <v>2023.0</v>
      </c>
      <c r="H1369" s="33" t="s">
        <v>58</v>
      </c>
      <c r="I1369" s="33" t="s">
        <v>47</v>
      </c>
      <c r="J1369" s="57">
        <v>2022.0</v>
      </c>
      <c r="K1369" s="58">
        <v>0.88</v>
      </c>
      <c r="L1369" s="37">
        <v>107.0</v>
      </c>
      <c r="M1369" s="16">
        <f t="shared" si="252"/>
        <v>0.8224299065</v>
      </c>
      <c r="N1369" s="17"/>
    </row>
    <row r="1370">
      <c r="A1370" s="9"/>
      <c r="B1370" s="38">
        <f t="shared" si="233"/>
        <v>1366</v>
      </c>
      <c r="C1370" s="34">
        <v>39090.0</v>
      </c>
      <c r="D1370" s="48" t="s">
        <v>1103</v>
      </c>
      <c r="E1370" s="13" t="s">
        <v>932</v>
      </c>
      <c r="F1370" s="13">
        <v>10.0</v>
      </c>
      <c r="G1370" s="35" t="str">
        <f t="shared" ref="G1370:G1373" si="259">IF(C1370&gt;40908,"2012",IF(C1370&gt;40543,"2011",IF(C1370&gt;40178,"2010",IF(C1370&gt;=39814,"2009",IF(C1370&gt;=39448,"2008",IF(C1370&gt;39082,"2007",IF(C1370&lt;38717,"Pre-2006","2006")))))))</f>
        <v>2007</v>
      </c>
      <c r="H1370" s="71"/>
      <c r="I1370" s="71"/>
      <c r="J1370" s="61"/>
      <c r="K1370" s="62"/>
      <c r="L1370" s="63"/>
      <c r="M1370" s="59" t="str">
        <f t="shared" si="252"/>
        <v>NA</v>
      </c>
      <c r="N1370" s="17"/>
    </row>
    <row r="1371">
      <c r="A1371" s="9"/>
      <c r="B1371" s="38">
        <f t="shared" si="233"/>
        <v>1367</v>
      </c>
      <c r="C1371" s="34">
        <v>40125.0</v>
      </c>
      <c r="D1371" s="48" t="s">
        <v>1104</v>
      </c>
      <c r="E1371" s="13" t="s">
        <v>932</v>
      </c>
      <c r="F1371" s="13">
        <v>10.0</v>
      </c>
      <c r="G1371" s="35" t="str">
        <f t="shared" si="259"/>
        <v>2009</v>
      </c>
      <c r="H1371" s="13" t="s">
        <v>27</v>
      </c>
      <c r="I1371" s="13" t="s">
        <v>26</v>
      </c>
      <c r="J1371" s="14">
        <v>2009.0</v>
      </c>
      <c r="K1371" s="15">
        <v>0.8</v>
      </c>
      <c r="L1371" s="14">
        <v>97.0</v>
      </c>
      <c r="M1371" s="16">
        <f t="shared" si="252"/>
        <v>0.824742268</v>
      </c>
      <c r="N1371" s="17"/>
    </row>
    <row r="1372">
      <c r="A1372" s="9"/>
      <c r="B1372" s="38">
        <f t="shared" si="233"/>
        <v>1368</v>
      </c>
      <c r="C1372" s="70"/>
      <c r="D1372" s="48" t="s">
        <v>1105</v>
      </c>
      <c r="E1372" s="13" t="s">
        <v>932</v>
      </c>
      <c r="F1372" s="13">
        <v>10.0</v>
      </c>
      <c r="G1372" s="35" t="str">
        <f t="shared" si="259"/>
        <v>Pre-2006</v>
      </c>
      <c r="H1372" s="71"/>
      <c r="I1372" s="71"/>
      <c r="J1372" s="61"/>
      <c r="K1372" s="62"/>
      <c r="L1372" s="63"/>
      <c r="M1372" s="59" t="str">
        <f t="shared" si="252"/>
        <v>NA</v>
      </c>
      <c r="N1372" s="17"/>
    </row>
    <row r="1373">
      <c r="A1373" s="9"/>
      <c r="B1373" s="38">
        <f t="shared" si="233"/>
        <v>1369</v>
      </c>
      <c r="C1373" s="70"/>
      <c r="D1373" s="48" t="s">
        <v>1106</v>
      </c>
      <c r="E1373" s="13" t="s">
        <v>932</v>
      </c>
      <c r="F1373" s="13">
        <v>10.0</v>
      </c>
      <c r="G1373" s="35" t="str">
        <f t="shared" si="259"/>
        <v>Pre-2006</v>
      </c>
      <c r="H1373" s="71"/>
      <c r="I1373" s="71"/>
      <c r="J1373" s="61"/>
      <c r="K1373" s="62"/>
      <c r="L1373" s="63"/>
      <c r="M1373" s="59" t="str">
        <f t="shared" si="252"/>
        <v>NA</v>
      </c>
      <c r="N1373" s="17"/>
    </row>
    <row r="1374">
      <c r="A1374" s="9"/>
      <c r="B1374" s="38">
        <f t="shared" si="233"/>
        <v>1370</v>
      </c>
      <c r="C1374" s="75">
        <v>42865.0</v>
      </c>
      <c r="D1374" s="12" t="str">
        <f>hyperlink("https://www.rottentomatoes.com/m/mike_and_dave_need_wedding_dates","Mike and Dave need Wedding Dates")</f>
        <v>Mike and Dave need Wedding Dates</v>
      </c>
      <c r="E1374" s="33" t="s">
        <v>932</v>
      </c>
      <c r="F1374" s="33">
        <v>10.0</v>
      </c>
      <c r="G1374" s="36">
        <v>2017.0</v>
      </c>
      <c r="H1374" s="33" t="s">
        <v>25</v>
      </c>
      <c r="I1374" s="33" t="s">
        <v>47</v>
      </c>
      <c r="J1374" s="57">
        <v>2016.0</v>
      </c>
      <c r="K1374" s="58">
        <v>0.35</v>
      </c>
      <c r="L1374" s="37">
        <v>98.0</v>
      </c>
      <c r="M1374" s="59">
        <f t="shared" si="252"/>
        <v>0.3571428571</v>
      </c>
      <c r="N1374" s="17"/>
    </row>
    <row r="1375">
      <c r="A1375" s="9"/>
      <c r="B1375" s="38">
        <f t="shared" si="233"/>
        <v>1371</v>
      </c>
      <c r="C1375" s="70"/>
      <c r="D1375" s="48" t="s">
        <v>1107</v>
      </c>
      <c r="E1375" s="13" t="s">
        <v>932</v>
      </c>
      <c r="F1375" s="13">
        <v>10.0</v>
      </c>
      <c r="G1375" s="35" t="str">
        <f t="shared" ref="G1375:G1380" si="260">IF(C1375&gt;40908,"2012",IF(C1375&gt;40543,"2011",IF(C1375&gt;40178,"2010",IF(C1375&gt;=39814,"2009",IF(C1375&gt;=39448,"2008",IF(C1375&gt;39082,"2007",IF(C1375&lt;38717,"Pre-2006","2006")))))))</f>
        <v>Pre-2006</v>
      </c>
      <c r="H1375" s="71"/>
      <c r="I1375" s="71"/>
      <c r="J1375" s="61"/>
      <c r="K1375" s="62"/>
      <c r="L1375" s="63"/>
      <c r="M1375" s="59" t="str">
        <f t="shared" si="252"/>
        <v>NA</v>
      </c>
      <c r="N1375" s="17"/>
    </row>
    <row r="1376">
      <c r="A1376" s="9"/>
      <c r="B1376" s="38">
        <f t="shared" si="233"/>
        <v>1372</v>
      </c>
      <c r="C1376" s="70"/>
      <c r="D1376" s="48" t="s">
        <v>1108</v>
      </c>
      <c r="E1376" s="13" t="s">
        <v>932</v>
      </c>
      <c r="F1376" s="13">
        <v>10.0</v>
      </c>
      <c r="G1376" s="35" t="str">
        <f t="shared" si="260"/>
        <v>Pre-2006</v>
      </c>
      <c r="H1376" s="71"/>
      <c r="I1376" s="71"/>
      <c r="J1376" s="61"/>
      <c r="K1376" s="62"/>
      <c r="L1376" s="63"/>
      <c r="M1376" s="59" t="str">
        <f t="shared" si="252"/>
        <v>NA</v>
      </c>
      <c r="N1376" s="17"/>
    </row>
    <row r="1377">
      <c r="A1377" s="9"/>
      <c r="B1377" s="38">
        <f t="shared" si="233"/>
        <v>1373</v>
      </c>
      <c r="C1377" s="70"/>
      <c r="D1377" s="48" t="s">
        <v>1109</v>
      </c>
      <c r="E1377" s="13" t="s">
        <v>932</v>
      </c>
      <c r="F1377" s="13">
        <v>10.0</v>
      </c>
      <c r="G1377" s="35" t="str">
        <f t="shared" si="260"/>
        <v>Pre-2006</v>
      </c>
      <c r="H1377" s="71"/>
      <c r="I1377" s="71"/>
      <c r="J1377" s="61"/>
      <c r="K1377" s="62"/>
      <c r="L1377" s="63"/>
      <c r="M1377" s="59" t="str">
        <f t="shared" si="252"/>
        <v>NA</v>
      </c>
      <c r="N1377" s="17"/>
    </row>
    <row r="1378">
      <c r="A1378" s="9"/>
      <c r="B1378" s="38">
        <f t="shared" si="233"/>
        <v>1374</v>
      </c>
      <c r="C1378" s="70"/>
      <c r="D1378" s="48" t="s">
        <v>1110</v>
      </c>
      <c r="E1378" s="13" t="s">
        <v>932</v>
      </c>
      <c r="F1378" s="13">
        <v>10.0</v>
      </c>
      <c r="G1378" s="35" t="str">
        <f t="shared" si="260"/>
        <v>Pre-2006</v>
      </c>
      <c r="H1378" s="71"/>
      <c r="I1378" s="71"/>
      <c r="J1378" s="61"/>
      <c r="K1378" s="62"/>
      <c r="L1378" s="63"/>
      <c r="M1378" s="59" t="str">
        <f t="shared" si="252"/>
        <v>NA</v>
      </c>
      <c r="N1378" s="17"/>
    </row>
    <row r="1379">
      <c r="A1379" s="9"/>
      <c r="B1379" s="38">
        <f t="shared" si="233"/>
        <v>1375</v>
      </c>
      <c r="C1379" s="70"/>
      <c r="D1379" s="48" t="s">
        <v>1111</v>
      </c>
      <c r="E1379" s="13" t="s">
        <v>932</v>
      </c>
      <c r="F1379" s="13">
        <v>10.0</v>
      </c>
      <c r="G1379" s="35" t="str">
        <f t="shared" si="260"/>
        <v>Pre-2006</v>
      </c>
      <c r="H1379" s="71"/>
      <c r="I1379" s="71"/>
      <c r="J1379" s="61"/>
      <c r="K1379" s="62"/>
      <c r="L1379" s="63"/>
      <c r="M1379" s="59" t="str">
        <f t="shared" si="252"/>
        <v>NA</v>
      </c>
      <c r="N1379" s="17"/>
    </row>
    <row r="1380">
      <c r="A1380" s="9"/>
      <c r="B1380" s="38">
        <f t="shared" si="233"/>
        <v>1376</v>
      </c>
      <c r="C1380" s="70"/>
      <c r="D1380" s="48" t="s">
        <v>1112</v>
      </c>
      <c r="E1380" s="13" t="s">
        <v>932</v>
      </c>
      <c r="F1380" s="13">
        <v>10.0</v>
      </c>
      <c r="G1380" s="35" t="str">
        <f t="shared" si="260"/>
        <v>Pre-2006</v>
      </c>
      <c r="H1380" s="71"/>
      <c r="I1380" s="71"/>
      <c r="J1380" s="61"/>
      <c r="K1380" s="62"/>
      <c r="L1380" s="63"/>
      <c r="M1380" s="59" t="str">
        <f t="shared" si="252"/>
        <v>NA</v>
      </c>
      <c r="N1380" s="17"/>
    </row>
    <row r="1381">
      <c r="A1381" s="9"/>
      <c r="B1381" s="38">
        <f t="shared" si="233"/>
        <v>1377</v>
      </c>
      <c r="C1381" s="75">
        <v>45327.0</v>
      </c>
      <c r="D1381" s="12" t="str">
        <f>hyperlink("https://www.netflix.com/title/81748052","Nature Boy")</f>
        <v>Nature Boy</v>
      </c>
      <c r="E1381" s="33" t="s">
        <v>932</v>
      </c>
      <c r="F1381" s="33">
        <v>10.0</v>
      </c>
      <c r="G1381" s="36">
        <v>2024.0</v>
      </c>
      <c r="H1381" s="33" t="s">
        <v>58</v>
      </c>
      <c r="I1381" s="33" t="s">
        <v>77</v>
      </c>
      <c r="J1381" s="57">
        <v>2017.0</v>
      </c>
      <c r="K1381" s="82" t="s">
        <v>169</v>
      </c>
      <c r="L1381" s="37">
        <v>77.0</v>
      </c>
      <c r="M1381" s="72" t="s">
        <v>169</v>
      </c>
      <c r="N1381" s="17"/>
    </row>
    <row r="1382">
      <c r="A1382" s="9"/>
      <c r="B1382" s="38">
        <f t="shared" si="233"/>
        <v>1378</v>
      </c>
      <c r="C1382" s="70"/>
      <c r="D1382" s="48" t="s">
        <v>1113</v>
      </c>
      <c r="E1382" s="13" t="s">
        <v>932</v>
      </c>
      <c r="F1382" s="13">
        <v>10.0</v>
      </c>
      <c r="G1382" s="35" t="str">
        <f t="shared" ref="G1382:G1383" si="261">IF(C1382&gt;40908,"2012",IF(C1382&gt;40543,"2011",IF(C1382&gt;40178,"2010",IF(C1382&gt;=39814,"2009",IF(C1382&gt;=39448,"2008",IF(C1382&gt;39082,"2007",IF(C1382&lt;38717,"Pre-2006","2006")))))))</f>
        <v>Pre-2006</v>
      </c>
      <c r="H1382" s="71"/>
      <c r="I1382" s="71"/>
      <c r="J1382" s="61"/>
      <c r="K1382" s="62"/>
      <c r="L1382" s="63"/>
      <c r="M1382" s="59" t="str">
        <f t="shared" ref="M1382:M1383" si="262">if(iserror(K1382/L1382*100),"NA",K1382/L1382*100)</f>
        <v>NA</v>
      </c>
      <c r="N1382" s="17"/>
    </row>
    <row r="1383">
      <c r="A1383" s="9"/>
      <c r="B1383" s="38">
        <f t="shared" si="233"/>
        <v>1379</v>
      </c>
      <c r="C1383" s="70"/>
      <c r="D1383" s="48" t="s">
        <v>1114</v>
      </c>
      <c r="E1383" s="13" t="s">
        <v>932</v>
      </c>
      <c r="F1383" s="13">
        <v>10.0</v>
      </c>
      <c r="G1383" s="35" t="str">
        <f t="shared" si="261"/>
        <v>Pre-2006</v>
      </c>
      <c r="H1383" s="71"/>
      <c r="I1383" s="71"/>
      <c r="J1383" s="61"/>
      <c r="K1383" s="62"/>
      <c r="L1383" s="63"/>
      <c r="M1383" s="59" t="str">
        <f t="shared" si="262"/>
        <v>NA</v>
      </c>
      <c r="N1383" s="17"/>
    </row>
    <row r="1384">
      <c r="A1384" s="9"/>
      <c r="B1384" s="38">
        <f t="shared" si="233"/>
        <v>1380</v>
      </c>
      <c r="C1384" s="75">
        <v>42644.0</v>
      </c>
      <c r="D1384" s="12" t="str">
        <f>hyperlink("https://www.rottentomatoes.com/m/neighbors_2_sorority_rising","Neighbors 2")</f>
        <v>Neighbors 2</v>
      </c>
      <c r="E1384" s="33" t="s">
        <v>932</v>
      </c>
      <c r="F1384" s="33">
        <v>10.0</v>
      </c>
      <c r="G1384" s="36">
        <v>2016.0</v>
      </c>
      <c r="H1384" s="33" t="s">
        <v>58</v>
      </c>
      <c r="I1384" s="33" t="s">
        <v>47</v>
      </c>
      <c r="J1384" s="57">
        <v>2016.0</v>
      </c>
      <c r="K1384" s="58">
        <v>0.62</v>
      </c>
      <c r="L1384" s="37">
        <v>92.0</v>
      </c>
      <c r="M1384" s="59">
        <f>K1384/L1384*100</f>
        <v>0.6739130435</v>
      </c>
      <c r="N1384" s="17"/>
    </row>
    <row r="1385">
      <c r="A1385" s="9"/>
      <c r="B1385" s="38">
        <f t="shared" si="233"/>
        <v>1381</v>
      </c>
      <c r="C1385" s="70"/>
      <c r="D1385" s="48" t="s">
        <v>1115</v>
      </c>
      <c r="E1385" s="13" t="s">
        <v>932</v>
      </c>
      <c r="F1385" s="13">
        <v>10.0</v>
      </c>
      <c r="G1385" s="35" t="str">
        <f t="shared" ref="G1385:G1389" si="263">IF(C1385&gt;40908,"2012",IF(C1385&gt;40543,"2011",IF(C1385&gt;40178,"2010",IF(C1385&gt;=39814,"2009",IF(C1385&gt;=39448,"2008",IF(C1385&gt;39082,"2007",IF(C1385&lt;38717,"Pre-2006","2006")))))))</f>
        <v>Pre-2006</v>
      </c>
      <c r="H1385" s="71"/>
      <c r="I1385" s="71"/>
      <c r="J1385" s="61"/>
      <c r="K1385" s="62"/>
      <c r="L1385" s="63"/>
      <c r="M1385" s="59" t="str">
        <f t="shared" ref="M1385:M1416" si="264">if(iserror(K1385/L1385*100),"NA",K1385/L1385*100)</f>
        <v>NA</v>
      </c>
      <c r="N1385" s="17"/>
    </row>
    <row r="1386">
      <c r="A1386" s="9"/>
      <c r="B1386" s="38">
        <f t="shared" si="233"/>
        <v>1382</v>
      </c>
      <c r="C1386" s="70"/>
      <c r="D1386" s="64" t="s">
        <v>1116</v>
      </c>
      <c r="E1386" s="13" t="s">
        <v>932</v>
      </c>
      <c r="F1386" s="13">
        <v>10.0</v>
      </c>
      <c r="G1386" s="35" t="str">
        <f t="shared" si="263"/>
        <v>Pre-2006</v>
      </c>
      <c r="H1386" s="71"/>
      <c r="I1386" s="71"/>
      <c r="J1386" s="61"/>
      <c r="K1386" s="62"/>
      <c r="L1386" s="63"/>
      <c r="M1386" s="59" t="str">
        <f t="shared" si="264"/>
        <v>NA</v>
      </c>
      <c r="N1386" s="17"/>
    </row>
    <row r="1387">
      <c r="A1387" s="9"/>
      <c r="B1387" s="38">
        <f t="shared" si="233"/>
        <v>1383</v>
      </c>
      <c r="C1387" s="70"/>
      <c r="D1387" s="48" t="s">
        <v>1117</v>
      </c>
      <c r="E1387" s="13" t="s">
        <v>932</v>
      </c>
      <c r="F1387" s="13">
        <v>10.0</v>
      </c>
      <c r="G1387" s="35" t="str">
        <f t="shared" si="263"/>
        <v>Pre-2006</v>
      </c>
      <c r="H1387" s="71"/>
      <c r="I1387" s="71"/>
      <c r="J1387" s="61"/>
      <c r="K1387" s="62"/>
      <c r="L1387" s="63"/>
      <c r="M1387" s="59" t="str">
        <f t="shared" si="264"/>
        <v>NA</v>
      </c>
      <c r="N1387" s="17"/>
    </row>
    <row r="1388">
      <c r="A1388" s="9"/>
      <c r="B1388" s="38">
        <f t="shared" si="233"/>
        <v>1384</v>
      </c>
      <c r="C1388" s="70"/>
      <c r="D1388" s="48" t="s">
        <v>1118</v>
      </c>
      <c r="E1388" s="13" t="s">
        <v>932</v>
      </c>
      <c r="F1388" s="13">
        <v>10.0</v>
      </c>
      <c r="G1388" s="35" t="str">
        <f t="shared" si="263"/>
        <v>Pre-2006</v>
      </c>
      <c r="H1388" s="71"/>
      <c r="I1388" s="71"/>
      <c r="J1388" s="61"/>
      <c r="K1388" s="62"/>
      <c r="L1388" s="63"/>
      <c r="M1388" s="59" t="str">
        <f t="shared" si="264"/>
        <v>NA</v>
      </c>
      <c r="N1388" s="17"/>
    </row>
    <row r="1389">
      <c r="A1389" s="9"/>
      <c r="B1389" s="38">
        <f t="shared" si="233"/>
        <v>1385</v>
      </c>
      <c r="C1389" s="70"/>
      <c r="D1389" s="48" t="s">
        <v>1119</v>
      </c>
      <c r="E1389" s="13" t="s">
        <v>932</v>
      </c>
      <c r="F1389" s="13">
        <v>10.0</v>
      </c>
      <c r="G1389" s="35" t="str">
        <f t="shared" si="263"/>
        <v>Pre-2006</v>
      </c>
      <c r="H1389" s="71"/>
      <c r="I1389" s="71"/>
      <c r="J1389" s="61"/>
      <c r="K1389" s="62"/>
      <c r="L1389" s="63"/>
      <c r="M1389" s="59" t="str">
        <f t="shared" si="264"/>
        <v>NA</v>
      </c>
      <c r="N1389" s="17"/>
    </row>
    <row r="1390">
      <c r="A1390" s="9"/>
      <c r="B1390" s="38">
        <f t="shared" si="233"/>
        <v>1386</v>
      </c>
      <c r="C1390" s="75">
        <v>43271.0</v>
      </c>
      <c r="D1390" s="12" t="str">
        <f>hyperlink("https://www.rottentomatoes.com/m/oceans_8","Ocean's 8")</f>
        <v>Ocean's 8</v>
      </c>
      <c r="E1390" s="33" t="s">
        <v>932</v>
      </c>
      <c r="F1390" s="33">
        <v>10.0</v>
      </c>
      <c r="G1390" s="36">
        <v>2018.0</v>
      </c>
      <c r="H1390" s="33" t="s">
        <v>143</v>
      </c>
      <c r="I1390" s="33" t="s">
        <v>26</v>
      </c>
      <c r="J1390" s="57">
        <v>2018.0</v>
      </c>
      <c r="K1390" s="58">
        <v>0.67</v>
      </c>
      <c r="L1390" s="37">
        <v>110.0</v>
      </c>
      <c r="M1390" s="59">
        <f t="shared" si="264"/>
        <v>0.6090909091</v>
      </c>
      <c r="N1390" s="17"/>
    </row>
    <row r="1391">
      <c r="A1391" s="9"/>
      <c r="B1391" s="38">
        <f t="shared" si="233"/>
        <v>1387</v>
      </c>
      <c r="C1391" s="70"/>
      <c r="D1391" s="48" t="s">
        <v>1120</v>
      </c>
      <c r="E1391" s="13" t="s">
        <v>932</v>
      </c>
      <c r="F1391" s="13">
        <v>10.0</v>
      </c>
      <c r="G1391" s="35" t="str">
        <f t="shared" ref="G1391:G1416" si="265">IF(C1391&gt;40908,"2012",IF(C1391&gt;40543,"2011",IF(C1391&gt;40178,"2010",IF(C1391&gt;=39814,"2009",IF(C1391&gt;=39448,"2008",IF(C1391&gt;39082,"2007",IF(C1391&lt;38717,"Pre-2006","2006")))))))</f>
        <v>Pre-2006</v>
      </c>
      <c r="H1391" s="71"/>
      <c r="I1391" s="71"/>
      <c r="J1391" s="61"/>
      <c r="K1391" s="62"/>
      <c r="L1391" s="63"/>
      <c r="M1391" s="59" t="str">
        <f t="shared" si="264"/>
        <v>NA</v>
      </c>
      <c r="N1391" s="17"/>
    </row>
    <row r="1392">
      <c r="A1392" s="9"/>
      <c r="B1392" s="38">
        <f t="shared" si="233"/>
        <v>1388</v>
      </c>
      <c r="C1392" s="70"/>
      <c r="D1392" s="48" t="s">
        <v>1121</v>
      </c>
      <c r="E1392" s="13" t="s">
        <v>932</v>
      </c>
      <c r="F1392" s="13">
        <v>10.0</v>
      </c>
      <c r="G1392" s="35" t="str">
        <f t="shared" si="265"/>
        <v>Pre-2006</v>
      </c>
      <c r="H1392" s="71"/>
      <c r="I1392" s="71"/>
      <c r="J1392" s="61"/>
      <c r="K1392" s="62"/>
      <c r="L1392" s="63"/>
      <c r="M1392" s="59" t="str">
        <f t="shared" si="264"/>
        <v>NA</v>
      </c>
      <c r="N1392" s="17"/>
    </row>
    <row r="1393">
      <c r="A1393" s="9"/>
      <c r="B1393" s="38">
        <f t="shared" si="233"/>
        <v>1389</v>
      </c>
      <c r="C1393" s="70"/>
      <c r="D1393" s="48" t="s">
        <v>1122</v>
      </c>
      <c r="E1393" s="13" t="s">
        <v>932</v>
      </c>
      <c r="F1393" s="13">
        <v>10.0</v>
      </c>
      <c r="G1393" s="35" t="str">
        <f t="shared" si="265"/>
        <v>Pre-2006</v>
      </c>
      <c r="H1393" s="71"/>
      <c r="I1393" s="71"/>
      <c r="J1393" s="61"/>
      <c r="K1393" s="62"/>
      <c r="L1393" s="63"/>
      <c r="M1393" s="59" t="str">
        <f t="shared" si="264"/>
        <v>NA</v>
      </c>
      <c r="N1393" s="17"/>
    </row>
    <row r="1394">
      <c r="A1394" s="9"/>
      <c r="B1394" s="38">
        <f t="shared" si="233"/>
        <v>1390</v>
      </c>
      <c r="C1394" s="70"/>
      <c r="D1394" s="48" t="s">
        <v>1123</v>
      </c>
      <c r="E1394" s="13" t="s">
        <v>932</v>
      </c>
      <c r="F1394" s="13">
        <v>10.0</v>
      </c>
      <c r="G1394" s="35" t="str">
        <f t="shared" si="265"/>
        <v>Pre-2006</v>
      </c>
      <c r="H1394" s="71"/>
      <c r="I1394" s="71"/>
      <c r="J1394" s="61"/>
      <c r="K1394" s="62"/>
      <c r="L1394" s="63"/>
      <c r="M1394" s="59" t="str">
        <f t="shared" si="264"/>
        <v>NA</v>
      </c>
      <c r="N1394" s="17"/>
    </row>
    <row r="1395">
      <c r="A1395" s="9"/>
      <c r="B1395" s="38">
        <f t="shared" si="233"/>
        <v>1391</v>
      </c>
      <c r="C1395" s="34">
        <v>39122.0</v>
      </c>
      <c r="D1395" s="48" t="s">
        <v>1124</v>
      </c>
      <c r="E1395" s="13" t="s">
        <v>932</v>
      </c>
      <c r="F1395" s="13">
        <v>10.0</v>
      </c>
      <c r="G1395" s="35" t="str">
        <f t="shared" si="265"/>
        <v>2007</v>
      </c>
      <c r="H1395" s="71"/>
      <c r="I1395" s="71"/>
      <c r="J1395" s="61"/>
      <c r="K1395" s="62"/>
      <c r="L1395" s="63"/>
      <c r="M1395" s="59" t="str">
        <f t="shared" si="264"/>
        <v>NA</v>
      </c>
      <c r="N1395" s="17"/>
    </row>
    <row r="1396">
      <c r="A1396" s="9"/>
      <c r="B1396" s="38">
        <f t="shared" si="233"/>
        <v>1392</v>
      </c>
      <c r="C1396" s="70"/>
      <c r="D1396" s="48" t="s">
        <v>1125</v>
      </c>
      <c r="E1396" s="13" t="s">
        <v>932</v>
      </c>
      <c r="F1396" s="13">
        <v>10.0</v>
      </c>
      <c r="G1396" s="35" t="str">
        <f t="shared" si="265"/>
        <v>Pre-2006</v>
      </c>
      <c r="H1396" s="71"/>
      <c r="I1396" s="71"/>
      <c r="J1396" s="61"/>
      <c r="K1396" s="62"/>
      <c r="L1396" s="63"/>
      <c r="M1396" s="59" t="str">
        <f t="shared" si="264"/>
        <v>NA</v>
      </c>
      <c r="N1396" s="17"/>
    </row>
    <row r="1397">
      <c r="A1397" s="9"/>
      <c r="B1397" s="38">
        <f t="shared" si="233"/>
        <v>1393</v>
      </c>
      <c r="C1397" s="70"/>
      <c r="D1397" s="48" t="s">
        <v>1126</v>
      </c>
      <c r="E1397" s="13" t="s">
        <v>932</v>
      </c>
      <c r="F1397" s="13">
        <v>10.0</v>
      </c>
      <c r="G1397" s="35" t="str">
        <f t="shared" si="265"/>
        <v>Pre-2006</v>
      </c>
      <c r="H1397" s="71"/>
      <c r="I1397" s="71"/>
      <c r="J1397" s="61"/>
      <c r="K1397" s="62"/>
      <c r="L1397" s="63"/>
      <c r="M1397" s="59" t="str">
        <f t="shared" si="264"/>
        <v>NA</v>
      </c>
      <c r="N1397" s="17"/>
    </row>
    <row r="1398">
      <c r="A1398" s="9"/>
      <c r="B1398" s="38">
        <f t="shared" si="233"/>
        <v>1394</v>
      </c>
      <c r="C1398" s="70"/>
      <c r="D1398" s="48" t="s">
        <v>1127</v>
      </c>
      <c r="E1398" s="13" t="s">
        <v>932</v>
      </c>
      <c r="F1398" s="13">
        <v>10.0</v>
      </c>
      <c r="G1398" s="35" t="str">
        <f t="shared" si="265"/>
        <v>Pre-2006</v>
      </c>
      <c r="H1398" s="71"/>
      <c r="I1398" s="71"/>
      <c r="J1398" s="61"/>
      <c r="K1398" s="62"/>
      <c r="L1398" s="63"/>
      <c r="M1398" s="59" t="str">
        <f t="shared" si="264"/>
        <v>NA</v>
      </c>
      <c r="N1398" s="17"/>
    </row>
    <row r="1399">
      <c r="A1399" s="9"/>
      <c r="B1399" s="38">
        <f t="shared" si="233"/>
        <v>1395</v>
      </c>
      <c r="C1399" s="70"/>
      <c r="D1399" s="48" t="s">
        <v>1128</v>
      </c>
      <c r="E1399" s="13" t="s">
        <v>932</v>
      </c>
      <c r="F1399" s="13">
        <v>10.0</v>
      </c>
      <c r="G1399" s="35" t="str">
        <f t="shared" si="265"/>
        <v>Pre-2006</v>
      </c>
      <c r="H1399" s="71"/>
      <c r="I1399" s="71"/>
      <c r="J1399" s="61"/>
      <c r="K1399" s="62"/>
      <c r="L1399" s="63"/>
      <c r="M1399" s="59" t="str">
        <f t="shared" si="264"/>
        <v>NA</v>
      </c>
      <c r="N1399" s="17"/>
    </row>
    <row r="1400">
      <c r="A1400" s="9"/>
      <c r="B1400" s="38">
        <f t="shared" si="233"/>
        <v>1396</v>
      </c>
      <c r="C1400" s="70"/>
      <c r="D1400" s="48" t="s">
        <v>1129</v>
      </c>
      <c r="E1400" s="13" t="s">
        <v>932</v>
      </c>
      <c r="F1400" s="13">
        <v>10.0</v>
      </c>
      <c r="G1400" s="35" t="str">
        <f t="shared" si="265"/>
        <v>Pre-2006</v>
      </c>
      <c r="H1400" s="71"/>
      <c r="I1400" s="71"/>
      <c r="J1400" s="61"/>
      <c r="K1400" s="62"/>
      <c r="L1400" s="63"/>
      <c r="M1400" s="59" t="str">
        <f t="shared" si="264"/>
        <v>NA</v>
      </c>
      <c r="N1400" s="17"/>
    </row>
    <row r="1401">
      <c r="A1401" s="9"/>
      <c r="B1401" s="38">
        <f t="shared" si="233"/>
        <v>1397</v>
      </c>
      <c r="C1401" s="70"/>
      <c r="D1401" s="48" t="s">
        <v>1130</v>
      </c>
      <c r="E1401" s="13" t="s">
        <v>932</v>
      </c>
      <c r="F1401" s="13">
        <v>10.0</v>
      </c>
      <c r="G1401" s="35" t="str">
        <f t="shared" si="265"/>
        <v>Pre-2006</v>
      </c>
      <c r="H1401" s="71"/>
      <c r="I1401" s="71"/>
      <c r="J1401" s="61"/>
      <c r="K1401" s="62"/>
      <c r="L1401" s="63"/>
      <c r="M1401" s="59" t="str">
        <f t="shared" si="264"/>
        <v>NA</v>
      </c>
      <c r="N1401" s="17"/>
    </row>
    <row r="1402">
      <c r="A1402" s="9"/>
      <c r="B1402" s="38">
        <f t="shared" si="233"/>
        <v>1398</v>
      </c>
      <c r="C1402" s="70"/>
      <c r="D1402" s="48" t="s">
        <v>1131</v>
      </c>
      <c r="E1402" s="13" t="s">
        <v>932</v>
      </c>
      <c r="F1402" s="13">
        <v>10.0</v>
      </c>
      <c r="G1402" s="35" t="str">
        <f t="shared" si="265"/>
        <v>Pre-2006</v>
      </c>
      <c r="H1402" s="71"/>
      <c r="I1402" s="71"/>
      <c r="J1402" s="61"/>
      <c r="K1402" s="62"/>
      <c r="L1402" s="63"/>
      <c r="M1402" s="59" t="str">
        <f t="shared" si="264"/>
        <v>NA</v>
      </c>
      <c r="N1402" s="17"/>
    </row>
    <row r="1403">
      <c r="A1403" s="9"/>
      <c r="B1403" s="38">
        <f t="shared" si="233"/>
        <v>1399</v>
      </c>
      <c r="C1403" s="70"/>
      <c r="D1403" s="48" t="s">
        <v>1132</v>
      </c>
      <c r="E1403" s="13" t="s">
        <v>932</v>
      </c>
      <c r="F1403" s="13">
        <v>10.0</v>
      </c>
      <c r="G1403" s="35" t="str">
        <f t="shared" si="265"/>
        <v>Pre-2006</v>
      </c>
      <c r="H1403" s="71"/>
      <c r="I1403" s="71"/>
      <c r="J1403" s="61"/>
      <c r="K1403" s="62"/>
      <c r="L1403" s="63"/>
      <c r="M1403" s="59" t="str">
        <f t="shared" si="264"/>
        <v>NA</v>
      </c>
      <c r="N1403" s="17"/>
    </row>
    <row r="1404">
      <c r="A1404" s="9"/>
      <c r="B1404" s="38">
        <f t="shared" si="233"/>
        <v>1400</v>
      </c>
      <c r="C1404" s="70"/>
      <c r="D1404" s="48" t="s">
        <v>1133</v>
      </c>
      <c r="E1404" s="13" t="s">
        <v>932</v>
      </c>
      <c r="F1404" s="13">
        <v>10.0</v>
      </c>
      <c r="G1404" s="35" t="str">
        <f t="shared" si="265"/>
        <v>Pre-2006</v>
      </c>
      <c r="H1404" s="71"/>
      <c r="I1404" s="71"/>
      <c r="J1404" s="61"/>
      <c r="K1404" s="62"/>
      <c r="L1404" s="63"/>
      <c r="M1404" s="59" t="str">
        <f t="shared" si="264"/>
        <v>NA</v>
      </c>
      <c r="N1404" s="17"/>
    </row>
    <row r="1405">
      <c r="A1405" s="9"/>
      <c r="B1405" s="38">
        <f t="shared" si="233"/>
        <v>1401</v>
      </c>
      <c r="C1405" s="70"/>
      <c r="D1405" s="48" t="s">
        <v>1134</v>
      </c>
      <c r="E1405" s="13" t="s">
        <v>932</v>
      </c>
      <c r="F1405" s="13">
        <v>10.0</v>
      </c>
      <c r="G1405" s="35" t="str">
        <f t="shared" si="265"/>
        <v>Pre-2006</v>
      </c>
      <c r="H1405" s="71"/>
      <c r="I1405" s="71"/>
      <c r="J1405" s="61"/>
      <c r="K1405" s="62"/>
      <c r="L1405" s="63"/>
      <c r="M1405" s="59" t="str">
        <f t="shared" si="264"/>
        <v>NA</v>
      </c>
      <c r="N1405" s="17"/>
    </row>
    <row r="1406">
      <c r="A1406" s="9"/>
      <c r="B1406" s="38">
        <f t="shared" si="233"/>
        <v>1402</v>
      </c>
      <c r="C1406" s="70"/>
      <c r="D1406" s="48" t="s">
        <v>1135</v>
      </c>
      <c r="E1406" s="13" t="s">
        <v>932</v>
      </c>
      <c r="F1406" s="13">
        <v>10.0</v>
      </c>
      <c r="G1406" s="35" t="str">
        <f t="shared" si="265"/>
        <v>Pre-2006</v>
      </c>
      <c r="H1406" s="71"/>
      <c r="I1406" s="71"/>
      <c r="J1406" s="61"/>
      <c r="K1406" s="62"/>
      <c r="L1406" s="63"/>
      <c r="M1406" s="59" t="str">
        <f t="shared" si="264"/>
        <v>NA</v>
      </c>
      <c r="N1406" s="17"/>
    </row>
    <row r="1407">
      <c r="A1407" s="9"/>
      <c r="B1407" s="38">
        <f t="shared" si="233"/>
        <v>1403</v>
      </c>
      <c r="C1407" s="34">
        <v>39340.0</v>
      </c>
      <c r="D1407" s="48" t="s">
        <v>1136</v>
      </c>
      <c r="E1407" s="13" t="s">
        <v>932</v>
      </c>
      <c r="F1407" s="13">
        <v>10.0</v>
      </c>
      <c r="G1407" s="35" t="str">
        <f t="shared" si="265"/>
        <v>2007</v>
      </c>
      <c r="H1407" s="13" t="s">
        <v>17</v>
      </c>
      <c r="I1407" s="13" t="s">
        <v>277</v>
      </c>
      <c r="J1407" s="61"/>
      <c r="K1407" s="62"/>
      <c r="L1407" s="63"/>
      <c r="M1407" s="59" t="str">
        <f t="shared" si="264"/>
        <v>NA</v>
      </c>
      <c r="N1407" s="17"/>
    </row>
    <row r="1408">
      <c r="A1408" s="9"/>
      <c r="B1408" s="38">
        <f t="shared" si="233"/>
        <v>1404</v>
      </c>
      <c r="C1408" s="34">
        <v>39656.0</v>
      </c>
      <c r="D1408" s="48" t="s">
        <v>1137</v>
      </c>
      <c r="E1408" s="13" t="s">
        <v>932</v>
      </c>
      <c r="F1408" s="13">
        <v>10.0</v>
      </c>
      <c r="G1408" s="35" t="str">
        <f t="shared" si="265"/>
        <v>2008</v>
      </c>
      <c r="H1408" s="13" t="s">
        <v>155</v>
      </c>
      <c r="I1408" s="13" t="s">
        <v>21</v>
      </c>
      <c r="J1408" s="14">
        <v>1994.0</v>
      </c>
      <c r="K1408" s="15">
        <v>0.93</v>
      </c>
      <c r="L1408" s="14">
        <v>104.0</v>
      </c>
      <c r="M1408" s="16">
        <f t="shared" si="264"/>
        <v>0.8942307692</v>
      </c>
      <c r="N1408" s="17"/>
    </row>
    <row r="1409">
      <c r="A1409" s="9"/>
      <c r="B1409" s="38">
        <f t="shared" si="233"/>
        <v>1405</v>
      </c>
      <c r="C1409" s="70"/>
      <c r="D1409" s="48" t="s">
        <v>1138</v>
      </c>
      <c r="E1409" s="13" t="s">
        <v>932</v>
      </c>
      <c r="F1409" s="13">
        <v>10.0</v>
      </c>
      <c r="G1409" s="35" t="str">
        <f t="shared" si="265"/>
        <v>Pre-2006</v>
      </c>
      <c r="H1409" s="71"/>
      <c r="I1409" s="71"/>
      <c r="J1409" s="61"/>
      <c r="K1409" s="62"/>
      <c r="L1409" s="63"/>
      <c r="M1409" s="59" t="str">
        <f t="shared" si="264"/>
        <v>NA</v>
      </c>
      <c r="N1409" s="17"/>
    </row>
    <row r="1410">
      <c r="A1410" s="9"/>
      <c r="B1410" s="38">
        <f t="shared" si="233"/>
        <v>1406</v>
      </c>
      <c r="C1410" s="70"/>
      <c r="D1410" s="48" t="s">
        <v>1139</v>
      </c>
      <c r="E1410" s="13" t="s">
        <v>932</v>
      </c>
      <c r="F1410" s="13">
        <v>10.0</v>
      </c>
      <c r="G1410" s="35" t="str">
        <f t="shared" si="265"/>
        <v>Pre-2006</v>
      </c>
      <c r="H1410" s="71"/>
      <c r="I1410" s="71"/>
      <c r="J1410" s="61"/>
      <c r="K1410" s="62"/>
      <c r="L1410" s="63"/>
      <c r="M1410" s="59" t="str">
        <f t="shared" si="264"/>
        <v>NA</v>
      </c>
      <c r="N1410" s="17"/>
    </row>
    <row r="1411">
      <c r="A1411" s="9"/>
      <c r="B1411" s="38">
        <f t="shared" si="233"/>
        <v>1407</v>
      </c>
      <c r="C1411" s="70"/>
      <c r="D1411" s="48" t="s">
        <v>1140</v>
      </c>
      <c r="E1411" s="13" t="s">
        <v>932</v>
      </c>
      <c r="F1411" s="13">
        <v>10.0</v>
      </c>
      <c r="G1411" s="35" t="str">
        <f t="shared" si="265"/>
        <v>Pre-2006</v>
      </c>
      <c r="H1411" s="71"/>
      <c r="I1411" s="71"/>
      <c r="J1411" s="61"/>
      <c r="K1411" s="62"/>
      <c r="L1411" s="63"/>
      <c r="M1411" s="59" t="str">
        <f t="shared" si="264"/>
        <v>NA</v>
      </c>
      <c r="N1411" s="17"/>
    </row>
    <row r="1412">
      <c r="A1412" s="9"/>
      <c r="B1412" s="38">
        <f t="shared" si="233"/>
        <v>1408</v>
      </c>
      <c r="C1412" s="70"/>
      <c r="D1412" s="48" t="s">
        <v>1141</v>
      </c>
      <c r="E1412" s="13" t="s">
        <v>932</v>
      </c>
      <c r="F1412" s="13">
        <v>10.0</v>
      </c>
      <c r="G1412" s="35" t="str">
        <f t="shared" si="265"/>
        <v>Pre-2006</v>
      </c>
      <c r="H1412" s="71"/>
      <c r="I1412" s="71"/>
      <c r="J1412" s="61"/>
      <c r="K1412" s="62"/>
      <c r="L1412" s="63"/>
      <c r="M1412" s="59" t="str">
        <f t="shared" si="264"/>
        <v>NA</v>
      </c>
      <c r="N1412" s="17"/>
    </row>
    <row r="1413">
      <c r="A1413" s="9"/>
      <c r="B1413" s="38">
        <f t="shared" si="233"/>
        <v>1409</v>
      </c>
      <c r="C1413" s="70"/>
      <c r="D1413" s="48" t="s">
        <v>1142</v>
      </c>
      <c r="E1413" s="13" t="s">
        <v>932</v>
      </c>
      <c r="F1413" s="13">
        <v>10.0</v>
      </c>
      <c r="G1413" s="35" t="str">
        <f t="shared" si="265"/>
        <v>Pre-2006</v>
      </c>
      <c r="H1413" s="71"/>
      <c r="I1413" s="71"/>
      <c r="J1413" s="61"/>
      <c r="K1413" s="62"/>
      <c r="L1413" s="63"/>
      <c r="M1413" s="59" t="str">
        <f t="shared" si="264"/>
        <v>NA</v>
      </c>
      <c r="N1413" s="17"/>
    </row>
    <row r="1414">
      <c r="A1414" s="9"/>
      <c r="B1414" s="38">
        <f t="shared" si="233"/>
        <v>1410</v>
      </c>
      <c r="C1414" s="70"/>
      <c r="D1414" s="48" t="s">
        <v>1143</v>
      </c>
      <c r="E1414" s="13" t="s">
        <v>932</v>
      </c>
      <c r="F1414" s="13">
        <v>10.0</v>
      </c>
      <c r="G1414" s="35" t="str">
        <f t="shared" si="265"/>
        <v>Pre-2006</v>
      </c>
      <c r="H1414" s="71"/>
      <c r="I1414" s="71"/>
      <c r="J1414" s="61"/>
      <c r="K1414" s="62"/>
      <c r="L1414" s="63"/>
      <c r="M1414" s="59" t="str">
        <f t="shared" si="264"/>
        <v>NA</v>
      </c>
      <c r="N1414" s="17"/>
    </row>
    <row r="1415">
      <c r="A1415" s="9"/>
      <c r="B1415" s="38">
        <f t="shared" si="233"/>
        <v>1411</v>
      </c>
      <c r="C1415" s="34">
        <v>39263.0</v>
      </c>
      <c r="D1415" s="48" t="s">
        <v>1144</v>
      </c>
      <c r="E1415" s="13" t="s">
        <v>932</v>
      </c>
      <c r="F1415" s="13">
        <v>10.0</v>
      </c>
      <c r="G1415" s="35" t="str">
        <f t="shared" si="265"/>
        <v>2007</v>
      </c>
      <c r="H1415" s="71"/>
      <c r="I1415" s="71"/>
      <c r="J1415" s="61"/>
      <c r="K1415" s="62"/>
      <c r="L1415" s="63"/>
      <c r="M1415" s="59" t="str">
        <f t="shared" si="264"/>
        <v>NA</v>
      </c>
      <c r="N1415" s="17"/>
    </row>
    <row r="1416">
      <c r="A1416" s="9"/>
      <c r="B1416" s="38">
        <f t="shared" si="233"/>
        <v>1412</v>
      </c>
      <c r="C1416" s="70"/>
      <c r="D1416" s="48" t="s">
        <v>1145</v>
      </c>
      <c r="E1416" s="13" t="s">
        <v>932</v>
      </c>
      <c r="F1416" s="13">
        <v>10.0</v>
      </c>
      <c r="G1416" s="35" t="str">
        <f t="shared" si="265"/>
        <v>Pre-2006</v>
      </c>
      <c r="H1416" s="71"/>
      <c r="I1416" s="71"/>
      <c r="J1416" s="61"/>
      <c r="K1416" s="62"/>
      <c r="L1416" s="63"/>
      <c r="M1416" s="59" t="str">
        <f t="shared" si="264"/>
        <v>NA</v>
      </c>
      <c r="N1416" s="17"/>
    </row>
    <row r="1417">
      <c r="A1417" s="9"/>
      <c r="B1417" s="38">
        <f t="shared" si="233"/>
        <v>1413</v>
      </c>
      <c r="C1417" s="34">
        <v>44550.0</v>
      </c>
      <c r="D1417" s="12" t="str">
        <f>hyperlink("https://www.rottentomatoes.com/m/ready_player_one","Ready Player One")</f>
        <v>Ready Player One</v>
      </c>
      <c r="E1417" s="33" t="s">
        <v>932</v>
      </c>
      <c r="F1417" s="33">
        <v>10.0</v>
      </c>
      <c r="G1417" s="36">
        <v>2021.0</v>
      </c>
      <c r="H1417" s="33" t="s">
        <v>58</v>
      </c>
      <c r="I1417" s="33" t="s">
        <v>471</v>
      </c>
      <c r="J1417" s="57">
        <v>2018.0</v>
      </c>
      <c r="K1417" s="58">
        <v>0.72</v>
      </c>
      <c r="L1417" s="37">
        <v>140.0</v>
      </c>
      <c r="M1417" s="59">
        <f>K1417/L1417*100</f>
        <v>0.5142857143</v>
      </c>
      <c r="N1417" s="17"/>
    </row>
    <row r="1418">
      <c r="A1418" s="9"/>
      <c r="B1418" s="38">
        <f t="shared" si="233"/>
        <v>1414</v>
      </c>
      <c r="C1418" s="70"/>
      <c r="D1418" s="48" t="s">
        <v>1146</v>
      </c>
      <c r="E1418" s="13" t="s">
        <v>932</v>
      </c>
      <c r="F1418" s="13">
        <v>10.0</v>
      </c>
      <c r="G1418" s="35" t="str">
        <f>IF(C1418&gt;40908,"2012",IF(C1418&gt;40543,"2011",IF(C1418&gt;40178,"2010",IF(C1418&gt;=39814,"2009",IF(C1418&gt;=39448,"2008",IF(C1418&gt;39082,"2007",IF(C1418&lt;38717,"Pre-2006","2006")))))))</f>
        <v>Pre-2006</v>
      </c>
      <c r="H1418" s="71"/>
      <c r="I1418" s="71"/>
      <c r="J1418" s="61"/>
      <c r="K1418" s="62"/>
      <c r="L1418" s="63"/>
      <c r="M1418" s="59" t="str">
        <f>if(iserror(K1418/L1418*100),"NA",K1418/L1418*100)</f>
        <v>NA</v>
      </c>
      <c r="N1418" s="17"/>
    </row>
    <row r="1419">
      <c r="A1419" s="9"/>
      <c r="B1419" s="38">
        <f t="shared" si="233"/>
        <v>1415</v>
      </c>
      <c r="C1419" s="34">
        <v>42733.0</v>
      </c>
      <c r="D1419" s="12" t="str">
        <f>hyperlink("https://www.rottentomatoes.com/m/ref","Ref, The")</f>
        <v>Ref, The</v>
      </c>
      <c r="E1419" s="33" t="s">
        <v>932</v>
      </c>
      <c r="F1419" s="33">
        <v>10.0</v>
      </c>
      <c r="G1419" s="36">
        <v>2016.0</v>
      </c>
      <c r="H1419" s="33" t="s">
        <v>58</v>
      </c>
      <c r="I1419" s="33" t="s">
        <v>77</v>
      </c>
      <c r="J1419" s="57">
        <v>1994.0</v>
      </c>
      <c r="K1419" s="58">
        <v>0.71</v>
      </c>
      <c r="L1419" s="37">
        <v>93.0</v>
      </c>
      <c r="M1419" s="59">
        <f>K1419/L1419*100</f>
        <v>0.7634408602</v>
      </c>
      <c r="N1419" s="17"/>
    </row>
    <row r="1420">
      <c r="A1420" s="9"/>
      <c r="B1420" s="38">
        <f t="shared" si="233"/>
        <v>1416</v>
      </c>
      <c r="C1420" s="34">
        <v>42175.0</v>
      </c>
      <c r="D1420" s="12" t="str">
        <f>hyperlink("http://www.rottentomatoes.com/m/regarding_henry/?search=regarding%20henry","Regarding Henry")</f>
        <v>Regarding Henry</v>
      </c>
      <c r="E1420" s="33" t="s">
        <v>932</v>
      </c>
      <c r="F1420" s="33">
        <v>10.0</v>
      </c>
      <c r="G1420" s="36">
        <v>2015.0</v>
      </c>
      <c r="H1420" s="33" t="s">
        <v>25</v>
      </c>
      <c r="I1420" s="33" t="s">
        <v>77</v>
      </c>
      <c r="J1420" s="57">
        <v>1991.0</v>
      </c>
      <c r="K1420" s="58">
        <v>0.44</v>
      </c>
      <c r="L1420" s="37">
        <v>107.0</v>
      </c>
      <c r="M1420" s="59">
        <f t="shared" ref="M1420:M1448" si="266">if(iserror(K1420/L1420*100),"NA",K1420/L1420*100)</f>
        <v>0.4112149533</v>
      </c>
      <c r="N1420" s="17"/>
    </row>
    <row r="1421">
      <c r="A1421" s="9"/>
      <c r="B1421" s="38">
        <f t="shared" si="233"/>
        <v>1417</v>
      </c>
      <c r="C1421" s="70"/>
      <c r="D1421" s="48" t="s">
        <v>1147</v>
      </c>
      <c r="E1421" s="13" t="s">
        <v>932</v>
      </c>
      <c r="F1421" s="13">
        <v>10.0</v>
      </c>
      <c r="G1421" s="35" t="str">
        <f t="shared" ref="G1421:G1422" si="267">IF(C1421&gt;40908,"2012",IF(C1421&gt;40543,"2011",IF(C1421&gt;40178,"2010",IF(C1421&gt;=39814,"2009",IF(C1421&gt;=39448,"2008",IF(C1421&gt;39082,"2007",IF(C1421&lt;38717,"Pre-2006","2006")))))))</f>
        <v>Pre-2006</v>
      </c>
      <c r="H1421" s="71"/>
      <c r="I1421" s="71"/>
      <c r="J1421" s="61"/>
      <c r="K1421" s="62"/>
      <c r="L1421" s="63"/>
      <c r="M1421" s="59" t="str">
        <f t="shared" si="266"/>
        <v>NA</v>
      </c>
      <c r="N1421" s="17"/>
    </row>
    <row r="1422">
      <c r="A1422" s="9"/>
      <c r="B1422" s="38">
        <f t="shared" si="233"/>
        <v>1418</v>
      </c>
      <c r="C1422" s="70"/>
      <c r="D1422" s="48" t="s">
        <v>1148</v>
      </c>
      <c r="E1422" s="13" t="s">
        <v>932</v>
      </c>
      <c r="F1422" s="13">
        <v>10.0</v>
      </c>
      <c r="G1422" s="35" t="str">
        <f t="shared" si="267"/>
        <v>Pre-2006</v>
      </c>
      <c r="H1422" s="71"/>
      <c r="I1422" s="71"/>
      <c r="J1422" s="61"/>
      <c r="K1422" s="62"/>
      <c r="L1422" s="63"/>
      <c r="M1422" s="59" t="str">
        <f t="shared" si="266"/>
        <v>NA</v>
      </c>
      <c r="N1422" s="17"/>
    </row>
    <row r="1423">
      <c r="A1423" s="9"/>
      <c r="B1423" s="38">
        <f t="shared" si="233"/>
        <v>1419</v>
      </c>
      <c r="C1423" s="34">
        <v>42343.0</v>
      </c>
      <c r="D1423" s="12" t="str">
        <f>hyperlink("http://www.rottentomatoes.com/m/the_rewrite/?search=the%20rew","Rewrite, The")</f>
        <v>Rewrite, The</v>
      </c>
      <c r="E1423" s="33" t="s">
        <v>932</v>
      </c>
      <c r="F1423" s="33">
        <v>10.0</v>
      </c>
      <c r="G1423" s="36">
        <v>2015.0</v>
      </c>
      <c r="H1423" s="33" t="s">
        <v>58</v>
      </c>
      <c r="I1423" s="33" t="s">
        <v>47</v>
      </c>
      <c r="J1423" s="57">
        <v>2014.0</v>
      </c>
      <c r="K1423" s="58">
        <v>0.64</v>
      </c>
      <c r="L1423" s="37">
        <v>106.0</v>
      </c>
      <c r="M1423" s="59">
        <f t="shared" si="266"/>
        <v>0.6037735849</v>
      </c>
      <c r="N1423" s="17"/>
    </row>
    <row r="1424">
      <c r="A1424" s="9"/>
      <c r="B1424" s="38">
        <f t="shared" si="233"/>
        <v>1420</v>
      </c>
      <c r="C1424" s="70"/>
      <c r="D1424" s="48" t="s">
        <v>1149</v>
      </c>
      <c r="E1424" s="13" t="s">
        <v>932</v>
      </c>
      <c r="F1424" s="13">
        <v>10.0</v>
      </c>
      <c r="G1424" s="35" t="str">
        <f t="shared" ref="G1424:G1426" si="268">IF(C1424&gt;40908,"2012",IF(C1424&gt;40543,"2011",IF(C1424&gt;40178,"2010",IF(C1424&gt;=39814,"2009",IF(C1424&gt;=39448,"2008",IF(C1424&gt;39082,"2007",IF(C1424&lt;38717,"Pre-2006","2006")))))))</f>
        <v>Pre-2006</v>
      </c>
      <c r="H1424" s="71"/>
      <c r="I1424" s="71"/>
      <c r="J1424" s="61"/>
      <c r="K1424" s="62"/>
      <c r="L1424" s="63"/>
      <c r="M1424" s="59" t="str">
        <f t="shared" si="266"/>
        <v>NA</v>
      </c>
      <c r="N1424" s="17"/>
    </row>
    <row r="1425">
      <c r="A1425" s="9"/>
      <c r="B1425" s="38">
        <f t="shared" si="233"/>
        <v>1421</v>
      </c>
      <c r="C1425" s="70"/>
      <c r="D1425" s="48" t="s">
        <v>1150</v>
      </c>
      <c r="E1425" s="13" t="s">
        <v>932</v>
      </c>
      <c r="F1425" s="13">
        <v>10.0</v>
      </c>
      <c r="G1425" s="35" t="str">
        <f t="shared" si="268"/>
        <v>Pre-2006</v>
      </c>
      <c r="H1425" s="71"/>
      <c r="I1425" s="71"/>
      <c r="J1425" s="61"/>
      <c r="K1425" s="62"/>
      <c r="L1425" s="63"/>
      <c r="M1425" s="59" t="str">
        <f t="shared" si="266"/>
        <v>NA</v>
      </c>
      <c r="N1425" s="17"/>
    </row>
    <row r="1426">
      <c r="A1426" s="9"/>
      <c r="B1426" s="38">
        <f t="shared" si="233"/>
        <v>1422</v>
      </c>
      <c r="C1426" s="70"/>
      <c r="D1426" s="48" t="s">
        <v>1151</v>
      </c>
      <c r="E1426" s="13" t="s">
        <v>932</v>
      </c>
      <c r="F1426" s="13">
        <v>10.0</v>
      </c>
      <c r="G1426" s="35" t="str">
        <f t="shared" si="268"/>
        <v>Pre-2006</v>
      </c>
      <c r="H1426" s="71"/>
      <c r="I1426" s="71"/>
      <c r="J1426" s="61"/>
      <c r="K1426" s="62"/>
      <c r="L1426" s="63"/>
      <c r="M1426" s="59" t="str">
        <f t="shared" si="266"/>
        <v>NA</v>
      </c>
      <c r="N1426" s="17"/>
    </row>
    <row r="1427">
      <c r="A1427" s="9"/>
      <c r="B1427" s="38">
        <f t="shared" si="233"/>
        <v>1423</v>
      </c>
      <c r="C1427" s="34">
        <v>45435.0</v>
      </c>
      <c r="D1427" s="12" t="str">
        <f>hyperlink("https://www.rottentomatoes.com/m/road_house","Road House (2024")</f>
        <v>Road House (2024</v>
      </c>
      <c r="E1427" s="33" t="s">
        <v>932</v>
      </c>
      <c r="F1427" s="33">
        <v>10.0</v>
      </c>
      <c r="G1427" s="36">
        <v>2024.0</v>
      </c>
      <c r="H1427" s="33" t="s">
        <v>58</v>
      </c>
      <c r="I1427" s="33" t="s">
        <v>279</v>
      </c>
      <c r="J1427" s="57">
        <v>2024.0</v>
      </c>
      <c r="K1427" s="58">
        <v>0.59</v>
      </c>
      <c r="L1427" s="37">
        <v>114.0</v>
      </c>
      <c r="M1427" s="59">
        <f t="shared" si="266"/>
        <v>0.5175438596</v>
      </c>
      <c r="N1427" s="17"/>
    </row>
    <row r="1428">
      <c r="A1428" s="9"/>
      <c r="B1428" s="38">
        <f t="shared" si="233"/>
        <v>1424</v>
      </c>
      <c r="C1428" s="70"/>
      <c r="D1428" s="48" t="s">
        <v>1152</v>
      </c>
      <c r="E1428" s="13" t="s">
        <v>932</v>
      </c>
      <c r="F1428" s="13">
        <v>10.0</v>
      </c>
      <c r="G1428" s="35" t="str">
        <f t="shared" ref="G1428:G1438" si="269">IF(C1428&gt;40908,"2012",IF(C1428&gt;40543,"2011",IF(C1428&gt;40178,"2010",IF(C1428&gt;=39814,"2009",IF(C1428&gt;=39448,"2008",IF(C1428&gt;39082,"2007",IF(C1428&lt;38717,"Pre-2006","2006")))))))</f>
        <v>Pre-2006</v>
      </c>
      <c r="H1428" s="71"/>
      <c r="I1428" s="71"/>
      <c r="J1428" s="61"/>
      <c r="K1428" s="62"/>
      <c r="L1428" s="63"/>
      <c r="M1428" s="59" t="str">
        <f t="shared" si="266"/>
        <v>NA</v>
      </c>
      <c r="N1428" s="17"/>
    </row>
    <row r="1429">
      <c r="A1429" s="9"/>
      <c r="B1429" s="38">
        <f t="shared" si="233"/>
        <v>1425</v>
      </c>
      <c r="C1429" s="34">
        <v>39073.0</v>
      </c>
      <c r="D1429" s="48" t="s">
        <v>1153</v>
      </c>
      <c r="E1429" s="13" t="s">
        <v>932</v>
      </c>
      <c r="F1429" s="13">
        <v>10.0</v>
      </c>
      <c r="G1429" s="35" t="str">
        <f t="shared" si="269"/>
        <v>2006</v>
      </c>
      <c r="H1429" s="71"/>
      <c r="I1429" s="71"/>
      <c r="J1429" s="61"/>
      <c r="K1429" s="62"/>
      <c r="L1429" s="63"/>
      <c r="M1429" s="59" t="str">
        <f t="shared" si="266"/>
        <v>NA</v>
      </c>
      <c r="N1429" s="17"/>
    </row>
    <row r="1430">
      <c r="A1430" s="9"/>
      <c r="B1430" s="38">
        <f t="shared" si="233"/>
        <v>1426</v>
      </c>
      <c r="C1430" s="70"/>
      <c r="D1430" s="48" t="s">
        <v>1154</v>
      </c>
      <c r="E1430" s="13" t="s">
        <v>932</v>
      </c>
      <c r="F1430" s="13">
        <v>10.0</v>
      </c>
      <c r="G1430" s="35" t="str">
        <f t="shared" si="269"/>
        <v>Pre-2006</v>
      </c>
      <c r="H1430" s="71"/>
      <c r="I1430" s="71"/>
      <c r="J1430" s="61"/>
      <c r="K1430" s="62"/>
      <c r="L1430" s="63"/>
      <c r="M1430" s="59" t="str">
        <f t="shared" si="266"/>
        <v>NA</v>
      </c>
      <c r="N1430" s="17"/>
    </row>
    <row r="1431">
      <c r="A1431" s="9"/>
      <c r="B1431" s="38">
        <f t="shared" si="233"/>
        <v>1427</v>
      </c>
      <c r="C1431" s="70"/>
      <c r="D1431" s="48" t="s">
        <v>1155</v>
      </c>
      <c r="E1431" s="13" t="s">
        <v>932</v>
      </c>
      <c r="F1431" s="13">
        <v>10.0</v>
      </c>
      <c r="G1431" s="35" t="str">
        <f t="shared" si="269"/>
        <v>Pre-2006</v>
      </c>
      <c r="H1431" s="71"/>
      <c r="I1431" s="13" t="s">
        <v>16</v>
      </c>
      <c r="J1431" s="61"/>
      <c r="K1431" s="62"/>
      <c r="L1431" s="63"/>
      <c r="M1431" s="59" t="str">
        <f t="shared" si="266"/>
        <v>NA</v>
      </c>
      <c r="N1431" s="17"/>
    </row>
    <row r="1432">
      <c r="A1432" s="9"/>
      <c r="B1432" s="38">
        <f t="shared" si="233"/>
        <v>1428</v>
      </c>
      <c r="C1432" s="70"/>
      <c r="D1432" s="48" t="s">
        <v>1156</v>
      </c>
      <c r="E1432" s="13" t="s">
        <v>932</v>
      </c>
      <c r="F1432" s="13">
        <v>10.0</v>
      </c>
      <c r="G1432" s="35" t="str">
        <f t="shared" si="269"/>
        <v>Pre-2006</v>
      </c>
      <c r="H1432" s="98"/>
      <c r="I1432" s="71"/>
      <c r="J1432" s="61"/>
      <c r="K1432" s="62"/>
      <c r="L1432" s="63"/>
      <c r="M1432" s="59" t="str">
        <f t="shared" si="266"/>
        <v>NA</v>
      </c>
      <c r="N1432" s="17"/>
    </row>
    <row r="1433">
      <c r="A1433" s="9"/>
      <c r="B1433" s="38">
        <f t="shared" si="233"/>
        <v>1429</v>
      </c>
      <c r="C1433" s="70"/>
      <c r="D1433" s="48" t="s">
        <v>1157</v>
      </c>
      <c r="E1433" s="13" t="s">
        <v>932</v>
      </c>
      <c r="F1433" s="13">
        <v>10.0</v>
      </c>
      <c r="G1433" s="35" t="str">
        <f t="shared" si="269"/>
        <v>Pre-2006</v>
      </c>
      <c r="H1433" s="98"/>
      <c r="I1433" s="71"/>
      <c r="J1433" s="61"/>
      <c r="K1433" s="62"/>
      <c r="L1433" s="63"/>
      <c r="M1433" s="59" t="str">
        <f t="shared" si="266"/>
        <v>NA</v>
      </c>
      <c r="N1433" s="17"/>
    </row>
    <row r="1434">
      <c r="A1434" s="9"/>
      <c r="B1434" s="38">
        <f t="shared" si="233"/>
        <v>1430</v>
      </c>
      <c r="C1434" s="70"/>
      <c r="D1434" s="48" t="s">
        <v>1158</v>
      </c>
      <c r="E1434" s="13" t="s">
        <v>932</v>
      </c>
      <c r="F1434" s="13">
        <v>10.0</v>
      </c>
      <c r="G1434" s="35" t="str">
        <f t="shared" si="269"/>
        <v>Pre-2006</v>
      </c>
      <c r="H1434" s="71"/>
      <c r="I1434" s="71"/>
      <c r="J1434" s="61"/>
      <c r="K1434" s="62"/>
      <c r="L1434" s="63"/>
      <c r="M1434" s="59" t="str">
        <f t="shared" si="266"/>
        <v>NA</v>
      </c>
      <c r="N1434" s="17"/>
    </row>
    <row r="1435">
      <c r="A1435" s="9"/>
      <c r="B1435" s="38">
        <f t="shared" si="233"/>
        <v>1431</v>
      </c>
      <c r="C1435" s="70"/>
      <c r="D1435" s="48" t="s">
        <v>1159</v>
      </c>
      <c r="E1435" s="13" t="s">
        <v>932</v>
      </c>
      <c r="F1435" s="13">
        <v>10.0</v>
      </c>
      <c r="G1435" s="35" t="str">
        <f t="shared" si="269"/>
        <v>Pre-2006</v>
      </c>
      <c r="H1435" s="71"/>
      <c r="I1435" s="71"/>
      <c r="J1435" s="61"/>
      <c r="K1435" s="62"/>
      <c r="L1435" s="63"/>
      <c r="M1435" s="59" t="str">
        <f t="shared" si="266"/>
        <v>NA</v>
      </c>
      <c r="N1435" s="17"/>
    </row>
    <row r="1436">
      <c r="A1436" s="9"/>
      <c r="B1436" s="38">
        <f t="shared" si="233"/>
        <v>1432</v>
      </c>
      <c r="C1436" s="70"/>
      <c r="D1436" s="48" t="s">
        <v>1160</v>
      </c>
      <c r="E1436" s="13" t="s">
        <v>932</v>
      </c>
      <c r="F1436" s="13">
        <v>10.0</v>
      </c>
      <c r="G1436" s="35" t="str">
        <f t="shared" si="269"/>
        <v>Pre-2006</v>
      </c>
      <c r="H1436" s="71"/>
      <c r="I1436" s="71"/>
      <c r="J1436" s="61"/>
      <c r="K1436" s="62"/>
      <c r="L1436" s="63"/>
      <c r="M1436" s="59" t="str">
        <f t="shared" si="266"/>
        <v>NA</v>
      </c>
      <c r="N1436" s="17"/>
    </row>
    <row r="1437">
      <c r="A1437" s="9"/>
      <c r="B1437" s="38">
        <f t="shared" si="233"/>
        <v>1433</v>
      </c>
      <c r="C1437" s="70"/>
      <c r="D1437" s="48" t="s">
        <v>1161</v>
      </c>
      <c r="E1437" s="13" t="s">
        <v>932</v>
      </c>
      <c r="F1437" s="13">
        <v>10.0</v>
      </c>
      <c r="G1437" s="35" t="str">
        <f t="shared" si="269"/>
        <v>Pre-2006</v>
      </c>
      <c r="H1437" s="71"/>
      <c r="I1437" s="71"/>
      <c r="J1437" s="61"/>
      <c r="K1437" s="62"/>
      <c r="L1437" s="63"/>
      <c r="M1437" s="59" t="str">
        <f t="shared" si="266"/>
        <v>NA</v>
      </c>
      <c r="N1437" s="17"/>
    </row>
    <row r="1438">
      <c r="A1438" s="9"/>
      <c r="B1438" s="38">
        <f t="shared" si="233"/>
        <v>1434</v>
      </c>
      <c r="C1438" s="70"/>
      <c r="D1438" s="48" t="s">
        <v>1162</v>
      </c>
      <c r="E1438" s="13" t="s">
        <v>932</v>
      </c>
      <c r="F1438" s="13">
        <v>10.0</v>
      </c>
      <c r="G1438" s="35" t="str">
        <f t="shared" si="269"/>
        <v>Pre-2006</v>
      </c>
      <c r="H1438" s="98"/>
      <c r="I1438" s="71"/>
      <c r="J1438" s="61"/>
      <c r="K1438" s="62"/>
      <c r="L1438" s="63"/>
      <c r="M1438" s="59" t="str">
        <f t="shared" si="266"/>
        <v>NA</v>
      </c>
      <c r="N1438" s="17"/>
    </row>
    <row r="1439">
      <c r="A1439" s="9"/>
      <c r="B1439" s="38">
        <f t="shared" si="233"/>
        <v>1435</v>
      </c>
      <c r="C1439" s="34">
        <v>43271.0</v>
      </c>
      <c r="D1439" s="12" t="str">
        <f>hyperlink("https://www.rottentomatoes.com/m/set_it_up","Set It Up")</f>
        <v>Set It Up</v>
      </c>
      <c r="E1439" s="33" t="s">
        <v>932</v>
      </c>
      <c r="F1439" s="33">
        <v>10.0</v>
      </c>
      <c r="G1439" s="36">
        <v>2018.0</v>
      </c>
      <c r="H1439" s="99" t="s">
        <v>58</v>
      </c>
      <c r="I1439" s="33" t="s">
        <v>77</v>
      </c>
      <c r="J1439" s="57">
        <v>2018.0</v>
      </c>
      <c r="K1439" s="58">
        <v>0.94</v>
      </c>
      <c r="L1439" s="37">
        <v>105.0</v>
      </c>
      <c r="M1439" s="59">
        <f t="shared" si="266"/>
        <v>0.8952380952</v>
      </c>
      <c r="N1439" s="17"/>
    </row>
    <row r="1440">
      <c r="A1440" s="9"/>
      <c r="B1440" s="38">
        <f t="shared" si="233"/>
        <v>1436</v>
      </c>
      <c r="C1440" s="70"/>
      <c r="D1440" s="48" t="s">
        <v>1163</v>
      </c>
      <c r="E1440" s="13" t="s">
        <v>932</v>
      </c>
      <c r="F1440" s="13">
        <v>10.0</v>
      </c>
      <c r="G1440" s="35" t="str">
        <f t="shared" ref="G1440:G1441" si="270">IF(C1440&gt;40908,"2012",IF(C1440&gt;40543,"2011",IF(C1440&gt;40178,"2010",IF(C1440&gt;=39814,"2009",IF(C1440&gt;=39448,"2008",IF(C1440&gt;39082,"2007",IF(C1440&lt;38717,"Pre-2006","2006")))))))</f>
        <v>Pre-2006</v>
      </c>
      <c r="H1440" s="98"/>
      <c r="I1440" s="71"/>
      <c r="J1440" s="61"/>
      <c r="K1440" s="62"/>
      <c r="L1440" s="63"/>
      <c r="M1440" s="59" t="str">
        <f t="shared" si="266"/>
        <v>NA</v>
      </c>
      <c r="N1440" s="17"/>
    </row>
    <row r="1441">
      <c r="A1441" s="9"/>
      <c r="B1441" s="38">
        <f t="shared" si="233"/>
        <v>1437</v>
      </c>
      <c r="C1441" s="70"/>
      <c r="D1441" s="48" t="s">
        <v>1164</v>
      </c>
      <c r="E1441" s="13" t="s">
        <v>932</v>
      </c>
      <c r="F1441" s="13">
        <v>10.0</v>
      </c>
      <c r="G1441" s="35" t="str">
        <f t="shared" si="270"/>
        <v>Pre-2006</v>
      </c>
      <c r="H1441" s="98"/>
      <c r="I1441" s="71"/>
      <c r="J1441" s="61"/>
      <c r="K1441" s="62"/>
      <c r="L1441" s="63"/>
      <c r="M1441" s="59" t="str">
        <f t="shared" si="266"/>
        <v>NA</v>
      </c>
      <c r="N1441" s="17"/>
    </row>
    <row r="1442">
      <c r="A1442" s="9"/>
      <c r="B1442" s="38">
        <f t="shared" si="233"/>
        <v>1438</v>
      </c>
      <c r="C1442" s="34">
        <v>44853.0</v>
      </c>
      <c r="D1442" s="12" t="str">
        <f>hyperlink("https://www.rottentomatoes.com/m/shes_funny_that_way","She's Funny That Way")</f>
        <v>She's Funny That Way</v>
      </c>
      <c r="E1442" s="33" t="s">
        <v>932</v>
      </c>
      <c r="F1442" s="33">
        <v>10.0</v>
      </c>
      <c r="G1442" s="36">
        <v>2022.0</v>
      </c>
      <c r="H1442" s="99" t="s">
        <v>58</v>
      </c>
      <c r="I1442" s="33" t="s">
        <v>77</v>
      </c>
      <c r="J1442" s="57">
        <v>2014.0</v>
      </c>
      <c r="K1442" s="58">
        <v>0.45</v>
      </c>
      <c r="L1442" s="37">
        <v>93.0</v>
      </c>
      <c r="M1442" s="16">
        <f t="shared" si="266"/>
        <v>0.4838709677</v>
      </c>
      <c r="N1442" s="17"/>
    </row>
    <row r="1443">
      <c r="A1443" s="9"/>
      <c r="B1443" s="38">
        <f t="shared" si="233"/>
        <v>1439</v>
      </c>
      <c r="C1443" s="70"/>
      <c r="D1443" s="48" t="s">
        <v>1165</v>
      </c>
      <c r="E1443" s="13" t="s">
        <v>932</v>
      </c>
      <c r="F1443" s="13">
        <v>10.0</v>
      </c>
      <c r="G1443" s="35" t="str">
        <f t="shared" ref="G1443:G1448" si="271">IF(C1443&gt;40908,"2012",IF(C1443&gt;40543,"2011",IF(C1443&gt;40178,"2010",IF(C1443&gt;=39814,"2009",IF(C1443&gt;=39448,"2008",IF(C1443&gt;39082,"2007",IF(C1443&lt;38717,"Pre-2006","2006")))))))</f>
        <v>Pre-2006</v>
      </c>
      <c r="H1443" s="98"/>
      <c r="I1443" s="71"/>
      <c r="J1443" s="61"/>
      <c r="K1443" s="62"/>
      <c r="L1443" s="63"/>
      <c r="M1443" s="59" t="str">
        <f t="shared" si="266"/>
        <v>NA</v>
      </c>
      <c r="N1443" s="17"/>
    </row>
    <row r="1444">
      <c r="A1444" s="9"/>
      <c r="B1444" s="38">
        <f t="shared" si="233"/>
        <v>1440</v>
      </c>
      <c r="C1444" s="34">
        <v>39802.0</v>
      </c>
      <c r="D1444" s="48" t="s">
        <v>1166</v>
      </c>
      <c r="E1444" s="13" t="s">
        <v>932</v>
      </c>
      <c r="F1444" s="13">
        <v>10.0</v>
      </c>
      <c r="G1444" s="35" t="str">
        <f t="shared" si="271"/>
        <v>2008</v>
      </c>
      <c r="H1444" s="13" t="s">
        <v>27</v>
      </c>
      <c r="I1444" s="13" t="s">
        <v>277</v>
      </c>
      <c r="J1444" s="14">
        <v>2005.0</v>
      </c>
      <c r="K1444" s="15">
        <v>0.62</v>
      </c>
      <c r="L1444" s="14">
        <v>106.0</v>
      </c>
      <c r="M1444" s="16">
        <f t="shared" si="266"/>
        <v>0.5849056604</v>
      </c>
      <c r="N1444" s="17"/>
    </row>
    <row r="1445">
      <c r="A1445" s="9"/>
      <c r="B1445" s="38">
        <f t="shared" si="233"/>
        <v>1441</v>
      </c>
      <c r="C1445" s="34">
        <v>39409.0</v>
      </c>
      <c r="D1445" s="48" t="s">
        <v>1167</v>
      </c>
      <c r="E1445" s="13" t="s">
        <v>932</v>
      </c>
      <c r="F1445" s="13">
        <v>10.0</v>
      </c>
      <c r="G1445" s="35" t="str">
        <f t="shared" si="271"/>
        <v>2007</v>
      </c>
      <c r="H1445" s="13" t="s">
        <v>1168</v>
      </c>
      <c r="I1445" s="13" t="s">
        <v>21</v>
      </c>
      <c r="J1445" s="61"/>
      <c r="K1445" s="62"/>
      <c r="L1445" s="63"/>
      <c r="M1445" s="59" t="str">
        <f t="shared" si="266"/>
        <v>NA</v>
      </c>
      <c r="N1445" s="17"/>
    </row>
    <row r="1446">
      <c r="A1446" s="9"/>
      <c r="B1446" s="38">
        <f t="shared" si="233"/>
        <v>1442</v>
      </c>
      <c r="C1446" s="70"/>
      <c r="D1446" s="48" t="s">
        <v>1169</v>
      </c>
      <c r="E1446" s="13" t="s">
        <v>932</v>
      </c>
      <c r="F1446" s="13">
        <v>10.0</v>
      </c>
      <c r="G1446" s="35" t="str">
        <f t="shared" si="271"/>
        <v>Pre-2006</v>
      </c>
      <c r="H1446" s="98"/>
      <c r="I1446" s="71"/>
      <c r="J1446" s="61"/>
      <c r="K1446" s="62"/>
      <c r="L1446" s="63"/>
      <c r="M1446" s="59" t="str">
        <f t="shared" si="266"/>
        <v>NA</v>
      </c>
      <c r="N1446" s="17"/>
    </row>
    <row r="1447">
      <c r="A1447" s="9"/>
      <c r="B1447" s="38">
        <f t="shared" si="233"/>
        <v>1443</v>
      </c>
      <c r="C1447" s="70"/>
      <c r="D1447" s="48" t="s">
        <v>1170</v>
      </c>
      <c r="E1447" s="13" t="s">
        <v>932</v>
      </c>
      <c r="F1447" s="13">
        <v>10.0</v>
      </c>
      <c r="G1447" s="35" t="str">
        <f t="shared" si="271"/>
        <v>Pre-2006</v>
      </c>
      <c r="H1447" s="98"/>
      <c r="I1447" s="71"/>
      <c r="J1447" s="61"/>
      <c r="K1447" s="62"/>
      <c r="L1447" s="63"/>
      <c r="M1447" s="59" t="str">
        <f t="shared" si="266"/>
        <v>NA</v>
      </c>
      <c r="N1447" s="17"/>
    </row>
    <row r="1448">
      <c r="A1448" s="9"/>
      <c r="B1448" s="38">
        <f t="shared" si="233"/>
        <v>1444</v>
      </c>
      <c r="C1448" s="70"/>
      <c r="D1448" s="48" t="s">
        <v>1171</v>
      </c>
      <c r="E1448" s="13" t="s">
        <v>932</v>
      </c>
      <c r="F1448" s="13">
        <v>10.0</v>
      </c>
      <c r="G1448" s="35" t="str">
        <f t="shared" si="271"/>
        <v>Pre-2006</v>
      </c>
      <c r="H1448" s="98"/>
      <c r="I1448" s="71"/>
      <c r="J1448" s="61"/>
      <c r="K1448" s="62"/>
      <c r="L1448" s="63"/>
      <c r="M1448" s="59" t="str">
        <f t="shared" si="266"/>
        <v>NA</v>
      </c>
      <c r="N1448" s="17"/>
    </row>
    <row r="1449">
      <c r="A1449" s="9"/>
      <c r="B1449" s="38">
        <f t="shared" si="233"/>
        <v>1445</v>
      </c>
      <c r="C1449" s="34">
        <v>42511.0</v>
      </c>
      <c r="D1449" s="12" t="str">
        <f>hyperlink("http://www.rottentomatoes.com/m/sisters_2015/?search=sisters","Sisters")</f>
        <v>Sisters</v>
      </c>
      <c r="E1449" s="33" t="s">
        <v>932</v>
      </c>
      <c r="F1449" s="33">
        <v>10.0</v>
      </c>
      <c r="G1449" s="36">
        <v>2016.0</v>
      </c>
      <c r="H1449" s="99" t="s">
        <v>58</v>
      </c>
      <c r="I1449" s="33" t="s">
        <v>47</v>
      </c>
      <c r="J1449" s="57">
        <v>2015.0</v>
      </c>
      <c r="K1449" s="58">
        <v>0.59</v>
      </c>
      <c r="L1449" s="37">
        <v>122.0</v>
      </c>
      <c r="M1449" s="59">
        <f>K1449/L1449*100</f>
        <v>0.4836065574</v>
      </c>
      <c r="N1449" s="17"/>
    </row>
    <row r="1450">
      <c r="A1450" s="9"/>
      <c r="B1450" s="38">
        <f t="shared" si="233"/>
        <v>1446</v>
      </c>
      <c r="C1450" s="34">
        <v>41153.0</v>
      </c>
      <c r="D1450" s="48" t="s">
        <v>1172</v>
      </c>
      <c r="E1450" s="13" t="s">
        <v>932</v>
      </c>
      <c r="F1450" s="13">
        <v>10.0</v>
      </c>
      <c r="G1450" s="13">
        <v>2012.0</v>
      </c>
      <c r="H1450" s="79" t="s">
        <v>25</v>
      </c>
      <c r="I1450" s="33" t="s">
        <v>47</v>
      </c>
      <c r="J1450" s="55">
        <v>2012.0</v>
      </c>
      <c r="K1450" s="56">
        <v>0.88</v>
      </c>
      <c r="L1450" s="14">
        <v>90.0</v>
      </c>
      <c r="M1450" s="16">
        <f t="shared" ref="M1450:M1459" si="272">if(iserror(K1450/L1450*100),"NA",K1450/L1450*100)</f>
        <v>0.9777777778</v>
      </c>
      <c r="N1450" s="17"/>
    </row>
    <row r="1451">
      <c r="A1451" s="9"/>
      <c r="B1451" s="38">
        <f t="shared" si="233"/>
        <v>1447</v>
      </c>
      <c r="C1451" s="70"/>
      <c r="D1451" s="48" t="s">
        <v>1173</v>
      </c>
      <c r="E1451" s="13" t="s">
        <v>932</v>
      </c>
      <c r="F1451" s="13">
        <v>10.0</v>
      </c>
      <c r="G1451" s="35" t="str">
        <f t="shared" ref="G1451:G1453" si="273">IF(C1451&gt;40908,"2012",IF(C1451&gt;40543,"2011",IF(C1451&gt;40178,"2010",IF(C1451&gt;=39814,"2009",IF(C1451&gt;=39448,"2008",IF(C1451&gt;39082,"2007",IF(C1451&lt;38717,"Pre-2006","2006")))))))</f>
        <v>Pre-2006</v>
      </c>
      <c r="H1451" s="98"/>
      <c r="I1451" s="71"/>
      <c r="J1451" s="61"/>
      <c r="K1451" s="62"/>
      <c r="L1451" s="63"/>
      <c r="M1451" s="59" t="str">
        <f t="shared" si="272"/>
        <v>NA</v>
      </c>
      <c r="N1451" s="17"/>
    </row>
    <row r="1452">
      <c r="A1452" s="9"/>
      <c r="B1452" s="38">
        <f t="shared" si="233"/>
        <v>1448</v>
      </c>
      <c r="C1452" s="70"/>
      <c r="D1452" s="48" t="s">
        <v>1174</v>
      </c>
      <c r="E1452" s="13" t="s">
        <v>932</v>
      </c>
      <c r="F1452" s="13">
        <v>10.0</v>
      </c>
      <c r="G1452" s="35" t="str">
        <f t="shared" si="273"/>
        <v>Pre-2006</v>
      </c>
      <c r="H1452" s="98"/>
      <c r="I1452" s="71"/>
      <c r="J1452" s="61"/>
      <c r="K1452" s="62"/>
      <c r="L1452" s="63"/>
      <c r="M1452" s="59" t="str">
        <f t="shared" si="272"/>
        <v>NA</v>
      </c>
      <c r="N1452" s="17"/>
    </row>
    <row r="1453">
      <c r="A1453" s="9"/>
      <c r="B1453" s="38">
        <f t="shared" si="233"/>
        <v>1449</v>
      </c>
      <c r="C1453" s="70"/>
      <c r="D1453" s="48" t="s">
        <v>1175</v>
      </c>
      <c r="E1453" s="13" t="s">
        <v>932</v>
      </c>
      <c r="F1453" s="13">
        <v>10.0</v>
      </c>
      <c r="G1453" s="35" t="str">
        <f t="shared" si="273"/>
        <v>Pre-2006</v>
      </c>
      <c r="H1453" s="98"/>
      <c r="I1453" s="71"/>
      <c r="J1453" s="61"/>
      <c r="K1453" s="62"/>
      <c r="L1453" s="63"/>
      <c r="M1453" s="59" t="str">
        <f t="shared" si="272"/>
        <v>NA</v>
      </c>
      <c r="N1453" s="17"/>
    </row>
    <row r="1454">
      <c r="A1454" s="9"/>
      <c r="B1454" s="38">
        <f t="shared" si="233"/>
        <v>1450</v>
      </c>
      <c r="C1454" s="34">
        <v>44099.0</v>
      </c>
      <c r="D1454" s="12" t="str">
        <f>hyperlink("https://www.rottentomatoes.com/m/the_social_dilemma","Social Dilemma, The")</f>
        <v>Social Dilemma, The</v>
      </c>
      <c r="E1454" s="33" t="s">
        <v>932</v>
      </c>
      <c r="F1454" s="33">
        <v>10.0</v>
      </c>
      <c r="G1454" s="36">
        <v>2020.0</v>
      </c>
      <c r="H1454" s="99" t="s">
        <v>58</v>
      </c>
      <c r="I1454" s="33" t="s">
        <v>77</v>
      </c>
      <c r="J1454" s="57">
        <v>2020.0</v>
      </c>
      <c r="K1454" s="58">
        <v>0.86</v>
      </c>
      <c r="L1454" s="37">
        <v>94.0</v>
      </c>
      <c r="M1454" s="59">
        <f t="shared" si="272"/>
        <v>0.914893617</v>
      </c>
      <c r="N1454" s="17"/>
    </row>
    <row r="1455">
      <c r="A1455" s="9"/>
      <c r="B1455" s="38">
        <f t="shared" si="233"/>
        <v>1451</v>
      </c>
      <c r="C1455" s="70"/>
      <c r="D1455" s="48" t="s">
        <v>1176</v>
      </c>
      <c r="E1455" s="13" t="s">
        <v>932</v>
      </c>
      <c r="F1455" s="13">
        <v>10.0</v>
      </c>
      <c r="G1455" s="35" t="str">
        <f>IF(C1455&gt;40908,"2012",IF(C1455&gt;40543,"2011",IF(C1455&gt;40178,"2010",IF(C1455&gt;=39814,"2009",IF(C1455&gt;=39448,"2008",IF(C1455&gt;39082,"2007",IF(C1455&lt;38717,"Pre-2006","2006")))))))</f>
        <v>Pre-2006</v>
      </c>
      <c r="H1455" s="98"/>
      <c r="I1455" s="71"/>
      <c r="J1455" s="61"/>
      <c r="K1455" s="62"/>
      <c r="L1455" s="63"/>
      <c r="M1455" s="59" t="str">
        <f t="shared" si="272"/>
        <v>NA</v>
      </c>
      <c r="N1455" s="17"/>
    </row>
    <row r="1456">
      <c r="A1456" s="9"/>
      <c r="B1456" s="38">
        <f t="shared" si="233"/>
        <v>1452</v>
      </c>
      <c r="C1456" s="34">
        <v>44781.0</v>
      </c>
      <c r="D1456" s="12" t="str">
        <f>hyperlink("https://www.rottentomatoes.com/m/the_speed_cubers","Speed Cubers, The")</f>
        <v>Speed Cubers, The</v>
      </c>
      <c r="E1456" s="33" t="s">
        <v>932</v>
      </c>
      <c r="F1456" s="33">
        <v>10.0</v>
      </c>
      <c r="G1456" s="36">
        <v>2022.0</v>
      </c>
      <c r="H1456" s="99" t="s">
        <v>58</v>
      </c>
      <c r="I1456" s="33" t="s">
        <v>77</v>
      </c>
      <c r="J1456" s="57">
        <v>2020.0</v>
      </c>
      <c r="K1456" s="58">
        <v>1.0</v>
      </c>
      <c r="L1456" s="37">
        <v>40.0</v>
      </c>
      <c r="M1456" s="59">
        <f t="shared" si="272"/>
        <v>2.5</v>
      </c>
      <c r="N1456" s="17"/>
    </row>
    <row r="1457">
      <c r="A1457" s="9"/>
      <c r="B1457" s="38">
        <f t="shared" si="233"/>
        <v>1453</v>
      </c>
      <c r="C1457" s="70"/>
      <c r="D1457" s="48" t="s">
        <v>1177</v>
      </c>
      <c r="E1457" s="13" t="s">
        <v>932</v>
      </c>
      <c r="F1457" s="13">
        <v>10.0</v>
      </c>
      <c r="G1457" s="35" t="str">
        <f>IF(C1457&gt;40908,"2012",IF(C1457&gt;40543,"2011",IF(C1457&gt;40178,"2010",IF(C1457&gt;=39814,"2009",IF(C1457&gt;=39448,"2008",IF(C1457&gt;39082,"2007",IF(C1457&lt;38717,"Pre-2006","2006")))))))</f>
        <v>Pre-2006</v>
      </c>
      <c r="H1457" s="98"/>
      <c r="I1457" s="71"/>
      <c r="J1457" s="61"/>
      <c r="K1457" s="62"/>
      <c r="L1457" s="63"/>
      <c r="M1457" s="59" t="str">
        <f t="shared" si="272"/>
        <v>NA</v>
      </c>
      <c r="N1457" s="17"/>
    </row>
    <row r="1458">
      <c r="A1458" s="9"/>
      <c r="B1458" s="38">
        <f t="shared" si="233"/>
        <v>1454</v>
      </c>
      <c r="C1458" s="34">
        <v>44849.0</v>
      </c>
      <c r="D1458" s="12" t="str">
        <f>hyperlink("https://www.rottentomatoes.com/m/spenser_confidential","Spencer Confidential")</f>
        <v>Spencer Confidential</v>
      </c>
      <c r="E1458" s="13" t="s">
        <v>932</v>
      </c>
      <c r="F1458" s="13">
        <v>10.0</v>
      </c>
      <c r="G1458" s="36">
        <v>2022.0</v>
      </c>
      <c r="H1458" s="99" t="s">
        <v>58</v>
      </c>
      <c r="I1458" s="33" t="s">
        <v>77</v>
      </c>
      <c r="J1458" s="57">
        <v>2020.0</v>
      </c>
      <c r="K1458" s="58">
        <v>0.36</v>
      </c>
      <c r="L1458" s="37">
        <v>111.0</v>
      </c>
      <c r="M1458" s="59">
        <f t="shared" si="272"/>
        <v>0.3243243243</v>
      </c>
      <c r="N1458" s="17"/>
    </row>
    <row r="1459">
      <c r="A1459" s="9"/>
      <c r="B1459" s="38">
        <f t="shared" si="233"/>
        <v>1455</v>
      </c>
      <c r="C1459" s="34">
        <v>43649.0</v>
      </c>
      <c r="D1459" s="12" t="str">
        <f>hyperlink("https://rottentomatoes.com/m/spider_man_far_from_home","Spider Man: Far from Home")</f>
        <v>Spider Man: Far from Home</v>
      </c>
      <c r="E1459" s="33" t="s">
        <v>932</v>
      </c>
      <c r="F1459" s="33">
        <v>10.0</v>
      </c>
      <c r="G1459" s="36">
        <v>2019.0</v>
      </c>
      <c r="H1459" s="99" t="s">
        <v>25</v>
      </c>
      <c r="I1459" s="33" t="s">
        <v>26</v>
      </c>
      <c r="J1459" s="57">
        <v>2019.0</v>
      </c>
      <c r="K1459" s="58">
        <v>0.9</v>
      </c>
      <c r="L1459" s="37">
        <v>130.0</v>
      </c>
      <c r="M1459" s="59">
        <f t="shared" si="272"/>
        <v>0.6923076923</v>
      </c>
      <c r="N1459" s="17"/>
    </row>
    <row r="1460">
      <c r="A1460" s="9"/>
      <c r="B1460" s="38">
        <f t="shared" si="233"/>
        <v>1456</v>
      </c>
      <c r="C1460" s="34">
        <v>44018.0</v>
      </c>
      <c r="D1460" s="12" t="str">
        <f>hyperlink("https://www.rottentomatoes.com/m/splash","Splash")</f>
        <v>Splash</v>
      </c>
      <c r="E1460" s="33" t="s">
        <v>932</v>
      </c>
      <c r="F1460" s="33">
        <v>10.0</v>
      </c>
      <c r="G1460" s="36">
        <v>2020.0</v>
      </c>
      <c r="H1460" s="99" t="s">
        <v>58</v>
      </c>
      <c r="I1460" s="33" t="s">
        <v>47</v>
      </c>
      <c r="J1460" s="57">
        <v>1984.0</v>
      </c>
      <c r="K1460" s="82" t="s">
        <v>169</v>
      </c>
      <c r="L1460" s="37">
        <v>111.0</v>
      </c>
      <c r="M1460" s="72" t="s">
        <v>169</v>
      </c>
      <c r="N1460" s="17"/>
    </row>
    <row r="1461">
      <c r="A1461" s="9"/>
      <c r="B1461" s="38">
        <f t="shared" si="233"/>
        <v>1457</v>
      </c>
      <c r="C1461" s="70"/>
      <c r="D1461" s="48" t="s">
        <v>1178</v>
      </c>
      <c r="E1461" s="13" t="s">
        <v>932</v>
      </c>
      <c r="F1461" s="13">
        <v>10.0</v>
      </c>
      <c r="G1461" s="35" t="str">
        <f t="shared" ref="G1461:G1471" si="274">IF(C1461&gt;40908,"2012",IF(C1461&gt;40543,"2011",IF(C1461&gt;40178,"2010",IF(C1461&gt;=39814,"2009",IF(C1461&gt;=39448,"2008",IF(C1461&gt;39082,"2007",IF(C1461&lt;38717,"Pre-2006","2006")))))))</f>
        <v>Pre-2006</v>
      </c>
      <c r="H1461" s="98"/>
      <c r="I1461" s="71"/>
      <c r="J1461" s="61"/>
      <c r="K1461" s="62"/>
      <c r="L1461" s="63"/>
      <c r="M1461" s="59" t="str">
        <f t="shared" ref="M1461:M1493" si="275">if(iserror(K1461/L1461*100),"NA",K1461/L1461*100)</f>
        <v>NA</v>
      </c>
      <c r="N1461" s="17"/>
    </row>
    <row r="1462">
      <c r="A1462" s="9"/>
      <c r="B1462" s="38">
        <f t="shared" si="233"/>
        <v>1458</v>
      </c>
      <c r="C1462" s="70"/>
      <c r="D1462" s="48" t="s">
        <v>1179</v>
      </c>
      <c r="E1462" s="13" t="s">
        <v>932</v>
      </c>
      <c r="F1462" s="13">
        <v>10.0</v>
      </c>
      <c r="G1462" s="35" t="str">
        <f t="shared" si="274"/>
        <v>Pre-2006</v>
      </c>
      <c r="H1462" s="98"/>
      <c r="I1462" s="71"/>
      <c r="J1462" s="61"/>
      <c r="K1462" s="62"/>
      <c r="L1462" s="63"/>
      <c r="M1462" s="59" t="str">
        <f t="shared" si="275"/>
        <v>NA</v>
      </c>
      <c r="N1462" s="17"/>
    </row>
    <row r="1463">
      <c r="A1463" s="9"/>
      <c r="B1463" s="38">
        <f t="shared" si="233"/>
        <v>1459</v>
      </c>
      <c r="C1463" s="70"/>
      <c r="D1463" s="48" t="s">
        <v>1180</v>
      </c>
      <c r="E1463" s="13" t="s">
        <v>932</v>
      </c>
      <c r="F1463" s="13">
        <v>10.0</v>
      </c>
      <c r="G1463" s="35" t="str">
        <f t="shared" si="274"/>
        <v>Pre-2006</v>
      </c>
      <c r="H1463" s="98"/>
      <c r="I1463" s="71"/>
      <c r="J1463" s="61"/>
      <c r="K1463" s="62"/>
      <c r="L1463" s="63"/>
      <c r="M1463" s="59" t="str">
        <f t="shared" si="275"/>
        <v>NA</v>
      </c>
      <c r="N1463" s="17"/>
    </row>
    <row r="1464">
      <c r="A1464" s="9"/>
      <c r="B1464" s="38">
        <f t="shared" si="233"/>
        <v>1460</v>
      </c>
      <c r="C1464" s="70"/>
      <c r="D1464" s="48" t="s">
        <v>1181</v>
      </c>
      <c r="E1464" s="13" t="s">
        <v>932</v>
      </c>
      <c r="F1464" s="13">
        <v>10.0</v>
      </c>
      <c r="G1464" s="35" t="str">
        <f t="shared" si="274"/>
        <v>Pre-2006</v>
      </c>
      <c r="H1464" s="98"/>
      <c r="I1464" s="71"/>
      <c r="J1464" s="61"/>
      <c r="K1464" s="62"/>
      <c r="L1464" s="63"/>
      <c r="M1464" s="59" t="str">
        <f t="shared" si="275"/>
        <v>NA</v>
      </c>
      <c r="N1464" s="17"/>
    </row>
    <row r="1465">
      <c r="A1465" s="9"/>
      <c r="B1465" s="38">
        <f t="shared" si="233"/>
        <v>1461</v>
      </c>
      <c r="C1465" s="70"/>
      <c r="D1465" s="48" t="s">
        <v>1182</v>
      </c>
      <c r="E1465" s="13" t="s">
        <v>932</v>
      </c>
      <c r="F1465" s="13">
        <v>10.0</v>
      </c>
      <c r="G1465" s="35" t="str">
        <f t="shared" si="274"/>
        <v>Pre-2006</v>
      </c>
      <c r="H1465" s="98"/>
      <c r="I1465" s="71"/>
      <c r="J1465" s="61"/>
      <c r="K1465" s="62"/>
      <c r="L1465" s="63"/>
      <c r="M1465" s="59" t="str">
        <f t="shared" si="275"/>
        <v>NA</v>
      </c>
      <c r="N1465" s="17"/>
    </row>
    <row r="1466">
      <c r="A1466" s="9"/>
      <c r="B1466" s="38">
        <f t="shared" si="233"/>
        <v>1462</v>
      </c>
      <c r="C1466" s="34">
        <v>39288.0</v>
      </c>
      <c r="D1466" s="48" t="s">
        <v>1183</v>
      </c>
      <c r="E1466" s="13" t="s">
        <v>932</v>
      </c>
      <c r="F1466" s="13">
        <v>10.0</v>
      </c>
      <c r="G1466" s="35" t="str">
        <f t="shared" si="274"/>
        <v>2007</v>
      </c>
      <c r="H1466" s="98"/>
      <c r="I1466" s="71"/>
      <c r="J1466" s="61"/>
      <c r="K1466" s="62"/>
      <c r="L1466" s="63"/>
      <c r="M1466" s="59" t="str">
        <f t="shared" si="275"/>
        <v>NA</v>
      </c>
      <c r="N1466" s="17"/>
    </row>
    <row r="1467">
      <c r="A1467" s="9"/>
      <c r="B1467" s="38">
        <f t="shared" si="233"/>
        <v>1463</v>
      </c>
      <c r="C1467" s="70"/>
      <c r="D1467" s="48" t="s">
        <v>1184</v>
      </c>
      <c r="E1467" s="13" t="s">
        <v>932</v>
      </c>
      <c r="F1467" s="13">
        <v>10.0</v>
      </c>
      <c r="G1467" s="35" t="str">
        <f t="shared" si="274"/>
        <v>Pre-2006</v>
      </c>
      <c r="H1467" s="98"/>
      <c r="I1467" s="71"/>
      <c r="J1467" s="61"/>
      <c r="K1467" s="62"/>
      <c r="L1467" s="63"/>
      <c r="M1467" s="59" t="str">
        <f t="shared" si="275"/>
        <v>NA</v>
      </c>
      <c r="N1467" s="17"/>
    </row>
    <row r="1468">
      <c r="A1468" s="9"/>
      <c r="B1468" s="38">
        <f t="shared" si="233"/>
        <v>1464</v>
      </c>
      <c r="C1468" s="70"/>
      <c r="D1468" s="48" t="s">
        <v>1185</v>
      </c>
      <c r="E1468" s="13" t="s">
        <v>932</v>
      </c>
      <c r="F1468" s="13">
        <v>10.0</v>
      </c>
      <c r="G1468" s="35" t="str">
        <f t="shared" si="274"/>
        <v>Pre-2006</v>
      </c>
      <c r="H1468" s="98"/>
      <c r="I1468" s="71"/>
      <c r="J1468" s="61"/>
      <c r="K1468" s="62"/>
      <c r="L1468" s="63"/>
      <c r="M1468" s="59" t="str">
        <f t="shared" si="275"/>
        <v>NA</v>
      </c>
      <c r="N1468" s="17"/>
    </row>
    <row r="1469">
      <c r="A1469" s="9"/>
      <c r="B1469" s="38">
        <f t="shared" si="233"/>
        <v>1465</v>
      </c>
      <c r="C1469" s="70"/>
      <c r="D1469" s="48" t="s">
        <v>1186</v>
      </c>
      <c r="E1469" s="13" t="s">
        <v>932</v>
      </c>
      <c r="F1469" s="13">
        <v>10.0</v>
      </c>
      <c r="G1469" s="35" t="str">
        <f t="shared" si="274"/>
        <v>Pre-2006</v>
      </c>
      <c r="H1469" s="98"/>
      <c r="I1469" s="71"/>
      <c r="J1469" s="61"/>
      <c r="K1469" s="62"/>
      <c r="L1469" s="63"/>
      <c r="M1469" s="59" t="str">
        <f t="shared" si="275"/>
        <v>NA</v>
      </c>
      <c r="N1469" s="17"/>
    </row>
    <row r="1470">
      <c r="A1470" s="9"/>
      <c r="B1470" s="38">
        <f t="shared" si="233"/>
        <v>1466</v>
      </c>
      <c r="C1470" s="70"/>
      <c r="D1470" s="48" t="s">
        <v>1187</v>
      </c>
      <c r="E1470" s="13" t="s">
        <v>932</v>
      </c>
      <c r="F1470" s="13">
        <v>10.0</v>
      </c>
      <c r="G1470" s="35" t="str">
        <f t="shared" si="274"/>
        <v>Pre-2006</v>
      </c>
      <c r="H1470" s="98"/>
      <c r="I1470" s="71"/>
      <c r="J1470" s="61"/>
      <c r="K1470" s="62"/>
      <c r="L1470" s="63"/>
      <c r="M1470" s="59" t="str">
        <f t="shared" si="275"/>
        <v>NA</v>
      </c>
      <c r="N1470" s="17"/>
    </row>
    <row r="1471">
      <c r="A1471" s="9"/>
      <c r="B1471" s="38">
        <f t="shared" si="233"/>
        <v>1467</v>
      </c>
      <c r="C1471" s="70"/>
      <c r="D1471" s="48" t="s">
        <v>1188</v>
      </c>
      <c r="E1471" s="13" t="s">
        <v>932</v>
      </c>
      <c r="F1471" s="13">
        <v>10.0</v>
      </c>
      <c r="G1471" s="35" t="str">
        <f t="shared" si="274"/>
        <v>Pre-2006</v>
      </c>
      <c r="H1471" s="98"/>
      <c r="I1471" s="71"/>
      <c r="J1471" s="61"/>
      <c r="K1471" s="62"/>
      <c r="L1471" s="63"/>
      <c r="M1471" s="59" t="str">
        <f t="shared" si="275"/>
        <v>NA</v>
      </c>
      <c r="N1471" s="17"/>
    </row>
    <row r="1472">
      <c r="A1472" s="9"/>
      <c r="B1472" s="38">
        <f t="shared" si="233"/>
        <v>1468</v>
      </c>
      <c r="C1472" s="34">
        <v>45047.0</v>
      </c>
      <c r="D1472" s="12" t="str">
        <f>hyperlink("https://www.rottentomatoes.com/m/the_swimmers_2022","Swimmers, The")</f>
        <v>Swimmers, The</v>
      </c>
      <c r="E1472" s="33" t="s">
        <v>932</v>
      </c>
      <c r="F1472" s="33">
        <v>10.0</v>
      </c>
      <c r="G1472" s="36">
        <v>2023.0</v>
      </c>
      <c r="H1472" s="99" t="s">
        <v>126</v>
      </c>
      <c r="I1472" s="33" t="s">
        <v>1189</v>
      </c>
      <c r="J1472" s="57">
        <v>2022.0</v>
      </c>
      <c r="K1472" s="58">
        <v>0.83</v>
      </c>
      <c r="L1472" s="37">
        <v>134.0</v>
      </c>
      <c r="M1472" s="59">
        <f t="shared" si="275"/>
        <v>0.6194029851</v>
      </c>
      <c r="N1472" s="17"/>
    </row>
    <row r="1473">
      <c r="A1473" s="9"/>
      <c r="B1473" s="38">
        <f t="shared" si="233"/>
        <v>1469</v>
      </c>
      <c r="C1473" s="70"/>
      <c r="D1473" s="48" t="s">
        <v>1190</v>
      </c>
      <c r="E1473" s="13" t="s">
        <v>932</v>
      </c>
      <c r="F1473" s="13">
        <v>10.0</v>
      </c>
      <c r="G1473" s="35" t="str">
        <f t="shared" ref="G1473:G1474" si="276">IF(C1473&gt;40908,"2012",IF(C1473&gt;40543,"2011",IF(C1473&gt;40178,"2010",IF(C1473&gt;=39814,"2009",IF(C1473&gt;=39448,"2008",IF(C1473&gt;39082,"2007",IF(C1473&lt;38717,"Pre-2006","2006")))))))</f>
        <v>Pre-2006</v>
      </c>
      <c r="H1473" s="98"/>
      <c r="I1473" s="71"/>
      <c r="J1473" s="61"/>
      <c r="K1473" s="62"/>
      <c r="L1473" s="63"/>
      <c r="M1473" s="59" t="str">
        <f t="shared" si="275"/>
        <v>NA</v>
      </c>
      <c r="N1473" s="17"/>
    </row>
    <row r="1474">
      <c r="A1474" s="9"/>
      <c r="B1474" s="38">
        <f t="shared" si="233"/>
        <v>1470</v>
      </c>
      <c r="C1474" s="34">
        <v>38947.0</v>
      </c>
      <c r="D1474" s="48" t="s">
        <v>1191</v>
      </c>
      <c r="E1474" s="13" t="s">
        <v>932</v>
      </c>
      <c r="F1474" s="13">
        <v>10.0</v>
      </c>
      <c r="G1474" s="35" t="str">
        <f t="shared" si="276"/>
        <v>2006</v>
      </c>
      <c r="H1474" s="98"/>
      <c r="I1474" s="71"/>
      <c r="J1474" s="61"/>
      <c r="K1474" s="62"/>
      <c r="L1474" s="63"/>
      <c r="M1474" s="59" t="str">
        <f t="shared" si="275"/>
        <v>NA</v>
      </c>
      <c r="N1474" s="17"/>
    </row>
    <row r="1475">
      <c r="A1475" s="9"/>
      <c r="B1475" s="38">
        <f t="shared" si="233"/>
        <v>1471</v>
      </c>
      <c r="C1475" s="34">
        <v>45493.0</v>
      </c>
      <c r="D1475" s="12" t="str">
        <f>hyperlink("https://www.rottentomatoes.com/m/tangled","Tangled")</f>
        <v>Tangled</v>
      </c>
      <c r="E1475" s="33" t="s">
        <v>932</v>
      </c>
      <c r="F1475" s="33">
        <v>10.0</v>
      </c>
      <c r="G1475" s="36">
        <v>2024.0</v>
      </c>
      <c r="H1475" s="99" t="s">
        <v>58</v>
      </c>
      <c r="I1475" s="33" t="s">
        <v>264</v>
      </c>
      <c r="J1475" s="57">
        <v>2010.0</v>
      </c>
      <c r="K1475" s="58">
        <v>0.89</v>
      </c>
      <c r="L1475" s="37">
        <v>101.0</v>
      </c>
      <c r="M1475" s="59">
        <f t="shared" si="275"/>
        <v>0.8811881188</v>
      </c>
      <c r="N1475" s="17"/>
    </row>
    <row r="1476">
      <c r="A1476" s="9"/>
      <c r="B1476" s="38">
        <f t="shared" si="233"/>
        <v>1472</v>
      </c>
      <c r="C1476" s="70"/>
      <c r="D1476" s="48" t="s">
        <v>1192</v>
      </c>
      <c r="E1476" s="13" t="s">
        <v>932</v>
      </c>
      <c r="F1476" s="13">
        <v>10.0</v>
      </c>
      <c r="G1476" s="35" t="str">
        <f>IF(C1476&gt;40908,"2012",IF(C1476&gt;40543,"2011",IF(C1476&gt;40178,"2010",IF(C1476&gt;=39814,"2009",IF(C1476&gt;=39448,"2008",IF(C1476&gt;39082,"2007",IF(C1476&lt;38717,"Pre-2006","2006")))))))</f>
        <v>Pre-2006</v>
      </c>
      <c r="H1476" s="98"/>
      <c r="I1476" s="71"/>
      <c r="J1476" s="61"/>
      <c r="K1476" s="62"/>
      <c r="L1476" s="63"/>
      <c r="M1476" s="59" t="str">
        <f t="shared" si="275"/>
        <v>NA</v>
      </c>
      <c r="N1476" s="17"/>
    </row>
    <row r="1477">
      <c r="A1477" s="9"/>
      <c r="B1477" s="38">
        <f t="shared" si="233"/>
        <v>1473</v>
      </c>
      <c r="C1477" s="34">
        <v>44569.0</v>
      </c>
      <c r="D1477" s="12" t="str">
        <f>hyperlink("https://www.rottentomatoes.com/m/the_tender_bar","Tender Bar, The")</f>
        <v>Tender Bar, The</v>
      </c>
      <c r="E1477" s="33" t="s">
        <v>932</v>
      </c>
      <c r="F1477" s="33">
        <v>10.0</v>
      </c>
      <c r="G1477" s="36">
        <v>2022.0</v>
      </c>
      <c r="H1477" s="99" t="s">
        <v>58</v>
      </c>
      <c r="I1477" s="33" t="s">
        <v>279</v>
      </c>
      <c r="J1477" s="57">
        <v>2021.0</v>
      </c>
      <c r="K1477" s="58">
        <v>0.52</v>
      </c>
      <c r="L1477" s="37">
        <v>106.0</v>
      </c>
      <c r="M1477" s="16">
        <f t="shared" si="275"/>
        <v>0.4905660377</v>
      </c>
      <c r="N1477" s="17"/>
    </row>
    <row r="1478">
      <c r="A1478" s="9"/>
      <c r="B1478" s="38">
        <f t="shared" si="233"/>
        <v>1474</v>
      </c>
      <c r="C1478" s="34">
        <v>44852.0</v>
      </c>
      <c r="D1478" s="12" t="str">
        <f>hyperlink("https://www.rottentomatoes.com/m/1133499-1133499-terminal","Terminal, The")</f>
        <v>Terminal, The</v>
      </c>
      <c r="E1478" s="33" t="s">
        <v>932</v>
      </c>
      <c r="F1478" s="33">
        <v>10.0</v>
      </c>
      <c r="G1478" s="36">
        <v>2022.0</v>
      </c>
      <c r="H1478" s="99" t="s">
        <v>58</v>
      </c>
      <c r="I1478" s="33" t="s">
        <v>77</v>
      </c>
      <c r="J1478" s="57">
        <v>2004.0</v>
      </c>
      <c r="K1478" s="58">
        <v>0.61</v>
      </c>
      <c r="L1478" s="37">
        <v>128.0</v>
      </c>
      <c r="M1478" s="16">
        <f t="shared" si="275"/>
        <v>0.4765625</v>
      </c>
      <c r="N1478" s="17"/>
    </row>
    <row r="1479">
      <c r="A1479" s="9"/>
      <c r="B1479" s="38">
        <f t="shared" si="233"/>
        <v>1475</v>
      </c>
      <c r="C1479" s="70"/>
      <c r="D1479" s="48" t="s">
        <v>1193</v>
      </c>
      <c r="E1479" s="13" t="s">
        <v>932</v>
      </c>
      <c r="F1479" s="13">
        <v>10.0</v>
      </c>
      <c r="G1479" s="35" t="str">
        <f t="shared" ref="G1479:G1480" si="277">IF(C1479&gt;40908,"2012",IF(C1479&gt;40543,"2011",IF(C1479&gt;40178,"2010",IF(C1479&gt;=39814,"2009",IF(C1479&gt;=39448,"2008",IF(C1479&gt;39082,"2007",IF(C1479&lt;38717,"Pre-2006","2006")))))))</f>
        <v>Pre-2006</v>
      </c>
      <c r="H1479" s="98"/>
      <c r="I1479" s="71"/>
      <c r="J1479" s="61"/>
      <c r="K1479" s="62"/>
      <c r="L1479" s="63"/>
      <c r="M1479" s="59" t="str">
        <f t="shared" si="275"/>
        <v>NA</v>
      </c>
      <c r="N1479" s="17"/>
    </row>
    <row r="1480">
      <c r="A1480" s="9"/>
      <c r="B1480" s="38">
        <f t="shared" si="233"/>
        <v>1476</v>
      </c>
      <c r="C1480" s="70"/>
      <c r="D1480" s="48" t="s">
        <v>1194</v>
      </c>
      <c r="E1480" s="13" t="s">
        <v>932</v>
      </c>
      <c r="F1480" s="13">
        <v>10.0</v>
      </c>
      <c r="G1480" s="35" t="str">
        <f t="shared" si="277"/>
        <v>Pre-2006</v>
      </c>
      <c r="H1480" s="98"/>
      <c r="I1480" s="71"/>
      <c r="J1480" s="61"/>
      <c r="K1480" s="62"/>
      <c r="L1480" s="63"/>
      <c r="M1480" s="59" t="str">
        <f t="shared" si="275"/>
        <v>NA</v>
      </c>
      <c r="N1480" s="17"/>
    </row>
    <row r="1481">
      <c r="A1481" s="9"/>
      <c r="B1481" s="38">
        <f t="shared" si="233"/>
        <v>1477</v>
      </c>
      <c r="C1481" s="34">
        <v>41601.0</v>
      </c>
      <c r="D1481" s="48" t="s">
        <v>1195</v>
      </c>
      <c r="E1481" s="13" t="s">
        <v>932</v>
      </c>
      <c r="F1481" s="13">
        <v>10.0</v>
      </c>
      <c r="G1481" s="13">
        <v>2013.0</v>
      </c>
      <c r="H1481" s="79" t="s">
        <v>25</v>
      </c>
      <c r="I1481" s="13" t="s">
        <v>47</v>
      </c>
      <c r="J1481" s="55">
        <v>2013.0</v>
      </c>
      <c r="K1481" s="56">
        <v>0.83</v>
      </c>
      <c r="L1481" s="14">
        <v>107.0</v>
      </c>
      <c r="M1481" s="16">
        <f t="shared" si="275"/>
        <v>0.7757009346</v>
      </c>
      <c r="N1481" s="17"/>
    </row>
    <row r="1482">
      <c r="A1482" s="9"/>
      <c r="B1482" s="38">
        <f t="shared" si="233"/>
        <v>1478</v>
      </c>
      <c r="C1482" s="70"/>
      <c r="D1482" s="48" t="s">
        <v>1196</v>
      </c>
      <c r="E1482" s="13" t="s">
        <v>932</v>
      </c>
      <c r="F1482" s="13">
        <v>10.0</v>
      </c>
      <c r="G1482" s="35" t="str">
        <f t="shared" ref="G1482:G1483" si="278">IF(C1482&gt;40908,"2012",IF(C1482&gt;40543,"2011",IF(C1482&gt;40178,"2010",IF(C1482&gt;=39814,"2009",IF(C1482&gt;=39448,"2008",IF(C1482&gt;39082,"2007",IF(C1482&lt;38717,"Pre-2006","2006")))))))</f>
        <v>Pre-2006</v>
      </c>
      <c r="H1482" s="98"/>
      <c r="I1482" s="71"/>
      <c r="J1482" s="61"/>
      <c r="K1482" s="62"/>
      <c r="L1482" s="63"/>
      <c r="M1482" s="59" t="str">
        <f t="shared" si="275"/>
        <v>NA</v>
      </c>
      <c r="N1482" s="17"/>
    </row>
    <row r="1483">
      <c r="A1483" s="9"/>
      <c r="B1483" s="38">
        <f t="shared" si="233"/>
        <v>1479</v>
      </c>
      <c r="C1483" s="70"/>
      <c r="D1483" s="48" t="s">
        <v>1197</v>
      </c>
      <c r="E1483" s="13" t="s">
        <v>932</v>
      </c>
      <c r="F1483" s="13">
        <v>10.0</v>
      </c>
      <c r="G1483" s="35" t="str">
        <f t="shared" si="278"/>
        <v>Pre-2006</v>
      </c>
      <c r="H1483" s="98"/>
      <c r="I1483" s="71"/>
      <c r="J1483" s="61"/>
      <c r="K1483" s="62"/>
      <c r="L1483" s="63"/>
      <c r="M1483" s="59" t="str">
        <f t="shared" si="275"/>
        <v>NA</v>
      </c>
      <c r="N1483" s="17"/>
    </row>
    <row r="1484">
      <c r="A1484" s="9"/>
      <c r="B1484" s="38">
        <f t="shared" si="233"/>
        <v>1480</v>
      </c>
      <c r="C1484" s="34">
        <v>41601.0</v>
      </c>
      <c r="D1484" s="48" t="s">
        <v>1198</v>
      </c>
      <c r="E1484" s="13" t="s">
        <v>932</v>
      </c>
      <c r="F1484" s="13">
        <v>10.0</v>
      </c>
      <c r="G1484" s="13">
        <v>2013.0</v>
      </c>
      <c r="H1484" s="79" t="s">
        <v>25</v>
      </c>
      <c r="I1484" s="13" t="s">
        <v>47</v>
      </c>
      <c r="J1484" s="55">
        <v>2013.0</v>
      </c>
      <c r="K1484" s="56">
        <v>0.52</v>
      </c>
      <c r="L1484" s="14">
        <v>104.0</v>
      </c>
      <c r="M1484" s="16">
        <f t="shared" si="275"/>
        <v>0.5</v>
      </c>
      <c r="N1484" s="17"/>
    </row>
    <row r="1485">
      <c r="A1485" s="9"/>
      <c r="B1485" s="38">
        <f t="shared" si="233"/>
        <v>1481</v>
      </c>
      <c r="C1485" s="70"/>
      <c r="D1485" s="48" t="s">
        <v>1199</v>
      </c>
      <c r="E1485" s="13" t="s">
        <v>932</v>
      </c>
      <c r="F1485" s="13">
        <v>10.0</v>
      </c>
      <c r="G1485" s="35" t="str">
        <f t="shared" ref="G1485:G1489" si="279">IF(C1485&gt;40908,"2012",IF(C1485&gt;40543,"2011",IF(C1485&gt;40178,"2010",IF(C1485&gt;=39814,"2009",IF(C1485&gt;=39448,"2008",IF(C1485&gt;39082,"2007",IF(C1485&lt;38717,"Pre-2006","2006")))))))</f>
        <v>Pre-2006</v>
      </c>
      <c r="H1485" s="98"/>
      <c r="I1485" s="71"/>
      <c r="J1485" s="61"/>
      <c r="K1485" s="62"/>
      <c r="L1485" s="63"/>
      <c r="M1485" s="59" t="str">
        <f t="shared" si="275"/>
        <v>NA</v>
      </c>
      <c r="N1485" s="17"/>
    </row>
    <row r="1486">
      <c r="A1486" s="9"/>
      <c r="B1486" s="38">
        <f t="shared" si="233"/>
        <v>1482</v>
      </c>
      <c r="C1486" s="70"/>
      <c r="D1486" s="48" t="s">
        <v>1200</v>
      </c>
      <c r="E1486" s="13" t="s">
        <v>932</v>
      </c>
      <c r="F1486" s="13">
        <v>10.0</v>
      </c>
      <c r="G1486" s="35" t="str">
        <f t="shared" si="279"/>
        <v>Pre-2006</v>
      </c>
      <c r="H1486" s="98"/>
      <c r="I1486" s="71"/>
      <c r="J1486" s="61"/>
      <c r="K1486" s="62"/>
      <c r="L1486" s="63"/>
      <c r="M1486" s="59" t="str">
        <f t="shared" si="275"/>
        <v>NA</v>
      </c>
      <c r="N1486" s="17"/>
    </row>
    <row r="1487">
      <c r="A1487" s="9"/>
      <c r="B1487" s="38">
        <f t="shared" si="233"/>
        <v>1483</v>
      </c>
      <c r="C1487" s="70"/>
      <c r="D1487" s="48" t="s">
        <v>1201</v>
      </c>
      <c r="E1487" s="13" t="s">
        <v>932</v>
      </c>
      <c r="F1487" s="13">
        <v>10.0</v>
      </c>
      <c r="G1487" s="35" t="str">
        <f t="shared" si="279"/>
        <v>Pre-2006</v>
      </c>
      <c r="H1487" s="98"/>
      <c r="I1487" s="71"/>
      <c r="J1487" s="61"/>
      <c r="K1487" s="62"/>
      <c r="L1487" s="63"/>
      <c r="M1487" s="59" t="str">
        <f t="shared" si="275"/>
        <v>NA</v>
      </c>
      <c r="N1487" s="17"/>
    </row>
    <row r="1488">
      <c r="A1488" s="9"/>
      <c r="B1488" s="38">
        <f t="shared" si="233"/>
        <v>1484</v>
      </c>
      <c r="C1488" s="70"/>
      <c r="D1488" s="48" t="s">
        <v>1202</v>
      </c>
      <c r="E1488" s="13" t="s">
        <v>932</v>
      </c>
      <c r="F1488" s="13">
        <v>10.0</v>
      </c>
      <c r="G1488" s="35" t="str">
        <f t="shared" si="279"/>
        <v>Pre-2006</v>
      </c>
      <c r="H1488" s="98"/>
      <c r="I1488" s="71"/>
      <c r="J1488" s="61"/>
      <c r="K1488" s="62"/>
      <c r="L1488" s="63"/>
      <c r="M1488" s="59" t="str">
        <f t="shared" si="275"/>
        <v>NA</v>
      </c>
      <c r="N1488" s="17"/>
    </row>
    <row r="1489">
      <c r="A1489" s="9"/>
      <c r="B1489" s="38">
        <f t="shared" si="233"/>
        <v>1485</v>
      </c>
      <c r="C1489" s="70"/>
      <c r="D1489" s="48" t="s">
        <v>1203</v>
      </c>
      <c r="E1489" s="13" t="s">
        <v>932</v>
      </c>
      <c r="F1489" s="13">
        <v>10.0</v>
      </c>
      <c r="G1489" s="35" t="str">
        <f t="shared" si="279"/>
        <v>Pre-2006</v>
      </c>
      <c r="H1489" s="98"/>
      <c r="I1489" s="71"/>
      <c r="J1489" s="61"/>
      <c r="K1489" s="62"/>
      <c r="L1489" s="63"/>
      <c r="M1489" s="59" t="str">
        <f t="shared" si="275"/>
        <v>NA</v>
      </c>
      <c r="N1489" s="17"/>
    </row>
    <row r="1490">
      <c r="A1490" s="9"/>
      <c r="B1490" s="38">
        <f t="shared" si="233"/>
        <v>1486</v>
      </c>
      <c r="C1490" s="34">
        <v>44791.0</v>
      </c>
      <c r="D1490" s="12" t="str">
        <f>hyperlink("https://www.rottentomatoes.com/m/uncharted_2022","Uncharted")</f>
        <v>Uncharted</v>
      </c>
      <c r="E1490" s="33" t="s">
        <v>932</v>
      </c>
      <c r="F1490" s="33">
        <v>10.0</v>
      </c>
      <c r="G1490" s="36">
        <v>2022.0</v>
      </c>
      <c r="H1490" s="99" t="s">
        <v>58</v>
      </c>
      <c r="I1490" s="33" t="s">
        <v>77</v>
      </c>
      <c r="J1490" s="57">
        <v>2022.0</v>
      </c>
      <c r="K1490" s="58">
        <v>0.41</v>
      </c>
      <c r="L1490" s="37">
        <v>116.0</v>
      </c>
      <c r="M1490" s="59">
        <f t="shared" si="275"/>
        <v>0.3534482759</v>
      </c>
      <c r="N1490" s="17"/>
    </row>
    <row r="1491">
      <c r="A1491" s="9"/>
      <c r="B1491" s="38">
        <f t="shared" si="233"/>
        <v>1487</v>
      </c>
      <c r="C1491" s="34">
        <v>44669.0</v>
      </c>
      <c r="D1491" s="12" t="str">
        <f>hyperlink("https://www.rottentomatoes.com/m/uncut_gems","Uncut Gems")</f>
        <v>Uncut Gems</v>
      </c>
      <c r="E1491" s="33" t="s">
        <v>932</v>
      </c>
      <c r="F1491" s="33">
        <v>10.0</v>
      </c>
      <c r="G1491" s="36">
        <v>2022.0</v>
      </c>
      <c r="H1491" s="99" t="s">
        <v>58</v>
      </c>
      <c r="I1491" s="33" t="s">
        <v>77</v>
      </c>
      <c r="J1491" s="57">
        <v>2019.0</v>
      </c>
      <c r="K1491" s="58">
        <v>0.92</v>
      </c>
      <c r="L1491" s="37">
        <v>135.0</v>
      </c>
      <c r="M1491" s="59">
        <f t="shared" si="275"/>
        <v>0.6814814815</v>
      </c>
      <c r="N1491" s="17"/>
    </row>
    <row r="1492">
      <c r="A1492" s="9"/>
      <c r="B1492" s="38">
        <f t="shared" si="233"/>
        <v>1488</v>
      </c>
      <c r="C1492" s="34">
        <v>45416.0</v>
      </c>
      <c r="D1492" s="64" t="s">
        <v>1204</v>
      </c>
      <c r="E1492" s="33" t="s">
        <v>932</v>
      </c>
      <c r="F1492" s="33">
        <v>10.0</v>
      </c>
      <c r="G1492" s="36">
        <v>2024.0</v>
      </c>
      <c r="H1492" s="99" t="s">
        <v>58</v>
      </c>
      <c r="I1492" s="33" t="s">
        <v>77</v>
      </c>
      <c r="J1492" s="57">
        <v>2024.0</v>
      </c>
      <c r="K1492" s="58">
        <v>0.42</v>
      </c>
      <c r="L1492" s="37">
        <v>93.0</v>
      </c>
      <c r="M1492" s="59">
        <f t="shared" si="275"/>
        <v>0.4516129032</v>
      </c>
      <c r="N1492" s="17"/>
    </row>
    <row r="1493">
      <c r="A1493" s="9"/>
      <c r="B1493" s="38">
        <f t="shared" si="233"/>
        <v>1489</v>
      </c>
      <c r="C1493" s="70"/>
      <c r="D1493" s="48" t="s">
        <v>1205</v>
      </c>
      <c r="E1493" s="13" t="s">
        <v>932</v>
      </c>
      <c r="F1493" s="13">
        <v>10.0</v>
      </c>
      <c r="G1493" s="35" t="str">
        <f>IF(C1493&gt;40908,"2012",IF(C1493&gt;40543,"2011",IF(C1493&gt;40178,"2010",IF(C1493&gt;=39814,"2009",IF(C1493&gt;=39448,"2008",IF(C1493&gt;39082,"2007",IF(C1493&lt;38717,"Pre-2006","2006")))))))</f>
        <v>Pre-2006</v>
      </c>
      <c r="H1493" s="98"/>
      <c r="I1493" s="71"/>
      <c r="J1493" s="61"/>
      <c r="K1493" s="62"/>
      <c r="L1493" s="63"/>
      <c r="M1493" s="59" t="str">
        <f t="shared" si="275"/>
        <v>NA</v>
      </c>
      <c r="N1493" s="17"/>
    </row>
    <row r="1494">
      <c r="A1494" s="9"/>
      <c r="B1494" s="38">
        <f t="shared" si="233"/>
        <v>1490</v>
      </c>
      <c r="C1494" s="34">
        <v>44646.0</v>
      </c>
      <c r="D1494" s="12" t="str">
        <f>hyperlink("https://www.imdb.com/title/tt15101938/","Untold: Breaking Point)")</f>
        <v>Untold: Breaking Point)</v>
      </c>
      <c r="E1494" s="33" t="s">
        <v>932</v>
      </c>
      <c r="F1494" s="33">
        <v>10.0</v>
      </c>
      <c r="G1494" s="36">
        <v>2022.0</v>
      </c>
      <c r="H1494" s="33" t="s">
        <v>58</v>
      </c>
      <c r="I1494" s="33" t="s">
        <v>1189</v>
      </c>
      <c r="J1494" s="37">
        <v>2021.0</v>
      </c>
      <c r="K1494" s="86" t="s">
        <v>169</v>
      </c>
      <c r="L1494" s="37">
        <v>68.0</v>
      </c>
      <c r="M1494" s="72" t="s">
        <v>169</v>
      </c>
      <c r="N1494" s="17"/>
    </row>
    <row r="1495">
      <c r="A1495" s="9"/>
      <c r="B1495" s="38">
        <f t="shared" si="233"/>
        <v>1491</v>
      </c>
      <c r="C1495" s="34">
        <v>42315.0</v>
      </c>
      <c r="D1495" s="12" t="str">
        <f>hyperlink("http://www.rottentomatoes.com/m/vacation_2013/?search=vacation","Vacation")</f>
        <v>Vacation</v>
      </c>
      <c r="E1495" s="33" t="s">
        <v>932</v>
      </c>
      <c r="F1495" s="33">
        <v>10.0</v>
      </c>
      <c r="G1495" s="36">
        <v>2015.0</v>
      </c>
      <c r="H1495" s="33" t="s">
        <v>58</v>
      </c>
      <c r="I1495" s="33" t="s">
        <v>47</v>
      </c>
      <c r="J1495" s="37">
        <v>2015.0</v>
      </c>
      <c r="K1495" s="15">
        <v>0.26</v>
      </c>
      <c r="L1495" s="37">
        <v>99.0</v>
      </c>
      <c r="M1495" s="59">
        <f t="shared" ref="M1495:M1528" si="280">if(iserror(K1495/L1495*100),"NA",K1495/L1495*100)</f>
        <v>0.2626262626</v>
      </c>
      <c r="N1495" s="17"/>
    </row>
    <row r="1496">
      <c r="A1496" s="9"/>
      <c r="B1496" s="38">
        <f t="shared" si="233"/>
        <v>1492</v>
      </c>
      <c r="C1496" s="34">
        <v>39809.0</v>
      </c>
      <c r="D1496" s="48" t="s">
        <v>1206</v>
      </c>
      <c r="E1496" s="13" t="s">
        <v>932</v>
      </c>
      <c r="F1496" s="13">
        <v>10.0</v>
      </c>
      <c r="G1496" s="35" t="str">
        <f t="shared" ref="G1496:G1498" si="281">IF(C1496&gt;40908,"2012",IF(C1496&gt;40543,"2011",IF(C1496&gt;40178,"2010",IF(C1496&gt;=39814,"2009",IF(C1496&gt;=39448,"2008",IF(C1496&gt;39082,"2007",IF(C1496&lt;38717,"Pre-2006","2006")))))))</f>
        <v>2008</v>
      </c>
      <c r="H1496" s="13" t="s">
        <v>29</v>
      </c>
      <c r="I1496" s="13" t="s">
        <v>511</v>
      </c>
      <c r="J1496" s="14">
        <v>2006.0</v>
      </c>
      <c r="K1496" s="15">
        <v>0.08</v>
      </c>
      <c r="L1496" s="14">
        <v>97.0</v>
      </c>
      <c r="M1496" s="16">
        <f t="shared" si="280"/>
        <v>0.0824742268</v>
      </c>
      <c r="N1496" s="17"/>
    </row>
    <row r="1497">
      <c r="A1497" s="9"/>
      <c r="B1497" s="38">
        <f t="shared" si="233"/>
        <v>1493</v>
      </c>
      <c r="C1497" s="70"/>
      <c r="D1497" s="48" t="s">
        <v>1207</v>
      </c>
      <c r="E1497" s="13" t="s">
        <v>932</v>
      </c>
      <c r="F1497" s="13">
        <v>10.0</v>
      </c>
      <c r="G1497" s="35" t="str">
        <f t="shared" si="281"/>
        <v>Pre-2006</v>
      </c>
      <c r="H1497" s="98"/>
      <c r="I1497" s="71"/>
      <c r="J1497" s="61"/>
      <c r="K1497" s="62"/>
      <c r="L1497" s="63"/>
      <c r="M1497" s="59" t="str">
        <f t="shared" si="280"/>
        <v>NA</v>
      </c>
      <c r="N1497" s="17"/>
    </row>
    <row r="1498">
      <c r="A1498" s="9"/>
      <c r="B1498" s="38">
        <f t="shared" si="233"/>
        <v>1494</v>
      </c>
      <c r="C1498" s="70"/>
      <c r="D1498" s="48" t="s">
        <v>1208</v>
      </c>
      <c r="E1498" s="13" t="s">
        <v>932</v>
      </c>
      <c r="F1498" s="13">
        <v>10.0</v>
      </c>
      <c r="G1498" s="35" t="str">
        <f t="shared" si="281"/>
        <v>Pre-2006</v>
      </c>
      <c r="H1498" s="98"/>
      <c r="I1498" s="71"/>
      <c r="J1498" s="61"/>
      <c r="K1498" s="62"/>
      <c r="L1498" s="63"/>
      <c r="M1498" s="59" t="str">
        <f t="shared" si="280"/>
        <v>NA</v>
      </c>
      <c r="N1498" s="17"/>
    </row>
    <row r="1499">
      <c r="A1499" s="9"/>
      <c r="B1499" s="38">
        <f t="shared" si="233"/>
        <v>1495</v>
      </c>
      <c r="C1499" s="34">
        <v>45380.0</v>
      </c>
      <c r="D1499" s="12" t="str">
        <f>hyperlink("https://www.rottentomatoes.com/m/vision_quest_1985","Vision Quest")</f>
        <v>Vision Quest</v>
      </c>
      <c r="E1499" s="33" t="s">
        <v>932</v>
      </c>
      <c r="F1499" s="33">
        <v>10.0</v>
      </c>
      <c r="G1499" s="36">
        <v>2024.0</v>
      </c>
      <c r="H1499" s="99" t="s">
        <v>58</v>
      </c>
      <c r="I1499" s="33" t="s">
        <v>279</v>
      </c>
      <c r="J1499" s="57">
        <v>1985.0</v>
      </c>
      <c r="K1499" s="58">
        <v>0.6</v>
      </c>
      <c r="L1499" s="37">
        <v>107.0</v>
      </c>
      <c r="M1499" s="16">
        <f t="shared" si="280"/>
        <v>0.5607476636</v>
      </c>
      <c r="N1499" s="17"/>
    </row>
    <row r="1500">
      <c r="A1500" s="9"/>
      <c r="B1500" s="38">
        <f t="shared" si="233"/>
        <v>1496</v>
      </c>
      <c r="C1500" s="70"/>
      <c r="D1500" s="48" t="s">
        <v>1209</v>
      </c>
      <c r="E1500" s="13" t="s">
        <v>932</v>
      </c>
      <c r="F1500" s="13">
        <v>10.0</v>
      </c>
      <c r="G1500" s="35" t="str">
        <f t="shared" ref="G1500:G1505" si="282">IF(C1500&gt;40908,"2012",IF(C1500&gt;40543,"2011",IF(C1500&gt;40178,"2010",IF(C1500&gt;=39814,"2009",IF(C1500&gt;=39448,"2008",IF(C1500&gt;39082,"2007",IF(C1500&lt;38717,"Pre-2006","2006")))))))</f>
        <v>Pre-2006</v>
      </c>
      <c r="H1500" s="98"/>
      <c r="I1500" s="71"/>
      <c r="J1500" s="61"/>
      <c r="K1500" s="62"/>
      <c r="L1500" s="63"/>
      <c r="M1500" s="59" t="str">
        <f t="shared" si="280"/>
        <v>NA</v>
      </c>
      <c r="N1500" s="17"/>
    </row>
    <row r="1501">
      <c r="A1501" s="9"/>
      <c r="B1501" s="38">
        <f t="shared" si="233"/>
        <v>1497</v>
      </c>
      <c r="C1501" s="34">
        <v>40446.0</v>
      </c>
      <c r="D1501" s="48" t="s">
        <v>1210</v>
      </c>
      <c r="E1501" s="13" t="s">
        <v>932</v>
      </c>
      <c r="F1501" s="13">
        <v>10.0</v>
      </c>
      <c r="G1501" s="35" t="str">
        <f t="shared" si="282"/>
        <v>2010</v>
      </c>
      <c r="H1501" s="13" t="s">
        <v>25</v>
      </c>
      <c r="I1501" s="13" t="s">
        <v>26</v>
      </c>
      <c r="J1501" s="14">
        <v>2010.0</v>
      </c>
      <c r="K1501" s="15">
        <v>0.89</v>
      </c>
      <c r="L1501" s="14">
        <v>102.0</v>
      </c>
      <c r="M1501" s="16">
        <f t="shared" si="280"/>
        <v>0.8725490196</v>
      </c>
      <c r="N1501" s="17"/>
    </row>
    <row r="1502">
      <c r="A1502" s="9"/>
      <c r="B1502" s="38">
        <f t="shared" si="233"/>
        <v>1498</v>
      </c>
      <c r="C1502" s="70"/>
      <c r="D1502" s="48" t="s">
        <v>1211</v>
      </c>
      <c r="E1502" s="13" t="s">
        <v>932</v>
      </c>
      <c r="F1502" s="13">
        <v>10.0</v>
      </c>
      <c r="G1502" s="35" t="str">
        <f t="shared" si="282"/>
        <v>Pre-2006</v>
      </c>
      <c r="H1502" s="98"/>
      <c r="I1502" s="71"/>
      <c r="J1502" s="61"/>
      <c r="K1502" s="62"/>
      <c r="L1502" s="63"/>
      <c r="M1502" s="59" t="str">
        <f t="shared" si="280"/>
        <v>NA</v>
      </c>
      <c r="N1502" s="17"/>
    </row>
    <row r="1503">
      <c r="A1503" s="9"/>
      <c r="B1503" s="38">
        <f t="shared" si="233"/>
        <v>1499</v>
      </c>
      <c r="C1503" s="70"/>
      <c r="D1503" s="48" t="s">
        <v>1212</v>
      </c>
      <c r="E1503" s="13" t="s">
        <v>932</v>
      </c>
      <c r="F1503" s="13">
        <v>10.0</v>
      </c>
      <c r="G1503" s="35" t="str">
        <f t="shared" si="282"/>
        <v>Pre-2006</v>
      </c>
      <c r="H1503" s="98"/>
      <c r="I1503" s="71"/>
      <c r="J1503" s="61"/>
      <c r="K1503" s="62"/>
      <c r="L1503" s="63"/>
      <c r="M1503" s="59" t="str">
        <f t="shared" si="280"/>
        <v>NA</v>
      </c>
      <c r="N1503" s="17"/>
    </row>
    <row r="1504">
      <c r="A1504" s="9"/>
      <c r="B1504" s="38">
        <f t="shared" si="233"/>
        <v>1500</v>
      </c>
      <c r="C1504" s="70"/>
      <c r="D1504" s="48" t="s">
        <v>1213</v>
      </c>
      <c r="E1504" s="13" t="s">
        <v>932</v>
      </c>
      <c r="F1504" s="13">
        <v>10.0</v>
      </c>
      <c r="G1504" s="35" t="str">
        <f t="shared" si="282"/>
        <v>Pre-2006</v>
      </c>
      <c r="H1504" s="98"/>
      <c r="I1504" s="71"/>
      <c r="J1504" s="61"/>
      <c r="K1504" s="62"/>
      <c r="L1504" s="63"/>
      <c r="M1504" s="59" t="str">
        <f t="shared" si="280"/>
        <v>NA</v>
      </c>
      <c r="N1504" s="17"/>
    </row>
    <row r="1505">
      <c r="A1505" s="9"/>
      <c r="B1505" s="38">
        <f t="shared" si="233"/>
        <v>1501</v>
      </c>
      <c r="C1505" s="70"/>
      <c r="D1505" s="48" t="s">
        <v>1214</v>
      </c>
      <c r="E1505" s="13" t="s">
        <v>932</v>
      </c>
      <c r="F1505" s="13">
        <v>10.0</v>
      </c>
      <c r="G1505" s="35" t="str">
        <f t="shared" si="282"/>
        <v>Pre-2006</v>
      </c>
      <c r="H1505" s="98"/>
      <c r="I1505" s="71"/>
      <c r="J1505" s="61"/>
      <c r="K1505" s="62"/>
      <c r="L1505" s="63"/>
      <c r="M1505" s="59" t="str">
        <f t="shared" si="280"/>
        <v>NA</v>
      </c>
      <c r="N1505" s="17"/>
    </row>
    <row r="1506">
      <c r="A1506" s="9"/>
      <c r="B1506" s="38">
        <f t="shared" si="233"/>
        <v>1502</v>
      </c>
      <c r="C1506" s="60">
        <v>42231.0</v>
      </c>
      <c r="D1506" s="12" t="str">
        <f>hyperlink("http://www.rottentomatoes.com/m/wet_hot_american_summer/?search=wet%20hot%20american%20summer","Wet Hot American Summer")</f>
        <v>Wet Hot American Summer</v>
      </c>
      <c r="E1506" s="33" t="s">
        <v>932</v>
      </c>
      <c r="F1506" s="33">
        <v>10.0</v>
      </c>
      <c r="G1506" s="36">
        <v>2015.0</v>
      </c>
      <c r="H1506" s="99" t="s">
        <v>25</v>
      </c>
      <c r="I1506" s="33" t="s">
        <v>77</v>
      </c>
      <c r="J1506" s="57">
        <v>2001.0</v>
      </c>
      <c r="K1506" s="58">
        <v>0.32</v>
      </c>
      <c r="L1506" s="37">
        <v>97.0</v>
      </c>
      <c r="M1506" s="59">
        <f t="shared" si="280"/>
        <v>0.3298969072</v>
      </c>
      <c r="N1506" s="17"/>
    </row>
    <row r="1507">
      <c r="A1507" s="9"/>
      <c r="B1507" s="38">
        <f t="shared" si="233"/>
        <v>1503</v>
      </c>
      <c r="C1507" s="70"/>
      <c r="D1507" s="48" t="s">
        <v>1215</v>
      </c>
      <c r="E1507" s="13" t="s">
        <v>932</v>
      </c>
      <c r="F1507" s="13">
        <v>10.0</v>
      </c>
      <c r="G1507" s="35" t="str">
        <f t="shared" ref="G1507:G1508" si="283">IF(C1507&gt;40908,"2012",IF(C1507&gt;40543,"2011",IF(C1507&gt;40178,"2010",IF(C1507&gt;=39814,"2009",IF(C1507&gt;=39448,"2008",IF(C1507&gt;39082,"2007",IF(C1507&lt;38717,"Pre-2006","2006")))))))</f>
        <v>Pre-2006</v>
      </c>
      <c r="H1507" s="98"/>
      <c r="I1507" s="71"/>
      <c r="J1507" s="61"/>
      <c r="K1507" s="62"/>
      <c r="L1507" s="63"/>
      <c r="M1507" s="59" t="str">
        <f t="shared" si="280"/>
        <v>NA</v>
      </c>
      <c r="N1507" s="17"/>
    </row>
    <row r="1508">
      <c r="A1508" s="9"/>
      <c r="B1508" s="38">
        <f t="shared" si="233"/>
        <v>1504</v>
      </c>
      <c r="C1508" s="70"/>
      <c r="D1508" s="48" t="s">
        <v>1216</v>
      </c>
      <c r="E1508" s="13" t="s">
        <v>932</v>
      </c>
      <c r="F1508" s="13">
        <v>10.0</v>
      </c>
      <c r="G1508" s="35" t="str">
        <f t="shared" si="283"/>
        <v>Pre-2006</v>
      </c>
      <c r="H1508" s="98"/>
      <c r="I1508" s="71"/>
      <c r="J1508" s="61"/>
      <c r="K1508" s="62"/>
      <c r="L1508" s="63"/>
      <c r="M1508" s="59" t="str">
        <f t="shared" si="280"/>
        <v>NA</v>
      </c>
      <c r="N1508" s="17"/>
    </row>
    <row r="1509">
      <c r="A1509" s="9"/>
      <c r="B1509" s="38">
        <f t="shared" si="233"/>
        <v>1505</v>
      </c>
      <c r="C1509" s="34">
        <v>43152.0</v>
      </c>
      <c r="D1509" s="12" t="str">
        <f>hyperlink("https://www.rottentomatoes.com/m/when_we_first_met","When We First Met")</f>
        <v>When We First Met</v>
      </c>
      <c r="E1509" s="33" t="s">
        <v>932</v>
      </c>
      <c r="F1509" s="33">
        <v>10.0</v>
      </c>
      <c r="G1509" s="33">
        <v>2018.0</v>
      </c>
      <c r="H1509" s="99" t="s">
        <v>58</v>
      </c>
      <c r="I1509" s="33" t="s">
        <v>77</v>
      </c>
      <c r="J1509" s="57">
        <v>2018.0</v>
      </c>
      <c r="K1509" s="56">
        <v>0.39</v>
      </c>
      <c r="L1509" s="37">
        <v>97.0</v>
      </c>
      <c r="M1509" s="59">
        <f t="shared" si="280"/>
        <v>0.4020618557</v>
      </c>
      <c r="N1509" s="17"/>
    </row>
    <row r="1510">
      <c r="A1510" s="9"/>
      <c r="B1510" s="38">
        <f t="shared" si="233"/>
        <v>1506</v>
      </c>
      <c r="C1510" s="34">
        <v>41160.0</v>
      </c>
      <c r="D1510" s="48" t="s">
        <v>1217</v>
      </c>
      <c r="E1510" s="13" t="s">
        <v>932</v>
      </c>
      <c r="F1510" s="13">
        <v>10.0</v>
      </c>
      <c r="G1510" s="13">
        <v>2012.0</v>
      </c>
      <c r="H1510" s="79" t="s">
        <v>25</v>
      </c>
      <c r="I1510" s="13" t="s">
        <v>1218</v>
      </c>
      <c r="J1510" s="55">
        <v>2004.0</v>
      </c>
      <c r="K1510" s="56">
        <v>0.15</v>
      </c>
      <c r="L1510" s="14">
        <v>106.0</v>
      </c>
      <c r="M1510" s="89">
        <f t="shared" si="280"/>
        <v>0.141509434</v>
      </c>
      <c r="N1510" s="17"/>
    </row>
    <row r="1511">
      <c r="A1511" s="9"/>
      <c r="B1511" s="38">
        <f t="shared" si="233"/>
        <v>1507</v>
      </c>
      <c r="C1511" s="70"/>
      <c r="D1511" s="48" t="s">
        <v>1219</v>
      </c>
      <c r="E1511" s="13" t="s">
        <v>932</v>
      </c>
      <c r="F1511" s="13">
        <v>10.0</v>
      </c>
      <c r="G1511" s="35" t="str">
        <f t="shared" ref="G1511:G1517" si="284">IF(C1511&gt;40908,"2012",IF(C1511&gt;40543,"2011",IF(C1511&gt;40178,"2010",IF(C1511&gt;=39814,"2009",IF(C1511&gt;=39448,"2008",IF(C1511&gt;39082,"2007",IF(C1511&lt;38717,"Pre-2006","2006")))))))</f>
        <v>Pre-2006</v>
      </c>
      <c r="H1511" s="98"/>
      <c r="I1511" s="71"/>
      <c r="J1511" s="61"/>
      <c r="K1511" s="62"/>
      <c r="L1511" s="63"/>
      <c r="M1511" s="59" t="str">
        <f t="shared" si="280"/>
        <v>NA</v>
      </c>
      <c r="N1511" s="17"/>
    </row>
    <row r="1512">
      <c r="A1512" s="9"/>
      <c r="B1512" s="38">
        <f t="shared" si="233"/>
        <v>1508</v>
      </c>
      <c r="C1512" s="34">
        <v>39493.0</v>
      </c>
      <c r="D1512" s="48" t="s">
        <v>1220</v>
      </c>
      <c r="E1512" s="13" t="s">
        <v>932</v>
      </c>
      <c r="F1512" s="13">
        <v>10.0</v>
      </c>
      <c r="G1512" s="35" t="str">
        <f t="shared" si="284"/>
        <v>2008</v>
      </c>
      <c r="H1512" s="13" t="s">
        <v>17</v>
      </c>
      <c r="I1512" s="13" t="s">
        <v>21</v>
      </c>
      <c r="J1512" s="14">
        <v>2006.0</v>
      </c>
      <c r="K1512" s="15">
        <v>0.79</v>
      </c>
      <c r="L1512" s="14">
        <v>99.0</v>
      </c>
      <c r="M1512" s="16">
        <f t="shared" si="280"/>
        <v>0.797979798</v>
      </c>
      <c r="N1512" s="17"/>
    </row>
    <row r="1513">
      <c r="A1513" s="9"/>
      <c r="B1513" s="38">
        <f t="shared" si="233"/>
        <v>1509</v>
      </c>
      <c r="C1513" s="70"/>
      <c r="D1513" s="48" t="s">
        <v>1221</v>
      </c>
      <c r="E1513" s="13" t="s">
        <v>932</v>
      </c>
      <c r="F1513" s="13">
        <v>10.0</v>
      </c>
      <c r="G1513" s="35" t="str">
        <f t="shared" si="284"/>
        <v>Pre-2006</v>
      </c>
      <c r="H1513" s="98"/>
      <c r="I1513" s="71"/>
      <c r="J1513" s="61"/>
      <c r="K1513" s="62"/>
      <c r="L1513" s="63"/>
      <c r="M1513" s="59" t="str">
        <f t="shared" si="280"/>
        <v>NA</v>
      </c>
      <c r="N1513" s="17"/>
    </row>
    <row r="1514">
      <c r="A1514" s="9"/>
      <c r="B1514" s="38">
        <f t="shared" si="233"/>
        <v>1510</v>
      </c>
      <c r="C1514" s="70"/>
      <c r="D1514" s="48" t="s">
        <v>1222</v>
      </c>
      <c r="E1514" s="13" t="s">
        <v>932</v>
      </c>
      <c r="F1514" s="13">
        <v>10.0</v>
      </c>
      <c r="G1514" s="35" t="str">
        <f t="shared" si="284"/>
        <v>Pre-2006</v>
      </c>
      <c r="H1514" s="98"/>
      <c r="I1514" s="71"/>
      <c r="J1514" s="61"/>
      <c r="K1514" s="62"/>
      <c r="L1514" s="63"/>
      <c r="M1514" s="59" t="str">
        <f t="shared" si="280"/>
        <v>NA</v>
      </c>
      <c r="N1514" s="17"/>
    </row>
    <row r="1515">
      <c r="A1515" s="9"/>
      <c r="B1515" s="38">
        <f t="shared" si="233"/>
        <v>1511</v>
      </c>
      <c r="C1515" s="34">
        <v>38781.0</v>
      </c>
      <c r="D1515" s="48" t="s">
        <v>1223</v>
      </c>
      <c r="E1515" s="13" t="s">
        <v>932</v>
      </c>
      <c r="F1515" s="13">
        <v>10.0</v>
      </c>
      <c r="G1515" s="35" t="str">
        <f t="shared" si="284"/>
        <v>2006</v>
      </c>
      <c r="H1515" s="98"/>
      <c r="I1515" s="71"/>
      <c r="J1515" s="61"/>
      <c r="K1515" s="62"/>
      <c r="L1515" s="63"/>
      <c r="M1515" s="59" t="str">
        <f t="shared" si="280"/>
        <v>NA</v>
      </c>
      <c r="N1515" s="17"/>
    </row>
    <row r="1516">
      <c r="A1516" s="9"/>
      <c r="B1516" s="38">
        <f t="shared" si="233"/>
        <v>1512</v>
      </c>
      <c r="C1516" s="70"/>
      <c r="D1516" s="48" t="s">
        <v>1224</v>
      </c>
      <c r="E1516" s="13" t="s">
        <v>932</v>
      </c>
      <c r="F1516" s="13">
        <v>10.0</v>
      </c>
      <c r="G1516" s="35" t="str">
        <f t="shared" si="284"/>
        <v>Pre-2006</v>
      </c>
      <c r="H1516" s="98"/>
      <c r="I1516" s="71"/>
      <c r="J1516" s="61"/>
      <c r="K1516" s="62"/>
      <c r="L1516" s="63"/>
      <c r="M1516" s="59" t="str">
        <f t="shared" si="280"/>
        <v>NA</v>
      </c>
      <c r="N1516" s="17"/>
    </row>
    <row r="1517">
      <c r="A1517" s="9"/>
      <c r="B1517" s="38">
        <f t="shared" si="233"/>
        <v>1513</v>
      </c>
      <c r="C1517" s="34">
        <v>38869.0</v>
      </c>
      <c r="D1517" s="48" t="s">
        <v>1225</v>
      </c>
      <c r="E1517" s="13" t="s">
        <v>932</v>
      </c>
      <c r="F1517" s="13">
        <v>10.0</v>
      </c>
      <c r="G1517" s="35" t="str">
        <f t="shared" si="284"/>
        <v>2006</v>
      </c>
      <c r="H1517" s="98"/>
      <c r="I1517" s="71"/>
      <c r="J1517" s="61"/>
      <c r="K1517" s="62"/>
      <c r="L1517" s="63"/>
      <c r="M1517" s="59" t="str">
        <f t="shared" si="280"/>
        <v>NA</v>
      </c>
      <c r="N1517" s="17"/>
    </row>
    <row r="1518">
      <c r="A1518" s="9"/>
      <c r="B1518" s="38">
        <f t="shared" si="233"/>
        <v>1514</v>
      </c>
      <c r="C1518" s="34">
        <v>41841.0</v>
      </c>
      <c r="D1518" s="12" t="str">
        <f>hyperlink("http://www.rottentomatoes.com/m/x_men_days_of_future_past/","X-Men: Days of Future Past")</f>
        <v>X-Men: Days of Future Past</v>
      </c>
      <c r="E1518" s="13" t="s">
        <v>932</v>
      </c>
      <c r="F1518" s="13">
        <v>10.0</v>
      </c>
      <c r="G1518" s="13">
        <v>2014.0</v>
      </c>
      <c r="H1518" s="79" t="s">
        <v>25</v>
      </c>
      <c r="I1518" s="13" t="s">
        <v>26</v>
      </c>
      <c r="J1518" s="55">
        <v>2014.0</v>
      </c>
      <c r="K1518" s="56">
        <v>0.91</v>
      </c>
      <c r="L1518" s="14">
        <v>131.0</v>
      </c>
      <c r="M1518" s="16">
        <f t="shared" si="280"/>
        <v>0.6946564885</v>
      </c>
      <c r="N1518" s="17"/>
    </row>
    <row r="1519">
      <c r="A1519" s="9"/>
      <c r="B1519" s="38">
        <f t="shared" si="233"/>
        <v>1515</v>
      </c>
      <c r="C1519" s="70"/>
      <c r="D1519" s="48" t="s">
        <v>1226</v>
      </c>
      <c r="E1519" s="13" t="s">
        <v>932</v>
      </c>
      <c r="F1519" s="13">
        <v>10.0</v>
      </c>
      <c r="G1519" s="35" t="str">
        <f>IF(C1519&gt;40908,"2012",IF(C1519&gt;40543,"2011",IF(C1519&gt;40178,"2010",IF(C1519&gt;=39814,"2009",IF(C1519&gt;=39448,"2008",IF(C1519&gt;39082,"2007",IF(C1519&lt;38717,"Pre-2006","2006")))))))</f>
        <v>Pre-2006</v>
      </c>
      <c r="H1519" s="98"/>
      <c r="I1519" s="71"/>
      <c r="J1519" s="61"/>
      <c r="K1519" s="62"/>
      <c r="L1519" s="63"/>
      <c r="M1519" s="59" t="str">
        <f t="shared" si="280"/>
        <v>NA</v>
      </c>
      <c r="N1519" s="17"/>
    </row>
    <row r="1520" ht="12.75" customHeight="1">
      <c r="A1520" s="9"/>
      <c r="B1520" s="38">
        <f t="shared" si="233"/>
        <v>1516</v>
      </c>
      <c r="C1520" s="34">
        <v>43661.0</v>
      </c>
      <c r="D1520" s="12" t="str">
        <f>hyperlink("https://rottentomatoes.com/m/yesterday_2019","Yesterday")</f>
        <v>Yesterday</v>
      </c>
      <c r="E1520" s="33" t="s">
        <v>932</v>
      </c>
      <c r="F1520" s="33">
        <v>10.0</v>
      </c>
      <c r="G1520" s="36">
        <v>2019.0</v>
      </c>
      <c r="H1520" s="99" t="s">
        <v>731</v>
      </c>
      <c r="I1520" s="33" t="s">
        <v>26</v>
      </c>
      <c r="J1520" s="57">
        <v>2019.0</v>
      </c>
      <c r="K1520" s="58">
        <v>0.63</v>
      </c>
      <c r="L1520" s="37">
        <v>112.0</v>
      </c>
      <c r="M1520" s="59">
        <f t="shared" si="280"/>
        <v>0.5625</v>
      </c>
      <c r="N1520" s="17"/>
    </row>
    <row r="1521" ht="12.75" customHeight="1">
      <c r="A1521" s="9"/>
      <c r="B1521" s="38">
        <f t="shared" si="233"/>
        <v>1517</v>
      </c>
      <c r="C1521" s="34">
        <v>45040.0</v>
      </c>
      <c r="D1521" s="12" t="str">
        <f>hyperlink("https://www.rottentomatoes.com/m/you_people_2023","You People")</f>
        <v>You People</v>
      </c>
      <c r="E1521" s="33" t="s">
        <v>932</v>
      </c>
      <c r="F1521" s="33">
        <v>10.0</v>
      </c>
      <c r="G1521" s="36">
        <v>2023.0</v>
      </c>
      <c r="H1521" s="99" t="s">
        <v>1227</v>
      </c>
      <c r="I1521" s="33" t="s">
        <v>77</v>
      </c>
      <c r="J1521" s="57">
        <v>2023.0</v>
      </c>
      <c r="K1521" s="58">
        <v>0.41</v>
      </c>
      <c r="L1521" s="37">
        <v>117.0</v>
      </c>
      <c r="M1521" s="59">
        <f t="shared" si="280"/>
        <v>0.3504273504</v>
      </c>
      <c r="N1521" s="17"/>
    </row>
    <row r="1522">
      <c r="A1522" s="9"/>
      <c r="B1522" s="40">
        <f t="shared" si="233"/>
        <v>1518</v>
      </c>
      <c r="C1522" s="41">
        <v>39795.0</v>
      </c>
      <c r="D1522" s="42" t="s">
        <v>1228</v>
      </c>
      <c r="E1522" s="43" t="s">
        <v>1229</v>
      </c>
      <c r="F1522" s="43">
        <v>9.0</v>
      </c>
      <c r="G1522" s="44" t="str">
        <f t="shared" ref="G1522:G1523" si="285">IF(C1522&gt;40908,"2012",IF(C1522&gt;40543,"2011",IF(C1522&gt;40178,"2010",IF(C1522&gt;=39814,"2009",IF(C1522&gt;=39448,"2008",IF(C1522&gt;39082,"2007",IF(C1522&lt;38717,"Pre-2006","2006")))))))</f>
        <v>2008</v>
      </c>
      <c r="H1522" s="43" t="s">
        <v>27</v>
      </c>
      <c r="I1522" s="43" t="s">
        <v>511</v>
      </c>
      <c r="J1522" s="45">
        <v>2005.0</v>
      </c>
      <c r="K1522" s="46">
        <v>0.41</v>
      </c>
      <c r="L1522" s="45">
        <v>107.0</v>
      </c>
      <c r="M1522" s="47">
        <f t="shared" si="280"/>
        <v>0.3831775701</v>
      </c>
      <c r="N1522" s="17"/>
    </row>
    <row r="1523">
      <c r="A1523" s="9"/>
      <c r="B1523" s="38">
        <f t="shared" si="233"/>
        <v>1519</v>
      </c>
      <c r="C1523" s="70"/>
      <c r="D1523" s="48" t="s">
        <v>1230</v>
      </c>
      <c r="E1523" s="13" t="s">
        <v>1229</v>
      </c>
      <c r="F1523" s="13">
        <v>9.0</v>
      </c>
      <c r="G1523" s="35" t="str">
        <f t="shared" si="285"/>
        <v>Pre-2006</v>
      </c>
      <c r="H1523" s="98"/>
      <c r="I1523" s="71"/>
      <c r="J1523" s="61"/>
      <c r="K1523" s="62"/>
      <c r="L1523" s="63"/>
      <c r="M1523" s="59" t="str">
        <f t="shared" si="280"/>
        <v>NA</v>
      </c>
      <c r="N1523" s="17"/>
    </row>
    <row r="1524">
      <c r="A1524" s="9"/>
      <c r="B1524" s="38">
        <f t="shared" si="233"/>
        <v>1520</v>
      </c>
      <c r="C1524" s="34">
        <v>42882.0</v>
      </c>
      <c r="D1524" s="12" t="str">
        <f>hyperlink("https://www.rottentomatoes.com/m/bad_moms","Bad Moms")</f>
        <v>Bad Moms</v>
      </c>
      <c r="E1524" s="100" t="s">
        <v>1229</v>
      </c>
      <c r="F1524" s="101">
        <v>9.0</v>
      </c>
      <c r="G1524" s="36">
        <v>2017.0</v>
      </c>
      <c r="H1524" s="99" t="s">
        <v>25</v>
      </c>
      <c r="I1524" s="13" t="s">
        <v>47</v>
      </c>
      <c r="J1524" s="57">
        <v>2016.0</v>
      </c>
      <c r="K1524" s="58">
        <v>0.58</v>
      </c>
      <c r="L1524" s="37">
        <v>101.0</v>
      </c>
      <c r="M1524" s="59">
        <f t="shared" si="280"/>
        <v>0.5742574257</v>
      </c>
      <c r="N1524" s="17"/>
    </row>
    <row r="1525">
      <c r="A1525" s="9"/>
      <c r="B1525" s="38">
        <f t="shared" si="233"/>
        <v>1521</v>
      </c>
      <c r="C1525" s="34">
        <v>43397.0</v>
      </c>
      <c r="D1525" s="12" t="str">
        <f>hyperlink("https://www.rottentomatoes.com/m/beetlejuice","Beetlejuice")</f>
        <v>Beetlejuice</v>
      </c>
      <c r="E1525" s="33" t="s">
        <v>1229</v>
      </c>
      <c r="F1525" s="102">
        <v>9.0</v>
      </c>
      <c r="G1525" s="36">
        <v>2018.0</v>
      </c>
      <c r="H1525" s="99" t="s">
        <v>58</v>
      </c>
      <c r="I1525" s="13" t="s">
        <v>47</v>
      </c>
      <c r="J1525" s="57">
        <v>1988.0</v>
      </c>
      <c r="K1525" s="58">
        <v>0.84</v>
      </c>
      <c r="L1525" s="37">
        <v>93.0</v>
      </c>
      <c r="M1525" s="59">
        <f t="shared" si="280"/>
        <v>0.9032258065</v>
      </c>
      <c r="N1525" s="17"/>
    </row>
    <row r="1526">
      <c r="A1526" s="9"/>
      <c r="B1526" s="38">
        <f t="shared" si="233"/>
        <v>1522</v>
      </c>
      <c r="C1526" s="70"/>
      <c r="D1526" s="48" t="s">
        <v>1231</v>
      </c>
      <c r="E1526" s="13" t="s">
        <v>1229</v>
      </c>
      <c r="F1526" s="13">
        <v>9.0</v>
      </c>
      <c r="G1526" s="35" t="str">
        <f>IF(C1526&gt;40908,"2012",IF(C1526&gt;40543,"2011",IF(C1526&gt;40178,"2010",IF(C1526&gt;=39814,"2009",IF(C1526&gt;=39448,"2008",IF(C1526&gt;39082,"2007",IF(C1526&lt;38717,"Pre-2006","2006")))))))</f>
        <v>Pre-2006</v>
      </c>
      <c r="H1526" s="98"/>
      <c r="I1526" s="71"/>
      <c r="J1526" s="61"/>
      <c r="K1526" s="62"/>
      <c r="L1526" s="63"/>
      <c r="M1526" s="59" t="str">
        <f t="shared" si="280"/>
        <v>NA</v>
      </c>
      <c r="N1526" s="17"/>
    </row>
    <row r="1527">
      <c r="A1527" s="9"/>
      <c r="B1527" s="38">
        <f t="shared" si="233"/>
        <v>1523</v>
      </c>
      <c r="C1527" s="34">
        <v>44567.0</v>
      </c>
      <c r="D1527" s="12" t="str">
        <f>hyperlink("https://www.rottentomatoes.com/m/black_widow_2021","Black Widow")</f>
        <v>Black Widow</v>
      </c>
      <c r="E1527" s="33" t="s">
        <v>1229</v>
      </c>
      <c r="F1527" s="33">
        <v>9.0</v>
      </c>
      <c r="G1527" s="33">
        <v>2022.0</v>
      </c>
      <c r="H1527" s="99" t="s">
        <v>58</v>
      </c>
      <c r="I1527" s="33" t="s">
        <v>1232</v>
      </c>
      <c r="J1527" s="57">
        <v>2021.0</v>
      </c>
      <c r="K1527" s="56">
        <v>0.79</v>
      </c>
      <c r="L1527" s="37">
        <v>133.0</v>
      </c>
      <c r="M1527" s="59">
        <f t="shared" si="280"/>
        <v>0.5939849624</v>
      </c>
      <c r="N1527" s="17"/>
    </row>
    <row r="1528">
      <c r="A1528" s="9"/>
      <c r="B1528" s="38">
        <f t="shared" si="233"/>
        <v>1524</v>
      </c>
      <c r="C1528" s="34">
        <v>41566.0</v>
      </c>
      <c r="D1528" s="48" t="s">
        <v>1233</v>
      </c>
      <c r="E1528" s="13" t="s">
        <v>1229</v>
      </c>
      <c r="F1528" s="13">
        <v>9.0</v>
      </c>
      <c r="G1528" s="13">
        <v>2013.0</v>
      </c>
      <c r="H1528" s="79" t="s">
        <v>126</v>
      </c>
      <c r="I1528" s="13" t="s">
        <v>47</v>
      </c>
      <c r="J1528" s="55">
        <v>2013.0</v>
      </c>
      <c r="K1528" s="56">
        <v>0.6</v>
      </c>
      <c r="L1528" s="14">
        <v>90.0</v>
      </c>
      <c r="M1528" s="16">
        <f t="shared" si="280"/>
        <v>0.6666666667</v>
      </c>
      <c r="N1528" s="17"/>
    </row>
    <row r="1529">
      <c r="A1529" s="9"/>
      <c r="B1529" s="38">
        <f t="shared" si="233"/>
        <v>1525</v>
      </c>
      <c r="C1529" s="60">
        <v>42414.0</v>
      </c>
      <c r="D1529" s="12" t="str">
        <f>hyperlink("http://www.rottentomatoes.com/m/deadpool/?search=deadpool","Deadpool")</f>
        <v>Deadpool</v>
      </c>
      <c r="E1529" s="33" t="s">
        <v>1229</v>
      </c>
      <c r="F1529" s="33">
        <v>9.0</v>
      </c>
      <c r="G1529" s="36">
        <v>2016.0</v>
      </c>
      <c r="H1529" s="99" t="s">
        <v>25</v>
      </c>
      <c r="I1529" s="33" t="s">
        <v>26</v>
      </c>
      <c r="J1529" s="57">
        <v>2016.0</v>
      </c>
      <c r="K1529" s="58">
        <v>0.84</v>
      </c>
      <c r="L1529" s="37">
        <v>100.0</v>
      </c>
      <c r="M1529" s="16">
        <f>K1529/L1529*100</f>
        <v>0.84</v>
      </c>
      <c r="N1529" s="17"/>
    </row>
    <row r="1530">
      <c r="A1530" s="9"/>
      <c r="B1530" s="38">
        <f t="shared" si="233"/>
        <v>1526</v>
      </c>
      <c r="C1530" s="34">
        <v>42856.0</v>
      </c>
      <c r="D1530" s="12" t="str">
        <f>hyperlink("https://www.rottentomatoes.com/m/2_fast_2_furious","2 Fast 2 Furious")</f>
        <v>2 Fast 2 Furious</v>
      </c>
      <c r="E1530" s="33" t="s">
        <v>1229</v>
      </c>
      <c r="F1530" s="33">
        <v>9.0</v>
      </c>
      <c r="G1530" s="36">
        <v>2017.0</v>
      </c>
      <c r="H1530" s="99" t="s">
        <v>25</v>
      </c>
      <c r="I1530" s="13" t="s">
        <v>47</v>
      </c>
      <c r="J1530" s="57">
        <v>2003.0</v>
      </c>
      <c r="K1530" s="58">
        <v>0.36</v>
      </c>
      <c r="L1530" s="37">
        <v>108.0</v>
      </c>
      <c r="M1530" s="16">
        <f t="shared" ref="M1530:M1537" si="286">if(iserror(K1530/L1530*100),"NA",K1530/L1530*100)</f>
        <v>0.3333333333</v>
      </c>
      <c r="N1530" s="17"/>
    </row>
    <row r="1531">
      <c r="A1531" s="9"/>
      <c r="B1531" s="38">
        <f t="shared" si="233"/>
        <v>1527</v>
      </c>
      <c r="C1531" s="75">
        <v>45742.0</v>
      </c>
      <c r="D1531" s="12" t="str">
        <f>hyperlink("https://www.rottentomatoes.com/m/50_first_dates","50 First Dates")</f>
        <v>50 First Dates</v>
      </c>
      <c r="E1531" s="33" t="s">
        <v>1229</v>
      </c>
      <c r="F1531" s="33">
        <v>9.0</v>
      </c>
      <c r="G1531" s="36">
        <v>2025.0</v>
      </c>
      <c r="H1531" s="99" t="s">
        <v>58</v>
      </c>
      <c r="I1531" s="33" t="s">
        <v>77</v>
      </c>
      <c r="J1531" s="57">
        <v>2004.0</v>
      </c>
      <c r="K1531" s="58">
        <v>0.45</v>
      </c>
      <c r="L1531" s="37">
        <v>96.0</v>
      </c>
      <c r="M1531" s="16">
        <f t="shared" si="286"/>
        <v>0.46875</v>
      </c>
      <c r="N1531" s="17"/>
    </row>
    <row r="1532">
      <c r="A1532" s="9"/>
      <c r="B1532" s="38">
        <f t="shared" si="233"/>
        <v>1528</v>
      </c>
      <c r="C1532" s="70"/>
      <c r="D1532" s="48" t="s">
        <v>1234</v>
      </c>
      <c r="E1532" s="13" t="s">
        <v>1229</v>
      </c>
      <c r="F1532" s="13">
        <v>9.0</v>
      </c>
      <c r="G1532" s="35" t="str">
        <f t="shared" ref="G1532:G1533" si="287">IF(C1532&gt;40908,"2012",IF(C1532&gt;40543,"2011",IF(C1532&gt;40178,"2010",IF(C1532&gt;=39814,"2009",IF(C1532&gt;=39448,"2008",IF(C1532&gt;39082,"2007",IF(C1532&lt;38717,"Pre-2006","2006")))))))</f>
        <v>Pre-2006</v>
      </c>
      <c r="H1532" s="98"/>
      <c r="I1532" s="71"/>
      <c r="J1532" s="61"/>
      <c r="K1532" s="62"/>
      <c r="L1532" s="63"/>
      <c r="M1532" s="59" t="str">
        <f t="shared" si="286"/>
        <v>NA</v>
      </c>
      <c r="N1532" s="17"/>
    </row>
    <row r="1533">
      <c r="A1533" s="9"/>
      <c r="B1533" s="38">
        <f t="shared" si="233"/>
        <v>1529</v>
      </c>
      <c r="C1533" s="34">
        <v>39983.0</v>
      </c>
      <c r="D1533" s="48" t="s">
        <v>1235</v>
      </c>
      <c r="E1533" s="13" t="s">
        <v>1229</v>
      </c>
      <c r="F1533" s="13">
        <v>9.0</v>
      </c>
      <c r="G1533" s="35" t="str">
        <f t="shared" si="287"/>
        <v>2009</v>
      </c>
      <c r="H1533" s="13" t="s">
        <v>27</v>
      </c>
      <c r="I1533" s="13" t="s">
        <v>47</v>
      </c>
      <c r="J1533" s="14">
        <v>2004.0</v>
      </c>
      <c r="K1533" s="15">
        <v>0.56</v>
      </c>
      <c r="L1533" s="14">
        <v>110.0</v>
      </c>
      <c r="M1533" s="16">
        <f t="shared" si="286"/>
        <v>0.5090909091</v>
      </c>
      <c r="N1533" s="17"/>
    </row>
    <row r="1534">
      <c r="A1534" s="9"/>
      <c r="B1534" s="38">
        <f t="shared" si="233"/>
        <v>1530</v>
      </c>
      <c r="C1534" s="34">
        <v>43221.0</v>
      </c>
      <c r="D1534" s="12" t="str">
        <f>hyperlink("https://www.rottentomatoes.com/m/the_girl_on_the_train_2016","Girl on the Train, The")</f>
        <v>Girl on the Train, The</v>
      </c>
      <c r="E1534" s="33" t="s">
        <v>1229</v>
      </c>
      <c r="F1534" s="33">
        <v>9.0</v>
      </c>
      <c r="G1534" s="36">
        <v>2018.0</v>
      </c>
      <c r="H1534" s="13"/>
      <c r="I1534" s="33" t="s">
        <v>47</v>
      </c>
      <c r="J1534" s="37">
        <v>2016.0</v>
      </c>
      <c r="K1534" s="15">
        <v>0.45</v>
      </c>
      <c r="L1534" s="37">
        <v>112.0</v>
      </c>
      <c r="M1534" s="16">
        <f t="shared" si="286"/>
        <v>0.4017857143</v>
      </c>
      <c r="N1534" s="17"/>
    </row>
    <row r="1535">
      <c r="A1535" s="9"/>
      <c r="B1535" s="38">
        <f t="shared" si="233"/>
        <v>1531</v>
      </c>
      <c r="C1535" s="34">
        <v>39767.0</v>
      </c>
      <c r="D1535" s="48" t="s">
        <v>1236</v>
      </c>
      <c r="E1535" s="13" t="s">
        <v>1229</v>
      </c>
      <c r="F1535" s="13">
        <v>9.0</v>
      </c>
      <c r="G1535" s="35" t="str">
        <f t="shared" ref="G1535:G1537" si="288">IF(C1535&gt;40908,"2012",IF(C1535&gt;40543,"2011",IF(C1535&gt;40178,"2010",IF(C1535&gt;=39814,"2009",IF(C1535&gt;=39448,"2008",IF(C1535&gt;39082,"2007",IF(C1535&lt;38717,"Pre-2006","2006")))))))</f>
        <v>2008</v>
      </c>
      <c r="H1535" s="13" t="s">
        <v>27</v>
      </c>
      <c r="I1535" s="13" t="s">
        <v>277</v>
      </c>
      <c r="J1535" s="14">
        <v>2008.0</v>
      </c>
      <c r="K1535" s="15">
        <v>0.39</v>
      </c>
      <c r="L1535" s="14">
        <v>106.0</v>
      </c>
      <c r="M1535" s="16">
        <f t="shared" si="286"/>
        <v>0.3679245283</v>
      </c>
      <c r="N1535" s="17"/>
    </row>
    <row r="1536">
      <c r="A1536" s="9"/>
      <c r="B1536" s="38">
        <f t="shared" si="233"/>
        <v>1532</v>
      </c>
      <c r="C1536" s="34">
        <v>39252.0</v>
      </c>
      <c r="D1536" s="48" t="s">
        <v>1237</v>
      </c>
      <c r="E1536" s="13" t="s">
        <v>1229</v>
      </c>
      <c r="F1536" s="13">
        <v>9.0</v>
      </c>
      <c r="G1536" s="35" t="str">
        <f t="shared" si="288"/>
        <v>2007</v>
      </c>
      <c r="H1536" s="98"/>
      <c r="I1536" s="71"/>
      <c r="J1536" s="61"/>
      <c r="K1536" s="62"/>
      <c r="L1536" s="63"/>
      <c r="M1536" s="59" t="str">
        <f t="shared" si="286"/>
        <v>NA</v>
      </c>
      <c r="N1536" s="17"/>
    </row>
    <row r="1537">
      <c r="A1537" s="9"/>
      <c r="B1537" s="38">
        <f t="shared" si="233"/>
        <v>1533</v>
      </c>
      <c r="C1537" s="70"/>
      <c r="D1537" s="48" t="s">
        <v>1238</v>
      </c>
      <c r="E1537" s="13" t="s">
        <v>1229</v>
      </c>
      <c r="F1537" s="13">
        <v>9.0</v>
      </c>
      <c r="G1537" s="35" t="str">
        <f t="shared" si="288"/>
        <v>Pre-2006</v>
      </c>
      <c r="H1537" s="98"/>
      <c r="I1537" s="71"/>
      <c r="J1537" s="61"/>
      <c r="K1537" s="62"/>
      <c r="L1537" s="63"/>
      <c r="M1537" s="59" t="str">
        <f t="shared" si="286"/>
        <v>NA</v>
      </c>
      <c r="N1537" s="17"/>
    </row>
    <row r="1538">
      <c r="A1538" s="9"/>
      <c r="B1538" s="38">
        <f t="shared" si="233"/>
        <v>1534</v>
      </c>
      <c r="C1538" s="34">
        <v>42524.0</v>
      </c>
      <c r="D1538" s="12" t="str">
        <f>hyperlink("https://www.rottentomatoes.com/m/how_to_be_single_2016/?search=how%20to%20be%20single","How to be Single")</f>
        <v>How to be Single</v>
      </c>
      <c r="E1538" s="33" t="s">
        <v>1229</v>
      </c>
      <c r="F1538" s="33">
        <v>9.0</v>
      </c>
      <c r="G1538" s="36">
        <v>2016.0</v>
      </c>
      <c r="H1538" s="99" t="s">
        <v>58</v>
      </c>
      <c r="I1538" s="33" t="s">
        <v>47</v>
      </c>
      <c r="J1538" s="57">
        <v>2016.0</v>
      </c>
      <c r="K1538" s="58">
        <v>0.49</v>
      </c>
      <c r="L1538" s="37">
        <v>110.0</v>
      </c>
      <c r="M1538" s="59">
        <f>K1538/L1538*100</f>
        <v>0.4454545455</v>
      </c>
      <c r="N1538" s="17"/>
    </row>
    <row r="1539">
      <c r="A1539" s="9"/>
      <c r="B1539" s="38">
        <f t="shared" si="233"/>
        <v>1535</v>
      </c>
      <c r="C1539" s="34">
        <v>39066.0</v>
      </c>
      <c r="D1539" s="48" t="s">
        <v>1239</v>
      </c>
      <c r="E1539" s="13" t="s">
        <v>1229</v>
      </c>
      <c r="F1539" s="13">
        <v>9.0</v>
      </c>
      <c r="G1539" s="35" t="str">
        <f>IF(C1539&gt;40908,"2012",IF(C1539&gt;40543,"2011",IF(C1539&gt;40178,"2010",IF(C1539&gt;=39814,"2009",IF(C1539&gt;=39448,"2008",IF(C1539&gt;39082,"2007",IF(C1539&lt;38717,"Pre-2006","2006")))))))</f>
        <v>2006</v>
      </c>
      <c r="H1539" s="98"/>
      <c r="I1539" s="71"/>
      <c r="J1539" s="61"/>
      <c r="K1539" s="62"/>
      <c r="L1539" s="63"/>
      <c r="M1539" s="59" t="str">
        <f>if(iserror(K1539/L1539*100),"NA",K1539/L1539*100)</f>
        <v>NA</v>
      </c>
      <c r="N1539" s="17"/>
    </row>
    <row r="1540">
      <c r="A1540" s="9"/>
      <c r="B1540" s="38">
        <f t="shared" si="233"/>
        <v>1536</v>
      </c>
      <c r="C1540" s="34">
        <v>44751.0</v>
      </c>
      <c r="D1540" s="12" t="str">
        <f>hyperlink("https://www.rottentomatoes.com/m/1066170-kicking_and_screaming","Kicking and Screaming")</f>
        <v>Kicking and Screaming</v>
      </c>
      <c r="E1540" s="33" t="s">
        <v>1229</v>
      </c>
      <c r="F1540" s="33">
        <v>9.0</v>
      </c>
      <c r="G1540" s="33">
        <v>2022.0</v>
      </c>
      <c r="H1540" s="99" t="s">
        <v>373</v>
      </c>
      <c r="I1540" s="33" t="s">
        <v>47</v>
      </c>
      <c r="J1540" s="57">
        <v>1995.0</v>
      </c>
      <c r="K1540" s="56">
        <v>0.57</v>
      </c>
      <c r="L1540" s="37">
        <v>96.0</v>
      </c>
      <c r="M1540" s="59">
        <f>K1540/L1540*100</f>
        <v>0.59375</v>
      </c>
      <c r="N1540" s="17"/>
    </row>
    <row r="1541">
      <c r="A1541" s="9"/>
      <c r="B1541" s="38">
        <f t="shared" si="233"/>
        <v>1537</v>
      </c>
      <c r="C1541" s="34">
        <v>44569.0</v>
      </c>
      <c r="D1541" s="12" t="str">
        <f>hyperlink("https://www.rottentomatoes.com/m/longest_yard","Longest Yard, The")</f>
        <v>Longest Yard, The</v>
      </c>
      <c r="E1541" s="33" t="s">
        <v>1229</v>
      </c>
      <c r="F1541" s="33">
        <v>9.0</v>
      </c>
      <c r="G1541" s="33">
        <v>2022.0</v>
      </c>
      <c r="H1541" s="99" t="s">
        <v>58</v>
      </c>
      <c r="I1541" s="33" t="s">
        <v>77</v>
      </c>
      <c r="J1541" s="57">
        <v>2005.0</v>
      </c>
      <c r="K1541" s="56">
        <v>0.31</v>
      </c>
      <c r="L1541" s="37">
        <v>113.0</v>
      </c>
      <c r="M1541" s="16">
        <f t="shared" ref="M1541:M1551" si="289">if(iserror(K1541/L1541*100),"NA",K1541/L1541*100)</f>
        <v>0.2743362832</v>
      </c>
      <c r="N1541" s="17"/>
    </row>
    <row r="1542">
      <c r="A1542" s="9"/>
      <c r="B1542" s="38">
        <f t="shared" si="233"/>
        <v>1538</v>
      </c>
      <c r="C1542" s="34">
        <v>41848.0</v>
      </c>
      <c r="D1542" s="12" t="str">
        <f>hyperlink("http://www.rottentomatoes.com/m/lucy_2014/","Lucy")</f>
        <v>Lucy</v>
      </c>
      <c r="E1542" s="13" t="s">
        <v>1229</v>
      </c>
      <c r="F1542" s="13">
        <v>9.0</v>
      </c>
      <c r="G1542" s="13">
        <v>2014.0</v>
      </c>
      <c r="H1542" s="79" t="s">
        <v>120</v>
      </c>
      <c r="I1542" s="13" t="s">
        <v>26</v>
      </c>
      <c r="J1542" s="55">
        <v>2014.0</v>
      </c>
      <c r="K1542" s="56">
        <v>0.61</v>
      </c>
      <c r="L1542" s="14">
        <v>89.0</v>
      </c>
      <c r="M1542" s="16">
        <f t="shared" si="289"/>
        <v>0.6853932584</v>
      </c>
      <c r="N1542" s="17"/>
    </row>
    <row r="1543">
      <c r="A1543" s="9"/>
      <c r="B1543" s="38">
        <f t="shared" si="233"/>
        <v>1539</v>
      </c>
      <c r="C1543" s="34">
        <v>39273.0</v>
      </c>
      <c r="D1543" s="48" t="s">
        <v>1240</v>
      </c>
      <c r="E1543" s="13" t="s">
        <v>1229</v>
      </c>
      <c r="F1543" s="13">
        <v>9.0</v>
      </c>
      <c r="G1543" s="35" t="str">
        <f>IF(C1543&gt;40908,"2012",IF(C1543&gt;40543,"2011",IF(C1543&gt;40178,"2010",IF(C1543&gt;=39814,"2009",IF(C1543&gt;=39448,"2008",IF(C1543&gt;39082,"2007",IF(C1543&lt;38717,"Pre-2006","2006")))))))</f>
        <v>2007</v>
      </c>
      <c r="H1543" s="98"/>
      <c r="I1543" s="71"/>
      <c r="J1543" s="61"/>
      <c r="K1543" s="62"/>
      <c r="L1543" s="63"/>
      <c r="M1543" s="59" t="str">
        <f t="shared" si="289"/>
        <v>NA</v>
      </c>
      <c r="N1543" s="17"/>
    </row>
    <row r="1544">
      <c r="A1544" s="9"/>
      <c r="B1544" s="38">
        <f t="shared" si="233"/>
        <v>1540</v>
      </c>
      <c r="C1544" s="34">
        <v>41606.0</v>
      </c>
      <c r="D1544" s="48" t="s">
        <v>1241</v>
      </c>
      <c r="E1544" s="13" t="s">
        <v>1229</v>
      </c>
      <c r="F1544" s="13">
        <v>9.0</v>
      </c>
      <c r="G1544" s="13">
        <v>2013.0</v>
      </c>
      <c r="H1544" s="79" t="s">
        <v>25</v>
      </c>
      <c r="I1544" s="13" t="s">
        <v>47</v>
      </c>
      <c r="J1544" s="55">
        <v>2013.0</v>
      </c>
      <c r="K1544" s="56">
        <v>0.26</v>
      </c>
      <c r="L1544" s="14">
        <v>129.0</v>
      </c>
      <c r="M1544" s="16">
        <f t="shared" si="289"/>
        <v>0.2015503876</v>
      </c>
      <c r="N1544" s="17"/>
    </row>
    <row r="1545">
      <c r="A1545" s="9"/>
      <c r="B1545" s="38">
        <f t="shared" si="233"/>
        <v>1541</v>
      </c>
      <c r="C1545" s="34">
        <v>39669.0</v>
      </c>
      <c r="D1545" s="48" t="s">
        <v>1242</v>
      </c>
      <c r="E1545" s="13" t="s">
        <v>1229</v>
      </c>
      <c r="F1545" s="13">
        <v>9.0</v>
      </c>
      <c r="G1545" s="35" t="str">
        <f t="shared" ref="G1545:G1551" si="290">IF(C1545&gt;40908,"2012",IF(C1545&gt;40543,"2011",IF(C1545&gt;40178,"2010",IF(C1545&gt;=39814,"2009",IF(C1545&gt;=39448,"2008",IF(C1545&gt;39082,"2007",IF(C1545&lt;38717,"Pre-2006","2006")))))))</f>
        <v>2008</v>
      </c>
      <c r="H1545" s="13" t="s">
        <v>155</v>
      </c>
      <c r="I1545" s="13" t="s">
        <v>511</v>
      </c>
      <c r="J1545" s="14">
        <v>2006.0</v>
      </c>
      <c r="K1545" s="15">
        <v>0.25</v>
      </c>
      <c r="L1545" s="14">
        <v>95.0</v>
      </c>
      <c r="M1545" s="16">
        <f t="shared" si="289"/>
        <v>0.2631578947</v>
      </c>
      <c r="N1545" s="17"/>
    </row>
    <row r="1546">
      <c r="A1546" s="9"/>
      <c r="B1546" s="38">
        <f t="shared" si="233"/>
        <v>1542</v>
      </c>
      <c r="C1546" s="34">
        <v>39673.0</v>
      </c>
      <c r="D1546" s="48" t="s">
        <v>1243</v>
      </c>
      <c r="E1546" s="13" t="s">
        <v>1229</v>
      </c>
      <c r="F1546" s="13">
        <v>9.0</v>
      </c>
      <c r="G1546" s="35" t="str">
        <f t="shared" si="290"/>
        <v>2008</v>
      </c>
      <c r="H1546" s="13" t="s">
        <v>155</v>
      </c>
      <c r="I1546" s="13" t="s">
        <v>47</v>
      </c>
      <c r="J1546" s="14">
        <v>2008.0</v>
      </c>
      <c r="K1546" s="15">
        <v>0.12</v>
      </c>
      <c r="L1546" s="14">
        <v>101.0</v>
      </c>
      <c r="M1546" s="16">
        <f t="shared" si="289"/>
        <v>0.1188118812</v>
      </c>
      <c r="N1546" s="17"/>
    </row>
    <row r="1547">
      <c r="A1547" s="9"/>
      <c r="B1547" s="38">
        <f t="shared" si="233"/>
        <v>1543</v>
      </c>
      <c r="C1547" s="34">
        <v>38924.0</v>
      </c>
      <c r="D1547" s="48" t="s">
        <v>1244</v>
      </c>
      <c r="E1547" s="13" t="s">
        <v>1229</v>
      </c>
      <c r="F1547" s="13">
        <v>9.0</v>
      </c>
      <c r="G1547" s="35" t="str">
        <f t="shared" si="290"/>
        <v>2006</v>
      </c>
      <c r="H1547" s="98"/>
      <c r="I1547" s="71"/>
      <c r="J1547" s="61"/>
      <c r="K1547" s="62"/>
      <c r="L1547" s="63"/>
      <c r="M1547" s="59" t="str">
        <f t="shared" si="289"/>
        <v>NA</v>
      </c>
      <c r="N1547" s="17"/>
    </row>
    <row r="1548">
      <c r="A1548" s="9"/>
      <c r="B1548" s="38">
        <f t="shared" si="233"/>
        <v>1544</v>
      </c>
      <c r="C1548" s="34">
        <v>39299.0</v>
      </c>
      <c r="D1548" s="64" t="s">
        <v>1099</v>
      </c>
      <c r="E1548" s="13" t="s">
        <v>1229</v>
      </c>
      <c r="F1548" s="13">
        <v>9.0</v>
      </c>
      <c r="G1548" s="35" t="str">
        <f t="shared" si="290"/>
        <v>2007</v>
      </c>
      <c r="H1548" s="98"/>
      <c r="I1548" s="71"/>
      <c r="J1548" s="61"/>
      <c r="K1548" s="62"/>
      <c r="L1548" s="63"/>
      <c r="M1548" s="59" t="str">
        <f t="shared" si="289"/>
        <v>NA</v>
      </c>
      <c r="N1548" s="17"/>
    </row>
    <row r="1549">
      <c r="A1549" s="9"/>
      <c r="B1549" s="38">
        <f t="shared" si="233"/>
        <v>1545</v>
      </c>
      <c r="C1549" s="34">
        <v>38777.0</v>
      </c>
      <c r="D1549" s="48" t="s">
        <v>1245</v>
      </c>
      <c r="E1549" s="13" t="s">
        <v>1229</v>
      </c>
      <c r="F1549" s="13">
        <v>9.0</v>
      </c>
      <c r="G1549" s="35" t="str">
        <f t="shared" si="290"/>
        <v>2006</v>
      </c>
      <c r="H1549" s="98"/>
      <c r="I1549" s="71"/>
      <c r="J1549" s="61"/>
      <c r="K1549" s="62"/>
      <c r="L1549" s="63"/>
      <c r="M1549" s="59" t="str">
        <f t="shared" si="289"/>
        <v>NA</v>
      </c>
      <c r="N1549" s="17"/>
    </row>
    <row r="1550">
      <c r="A1550" s="9"/>
      <c r="B1550" s="38">
        <f t="shared" si="233"/>
        <v>1546</v>
      </c>
      <c r="C1550" s="70"/>
      <c r="D1550" s="48" t="s">
        <v>1246</v>
      </c>
      <c r="E1550" s="13" t="s">
        <v>1229</v>
      </c>
      <c r="F1550" s="13">
        <v>9.0</v>
      </c>
      <c r="G1550" s="35" t="str">
        <f t="shared" si="290"/>
        <v>Pre-2006</v>
      </c>
      <c r="H1550" s="98"/>
      <c r="I1550" s="71"/>
      <c r="J1550" s="61"/>
      <c r="K1550" s="62"/>
      <c r="L1550" s="63"/>
      <c r="M1550" s="59" t="str">
        <f t="shared" si="289"/>
        <v>NA</v>
      </c>
      <c r="N1550" s="17"/>
    </row>
    <row r="1551">
      <c r="A1551" s="9"/>
      <c r="B1551" s="38">
        <f t="shared" si="233"/>
        <v>1547</v>
      </c>
      <c r="C1551" s="70"/>
      <c r="D1551" s="48" t="s">
        <v>1247</v>
      </c>
      <c r="E1551" s="13" t="s">
        <v>1229</v>
      </c>
      <c r="F1551" s="13">
        <v>9.0</v>
      </c>
      <c r="G1551" s="35" t="str">
        <f t="shared" si="290"/>
        <v>Pre-2006</v>
      </c>
      <c r="H1551" s="98"/>
      <c r="I1551" s="71"/>
      <c r="J1551" s="61"/>
      <c r="K1551" s="62"/>
      <c r="L1551" s="63"/>
      <c r="M1551" s="59" t="str">
        <f t="shared" si="289"/>
        <v>NA</v>
      </c>
      <c r="N1551" s="17"/>
    </row>
    <row r="1552">
      <c r="A1552" s="9"/>
      <c r="B1552" s="38">
        <f t="shared" si="233"/>
        <v>1548</v>
      </c>
      <c r="C1552" s="34">
        <v>42596.0</v>
      </c>
      <c r="D1552" s="12" t="str">
        <f>hyperlink("https://www.rottentomatoes.com/m/touch_the_wall","Touch The Wall")</f>
        <v>Touch The Wall</v>
      </c>
      <c r="E1552" s="33" t="s">
        <v>1229</v>
      </c>
      <c r="F1552" s="33">
        <v>9.0</v>
      </c>
      <c r="G1552" s="36">
        <v>2016.0</v>
      </c>
      <c r="H1552" s="33" t="s">
        <v>58</v>
      </c>
      <c r="I1552" s="33" t="s">
        <v>77</v>
      </c>
      <c r="J1552" s="37">
        <v>2014.0</v>
      </c>
      <c r="K1552" s="86" t="s">
        <v>169</v>
      </c>
      <c r="L1552" s="37">
        <v>114.0</v>
      </c>
      <c r="M1552" s="72" t="s">
        <v>169</v>
      </c>
      <c r="N1552" s="17"/>
    </row>
    <row r="1553">
      <c r="A1553" s="9"/>
      <c r="B1553" s="38">
        <f t="shared" si="233"/>
        <v>1549</v>
      </c>
      <c r="C1553" s="34">
        <v>43378.0</v>
      </c>
      <c r="D1553" s="12" t="str">
        <f>hyperlink("https://www.rottentomatoes.com/m/tag_2018","Tag")</f>
        <v>Tag</v>
      </c>
      <c r="E1553" s="33" t="s">
        <v>1229</v>
      </c>
      <c r="F1553" s="33">
        <v>9.0</v>
      </c>
      <c r="G1553" s="36">
        <v>2018.0</v>
      </c>
      <c r="H1553" s="33" t="s">
        <v>58</v>
      </c>
      <c r="I1553" s="33" t="s">
        <v>47</v>
      </c>
      <c r="J1553" s="37">
        <v>2018.0</v>
      </c>
      <c r="K1553" s="15">
        <v>0.57</v>
      </c>
      <c r="L1553" s="37">
        <v>105.0</v>
      </c>
      <c r="M1553" s="59">
        <f t="shared" ref="M1553:M1568" si="291">if(iserror(K1553/L1553*100),"NA",K1553/L1553*100)</f>
        <v>0.5428571429</v>
      </c>
      <c r="N1553" s="17"/>
    </row>
    <row r="1554">
      <c r="A1554" s="9"/>
      <c r="B1554" s="38">
        <f t="shared" si="233"/>
        <v>1550</v>
      </c>
      <c r="C1554" s="34">
        <v>39812.0</v>
      </c>
      <c r="D1554" s="48" t="s">
        <v>1248</v>
      </c>
      <c r="E1554" s="13" t="s">
        <v>1229</v>
      </c>
      <c r="F1554" s="13">
        <v>9.0</v>
      </c>
      <c r="G1554" s="35" t="str">
        <f>IF(C1554&gt;40908,"2012",IF(C1554&gt;40543,"2011",IF(C1554&gt;40178,"2010",IF(C1554&gt;=39814,"2009",IF(C1554&gt;=39448,"2008",IF(C1554&gt;39082,"2007",IF(C1554&lt;38717,"Pre-2006","2006")))))))</f>
        <v>2008</v>
      </c>
      <c r="H1554" s="13" t="s">
        <v>29</v>
      </c>
      <c r="I1554" s="13" t="s">
        <v>26</v>
      </c>
      <c r="J1554" s="14">
        <v>2008.0</v>
      </c>
      <c r="K1554" s="15">
        <v>0.58</v>
      </c>
      <c r="L1554" s="14">
        <v>120.0</v>
      </c>
      <c r="M1554" s="16">
        <f t="shared" si="291"/>
        <v>0.4833333333</v>
      </c>
      <c r="N1554" s="17"/>
    </row>
    <row r="1555">
      <c r="A1555" s="9"/>
      <c r="B1555" s="38">
        <f t="shared" si="233"/>
        <v>1551</v>
      </c>
      <c r="C1555" s="34">
        <v>42167.0</v>
      </c>
      <c r="D1555" s="12" t="str">
        <f>hyperlink("http://www.rottentomatoes.com/m/welcome_to_me/?search=welcome%20to%20me","Welcome to Me")</f>
        <v>Welcome to Me</v>
      </c>
      <c r="E1555" s="33" t="s">
        <v>1229</v>
      </c>
      <c r="F1555" s="33">
        <v>9.0</v>
      </c>
      <c r="G1555" s="36">
        <v>2015.0</v>
      </c>
      <c r="H1555" s="33" t="s">
        <v>25</v>
      </c>
      <c r="I1555" s="33" t="s">
        <v>47</v>
      </c>
      <c r="J1555" s="37">
        <v>2015.0</v>
      </c>
      <c r="K1555" s="15">
        <v>0.7</v>
      </c>
      <c r="L1555" s="37">
        <v>87.0</v>
      </c>
      <c r="M1555" s="16">
        <f t="shared" si="291"/>
        <v>0.8045977011</v>
      </c>
      <c r="N1555" s="17"/>
    </row>
    <row r="1556">
      <c r="A1556" s="9"/>
      <c r="B1556" s="38">
        <f t="shared" si="233"/>
        <v>1552</v>
      </c>
      <c r="C1556" s="34">
        <v>43191.0</v>
      </c>
      <c r="D1556" s="12" t="str">
        <f>hyperlink("https://www.rottentomatoes.com/m/while_were_young","While We're Young")</f>
        <v>While We're Young</v>
      </c>
      <c r="E1556" s="33" t="s">
        <v>1229</v>
      </c>
      <c r="F1556" s="33">
        <v>9.0</v>
      </c>
      <c r="G1556" s="36">
        <v>2018.0</v>
      </c>
      <c r="H1556" s="33" t="s">
        <v>58</v>
      </c>
      <c r="I1556" s="33" t="s">
        <v>77</v>
      </c>
      <c r="J1556" s="37">
        <v>2015.0</v>
      </c>
      <c r="K1556" s="80">
        <v>0.84</v>
      </c>
      <c r="L1556" s="37">
        <v>94.0</v>
      </c>
      <c r="M1556" s="16">
        <f t="shared" si="291"/>
        <v>0.8936170213</v>
      </c>
      <c r="N1556" s="17"/>
    </row>
    <row r="1557">
      <c r="A1557" s="9"/>
      <c r="B1557" s="38">
        <f t="shared" si="233"/>
        <v>1553</v>
      </c>
      <c r="C1557" s="34">
        <v>42019.0</v>
      </c>
      <c r="D1557" s="12" t="str">
        <f>hyperlink("http://www.rottentomatoes.com/m/veronica_mars/?search=veronica%20mars","Veronica Mars")</f>
        <v>Veronica Mars</v>
      </c>
      <c r="E1557" s="33" t="s">
        <v>1229</v>
      </c>
      <c r="F1557" s="33">
        <v>9.0</v>
      </c>
      <c r="G1557" s="36">
        <v>2015.0</v>
      </c>
      <c r="H1557" s="33" t="s">
        <v>58</v>
      </c>
      <c r="I1557" s="33" t="s">
        <v>47</v>
      </c>
      <c r="J1557" s="37">
        <v>2014.0</v>
      </c>
      <c r="K1557" s="80">
        <v>0.78</v>
      </c>
      <c r="L1557" s="37">
        <v>108.0</v>
      </c>
      <c r="M1557" s="16">
        <f t="shared" si="291"/>
        <v>0.7222222222</v>
      </c>
      <c r="N1557" s="17"/>
    </row>
    <row r="1558">
      <c r="A1558" s="9"/>
      <c r="B1558" s="38">
        <f t="shared" si="233"/>
        <v>1554</v>
      </c>
      <c r="C1558" s="34">
        <v>39769.0</v>
      </c>
      <c r="D1558" s="50" t="s">
        <v>1249</v>
      </c>
      <c r="E1558" s="13" t="s">
        <v>1229</v>
      </c>
      <c r="F1558" s="13">
        <v>9.0</v>
      </c>
      <c r="G1558" s="35" t="str">
        <f>IF(C1558&gt;40908,"2012",IF(C1558&gt;40543,"2011",IF(C1558&gt;40178,"2010",IF(C1558&gt;=39814,"2009",IF(C1558&gt;=39448,"2008",IF(C1558&gt;39082,"2007",IF(C1558&lt;38717,"Pre-2006","2006")))))))</f>
        <v>2008</v>
      </c>
      <c r="H1558" s="13" t="s">
        <v>27</v>
      </c>
      <c r="I1558" s="13" t="s">
        <v>47</v>
      </c>
      <c r="J1558" s="14">
        <v>1967.0</v>
      </c>
      <c r="K1558" s="15">
        <v>0.69</v>
      </c>
      <c r="L1558" s="14">
        <v>117.0</v>
      </c>
      <c r="M1558" s="16">
        <f t="shared" si="291"/>
        <v>0.5897435897</v>
      </c>
      <c r="N1558" s="17"/>
    </row>
    <row r="1559">
      <c r="A1559" s="1"/>
      <c r="B1559" s="40">
        <f t="shared" si="233"/>
        <v>1555</v>
      </c>
      <c r="C1559" s="41">
        <v>44841.0</v>
      </c>
      <c r="D1559" s="12" t="str">
        <f>hyperlink("https://www.rottentomatoes.com/m/1074108-101_dalmatians","101 Dalmatians")</f>
        <v>101 Dalmatians</v>
      </c>
      <c r="E1559" s="76" t="s">
        <v>1250</v>
      </c>
      <c r="F1559" s="76">
        <v>9.0</v>
      </c>
      <c r="G1559" s="76">
        <v>2022.0</v>
      </c>
      <c r="H1559" s="76" t="s">
        <v>58</v>
      </c>
      <c r="I1559" s="76" t="s">
        <v>264</v>
      </c>
      <c r="J1559" s="76">
        <v>1996.0</v>
      </c>
      <c r="K1559" s="103">
        <v>0.41</v>
      </c>
      <c r="L1559" s="78">
        <v>103.0</v>
      </c>
      <c r="M1559" s="47">
        <f t="shared" si="291"/>
        <v>0.3980582524</v>
      </c>
      <c r="N1559" s="1"/>
    </row>
    <row r="1560">
      <c r="A1560" s="9"/>
      <c r="B1560" s="38">
        <f t="shared" si="233"/>
        <v>1556</v>
      </c>
      <c r="C1560" s="34">
        <v>41632.0</v>
      </c>
      <c r="D1560" s="48" t="s">
        <v>1251</v>
      </c>
      <c r="E1560" s="13" t="s">
        <v>1250</v>
      </c>
      <c r="F1560" s="13">
        <v>9.0</v>
      </c>
      <c r="G1560" s="13">
        <v>2013.0</v>
      </c>
      <c r="H1560" s="13" t="s">
        <v>29</v>
      </c>
      <c r="I1560" s="13" t="s">
        <v>26</v>
      </c>
      <c r="J1560" s="14">
        <v>2013.0</v>
      </c>
      <c r="K1560" s="15">
        <v>0.74</v>
      </c>
      <c r="L1560" s="14">
        <v>119.0</v>
      </c>
      <c r="M1560" s="16">
        <f t="shared" si="291"/>
        <v>0.6218487395</v>
      </c>
      <c r="N1560" s="17"/>
    </row>
    <row r="1561">
      <c r="A1561" s="9"/>
      <c r="B1561" s="38">
        <f t="shared" si="233"/>
        <v>1557</v>
      </c>
      <c r="C1561" s="34">
        <v>41968.0</v>
      </c>
      <c r="D1561" s="12" t="str">
        <f>hyperlink("http://www.rottentomatoes.com/m/airplane/?search=airplane","Airplane")</f>
        <v>Airplane</v>
      </c>
      <c r="E1561" s="13" t="s">
        <v>1250</v>
      </c>
      <c r="F1561" s="13">
        <v>9.0</v>
      </c>
      <c r="G1561" s="13">
        <v>2014.0</v>
      </c>
      <c r="H1561" s="13" t="s">
        <v>25</v>
      </c>
      <c r="I1561" s="13" t="s">
        <v>47</v>
      </c>
      <c r="J1561" s="14">
        <v>1980.0</v>
      </c>
      <c r="K1561" s="15">
        <v>0.98</v>
      </c>
      <c r="L1561" s="14">
        <v>88.0</v>
      </c>
      <c r="M1561" s="16">
        <f t="shared" si="291"/>
        <v>1.113636364</v>
      </c>
      <c r="N1561" s="17"/>
    </row>
    <row r="1562">
      <c r="A1562" s="9"/>
      <c r="B1562" s="38">
        <f t="shared" si="233"/>
        <v>1558</v>
      </c>
      <c r="C1562" s="34">
        <v>43627.0</v>
      </c>
      <c r="D1562" s="12" t="str">
        <f>hyperlink("https://rottentomatoes.com/m/always_be_my_maybe_2019","Always Be My Maybe")</f>
        <v>Always Be My Maybe</v>
      </c>
      <c r="E1562" s="33" t="s">
        <v>1250</v>
      </c>
      <c r="F1562" s="33">
        <v>9.0</v>
      </c>
      <c r="G1562" s="36">
        <v>2019.0</v>
      </c>
      <c r="H1562" s="33" t="s">
        <v>58</v>
      </c>
      <c r="I1562" s="33" t="s">
        <v>77</v>
      </c>
      <c r="J1562" s="37">
        <v>2019.0</v>
      </c>
      <c r="K1562" s="15">
        <v>0.9</v>
      </c>
      <c r="L1562" s="37">
        <v>102.0</v>
      </c>
      <c r="M1562" s="16">
        <f t="shared" si="291"/>
        <v>0.8823529412</v>
      </c>
      <c r="N1562" s="17"/>
    </row>
    <row r="1563">
      <c r="A1563" s="9"/>
      <c r="B1563" s="38">
        <f t="shared" si="233"/>
        <v>1559</v>
      </c>
      <c r="C1563" s="34">
        <v>45186.0</v>
      </c>
      <c r="D1563" s="12" t="str">
        <f>hyperlink("https://www.rottentomatoes.com/m/love_at_first_sight_2023","Love at First Sight")</f>
        <v>Love at First Sight</v>
      </c>
      <c r="E1563" s="33" t="s">
        <v>1250</v>
      </c>
      <c r="F1563" s="33">
        <v>9.0</v>
      </c>
      <c r="G1563" s="36">
        <v>2023.0</v>
      </c>
      <c r="H1563" s="33" t="s">
        <v>58</v>
      </c>
      <c r="I1563" s="33" t="s">
        <v>77</v>
      </c>
      <c r="J1563" s="37">
        <v>2023.0</v>
      </c>
      <c r="K1563" s="15">
        <v>0.76</v>
      </c>
      <c r="L1563" s="37">
        <v>90.0</v>
      </c>
      <c r="M1563" s="16">
        <f t="shared" si="291"/>
        <v>0.8444444444</v>
      </c>
      <c r="N1563" s="17"/>
    </row>
    <row r="1564">
      <c r="A1564" s="9"/>
      <c r="B1564" s="38">
        <f t="shared" si="233"/>
        <v>1560</v>
      </c>
      <c r="C1564" s="34">
        <v>44960.0</v>
      </c>
      <c r="D1564" s="12" t="str">
        <f>hyperlink("https://www.rottentomatoes.com/m/avatar_the_way_of_water","Avatar: The Way of Water")</f>
        <v>Avatar: The Way of Water</v>
      </c>
      <c r="E1564" s="33" t="s">
        <v>1250</v>
      </c>
      <c r="F1564" s="33">
        <v>9.0</v>
      </c>
      <c r="G1564" s="36">
        <v>2023.0</v>
      </c>
      <c r="H1564" s="33" t="s">
        <v>143</v>
      </c>
      <c r="I1564" s="33" t="s">
        <v>26</v>
      </c>
      <c r="J1564" s="37">
        <v>2022.0</v>
      </c>
      <c r="K1564" s="15">
        <v>0.76</v>
      </c>
      <c r="L1564" s="37">
        <v>192.0</v>
      </c>
      <c r="M1564" s="16">
        <f t="shared" si="291"/>
        <v>0.3958333333</v>
      </c>
      <c r="N1564" s="17"/>
    </row>
    <row r="1565">
      <c r="A1565" s="9"/>
      <c r="B1565" s="38">
        <f t="shared" si="233"/>
        <v>1561</v>
      </c>
      <c r="C1565" s="34">
        <v>44856.0</v>
      </c>
      <c r="D1565" s="12" t="str">
        <f>hyperlink("https://www.rottentomatoes.com/m/1001567-bad_news_bears","Bad News Bears, The")</f>
        <v>Bad News Bears, The</v>
      </c>
      <c r="E1565" s="33" t="s">
        <v>1250</v>
      </c>
      <c r="F1565" s="33">
        <v>9.0</v>
      </c>
      <c r="G1565" s="36">
        <v>2022.0</v>
      </c>
      <c r="H1565" s="33" t="s">
        <v>58</v>
      </c>
      <c r="I1565" s="33" t="s">
        <v>47</v>
      </c>
      <c r="J1565" s="37">
        <v>2022.0</v>
      </c>
      <c r="K1565" s="15">
        <v>0.97</v>
      </c>
      <c r="L1565" s="37">
        <v>102.0</v>
      </c>
      <c r="M1565" s="16">
        <f t="shared" si="291"/>
        <v>0.9509803922</v>
      </c>
      <c r="N1565" s="17"/>
    </row>
    <row r="1566">
      <c r="A1566" s="9"/>
      <c r="B1566" s="38">
        <f t="shared" si="233"/>
        <v>1562</v>
      </c>
      <c r="C1566" s="34">
        <v>39774.0</v>
      </c>
      <c r="D1566" s="48" t="s">
        <v>1252</v>
      </c>
      <c r="E1566" s="13" t="s">
        <v>1250</v>
      </c>
      <c r="F1566" s="13">
        <v>8.0</v>
      </c>
      <c r="G1566" s="35" t="str">
        <f>IF(C1566&gt;40908,"2012",IF(C1566&gt;40543,"2011",IF(C1566&gt;40178,"2010",IF(C1566&gt;=39814,"2009",IF(C1566&gt;=39448,"2008",IF(C1566&gt;39082,"2007",IF(C1566&lt;38717,"Pre-2006","2006")))))))</f>
        <v>2008</v>
      </c>
      <c r="H1566" s="13" t="s">
        <v>27</v>
      </c>
      <c r="I1566" s="13" t="s">
        <v>47</v>
      </c>
      <c r="J1566" s="14">
        <v>2008.0</v>
      </c>
      <c r="K1566" s="15">
        <v>0.61</v>
      </c>
      <c r="L1566" s="14">
        <v>99.0</v>
      </c>
      <c r="M1566" s="16">
        <f t="shared" si="291"/>
        <v>0.6161616162</v>
      </c>
      <c r="N1566" s="17"/>
    </row>
    <row r="1567">
      <c r="A1567" s="9"/>
      <c r="B1567" s="38">
        <f t="shared" si="233"/>
        <v>1563</v>
      </c>
      <c r="C1567" s="34">
        <v>44103.0</v>
      </c>
      <c r="D1567" s="85" t="s">
        <v>1253</v>
      </c>
      <c r="E1567" s="33" t="s">
        <v>1250</v>
      </c>
      <c r="F1567" s="33">
        <v>8.0</v>
      </c>
      <c r="G1567" s="36">
        <v>2020.0</v>
      </c>
      <c r="H1567" s="99" t="s">
        <v>58</v>
      </c>
      <c r="I1567" s="33" t="s">
        <v>77</v>
      </c>
      <c r="J1567" s="57">
        <v>2011.0</v>
      </c>
      <c r="K1567" s="58">
        <v>0.45</v>
      </c>
      <c r="L1567" s="37">
        <v>92.0</v>
      </c>
      <c r="M1567" s="16">
        <f t="shared" si="291"/>
        <v>0.4891304348</v>
      </c>
      <c r="N1567" s="17"/>
    </row>
    <row r="1568">
      <c r="A1568" s="9"/>
      <c r="B1568" s="38">
        <f t="shared" si="233"/>
        <v>1564</v>
      </c>
      <c r="C1568" s="70"/>
      <c r="D1568" s="48" t="s">
        <v>1254</v>
      </c>
      <c r="E1568" s="13" t="s">
        <v>1250</v>
      </c>
      <c r="F1568" s="13">
        <v>8.0</v>
      </c>
      <c r="G1568" s="35" t="str">
        <f>IF(C1568&gt;40908,"2012",IF(C1568&gt;40543,"2011",IF(C1568&gt;40178,"2010",IF(C1568&gt;=39814,"2009",IF(C1568&gt;=39448,"2008",IF(C1568&gt;39082,"2007",IF(C1568&lt;38717,"Pre-2006","2006")))))))</f>
        <v>Pre-2006</v>
      </c>
      <c r="H1568" s="98"/>
      <c r="I1568" s="71"/>
      <c r="J1568" s="61"/>
      <c r="K1568" s="62"/>
      <c r="L1568" s="63"/>
      <c r="M1568" s="59" t="str">
        <f t="shared" si="291"/>
        <v>NA</v>
      </c>
      <c r="N1568" s="17"/>
    </row>
    <row r="1569">
      <c r="A1569" s="9"/>
      <c r="B1569" s="38">
        <f t="shared" si="233"/>
        <v>1565</v>
      </c>
      <c r="C1569" s="34">
        <f>7/24/2016</f>
        <v>0.0001446759259</v>
      </c>
      <c r="D1569" s="85" t="str">
        <f>hyperlink("https://www.rottentomatoes.com/m/batman_v_superman_dawn_of_justice/?search=batman%20v","Batman v Superman: Dawn of Justice")</f>
        <v>Batman v Superman: Dawn of Justice</v>
      </c>
      <c r="E1569" s="33" t="s">
        <v>1250</v>
      </c>
      <c r="F1569" s="33">
        <v>8.0</v>
      </c>
      <c r="G1569" s="36">
        <v>2016.0</v>
      </c>
      <c r="H1569" s="99" t="s">
        <v>58</v>
      </c>
      <c r="I1569" s="33" t="s">
        <v>47</v>
      </c>
      <c r="J1569" s="57">
        <v>2016.0</v>
      </c>
      <c r="K1569" s="58">
        <v>0.27</v>
      </c>
      <c r="L1569" s="37">
        <v>151.0</v>
      </c>
      <c r="M1569" s="59">
        <f>K1569/L1569*100</f>
        <v>0.178807947</v>
      </c>
      <c r="N1569" s="17"/>
    </row>
    <row r="1570">
      <c r="A1570" s="9"/>
      <c r="B1570" s="38">
        <f t="shared" si="233"/>
        <v>1566</v>
      </c>
      <c r="C1570" s="34">
        <v>39218.0</v>
      </c>
      <c r="D1570" s="48" t="s">
        <v>1255</v>
      </c>
      <c r="E1570" s="13" t="s">
        <v>1250</v>
      </c>
      <c r="F1570" s="13">
        <v>8.0</v>
      </c>
      <c r="G1570" s="35" t="str">
        <f t="shared" ref="G1570:G1572" si="292">IF(C1570&gt;40908,"2012",IF(C1570&gt;40543,"2011",IF(C1570&gt;40178,"2010",IF(C1570&gt;=39814,"2009",IF(C1570&gt;=39448,"2008",IF(C1570&gt;39082,"2007",IF(C1570&lt;38717,"Pre-2006","2006")))))))</f>
        <v>2007</v>
      </c>
      <c r="H1570" s="98"/>
      <c r="I1570" s="71"/>
      <c r="J1570" s="61"/>
      <c r="K1570" s="62"/>
      <c r="L1570" s="63"/>
      <c r="M1570" s="59" t="str">
        <f t="shared" ref="M1570:M1591" si="293">if(iserror(K1570/L1570*100),"NA",K1570/L1570*100)</f>
        <v>NA</v>
      </c>
      <c r="N1570" s="17"/>
    </row>
    <row r="1571">
      <c r="A1571" s="9"/>
      <c r="B1571" s="38">
        <f t="shared" si="233"/>
        <v>1567</v>
      </c>
      <c r="C1571" s="34">
        <v>40683.0</v>
      </c>
      <c r="D1571" s="48" t="s">
        <v>1256</v>
      </c>
      <c r="E1571" s="13" t="s">
        <v>1250</v>
      </c>
      <c r="F1571" s="13">
        <v>8.0</v>
      </c>
      <c r="G1571" s="35" t="str">
        <f t="shared" si="292"/>
        <v>2011</v>
      </c>
      <c r="H1571" s="13" t="s">
        <v>769</v>
      </c>
      <c r="I1571" s="13" t="s">
        <v>26</v>
      </c>
      <c r="J1571" s="14">
        <v>2011.0</v>
      </c>
      <c r="K1571" s="15">
        <v>0.9</v>
      </c>
      <c r="L1571" s="14">
        <v>124.0</v>
      </c>
      <c r="M1571" s="16">
        <f t="shared" si="293"/>
        <v>0.7258064516</v>
      </c>
      <c r="N1571" s="17"/>
    </row>
    <row r="1572">
      <c r="A1572" s="9"/>
      <c r="B1572" s="38">
        <f t="shared" si="233"/>
        <v>1568</v>
      </c>
      <c r="C1572" s="70"/>
      <c r="D1572" s="48" t="s">
        <v>1257</v>
      </c>
      <c r="E1572" s="13" t="s">
        <v>1250</v>
      </c>
      <c r="F1572" s="13">
        <v>8.0</v>
      </c>
      <c r="G1572" s="35" t="str">
        <f t="shared" si="292"/>
        <v>Pre-2006</v>
      </c>
      <c r="H1572" s="98"/>
      <c r="I1572" s="71"/>
      <c r="J1572" s="61"/>
      <c r="K1572" s="62"/>
      <c r="L1572" s="63"/>
      <c r="M1572" s="59" t="str">
        <f t="shared" si="293"/>
        <v>NA</v>
      </c>
      <c r="N1572" s="17"/>
    </row>
    <row r="1573">
      <c r="A1573" s="9"/>
      <c r="B1573" s="38">
        <f t="shared" si="233"/>
        <v>1569</v>
      </c>
      <c r="C1573" s="34">
        <v>45656.0</v>
      </c>
      <c r="D1573" s="85" t="str">
        <f>hyperlink("https://www.rottentomatoes.com/m/carry_on","Carry-On")</f>
        <v>Carry-On</v>
      </c>
      <c r="E1573" s="33" t="s">
        <v>1250</v>
      </c>
      <c r="F1573" s="33">
        <v>8.0</v>
      </c>
      <c r="G1573" s="36">
        <v>2024.0</v>
      </c>
      <c r="H1573" s="99" t="s">
        <v>58</v>
      </c>
      <c r="I1573" s="33" t="s">
        <v>77</v>
      </c>
      <c r="J1573" s="57">
        <v>2024.0</v>
      </c>
      <c r="K1573" s="58">
        <v>0.87</v>
      </c>
      <c r="L1573" s="37">
        <v>119.0</v>
      </c>
      <c r="M1573" s="16">
        <f t="shared" si="293"/>
        <v>0.731092437</v>
      </c>
      <c r="N1573" s="17"/>
    </row>
    <row r="1574">
      <c r="A1574" s="9"/>
      <c r="B1574" s="38">
        <f t="shared" si="233"/>
        <v>1570</v>
      </c>
      <c r="C1574" s="34">
        <v>39242.0</v>
      </c>
      <c r="D1574" s="48" t="s">
        <v>1258</v>
      </c>
      <c r="E1574" s="13" t="s">
        <v>1250</v>
      </c>
      <c r="F1574" s="13">
        <v>8.0</v>
      </c>
      <c r="G1574" s="35" t="str">
        <f t="shared" ref="G1574:G1576" si="294">IF(C1574&gt;40908,"2012",IF(C1574&gt;40543,"2011",IF(C1574&gt;40178,"2010",IF(C1574&gt;=39814,"2009",IF(C1574&gt;=39448,"2008",IF(C1574&gt;39082,"2007",IF(C1574&lt;38717,"Pre-2006","2006")))))))</f>
        <v>2007</v>
      </c>
      <c r="H1574" s="98"/>
      <c r="I1574" s="71"/>
      <c r="J1574" s="61"/>
      <c r="K1574" s="62"/>
      <c r="L1574" s="63"/>
      <c r="M1574" s="59" t="str">
        <f t="shared" si="293"/>
        <v>NA</v>
      </c>
      <c r="N1574" s="17"/>
    </row>
    <row r="1575">
      <c r="A1575" s="9"/>
      <c r="B1575" s="38">
        <f t="shared" si="233"/>
        <v>1571</v>
      </c>
      <c r="C1575" s="70"/>
      <c r="D1575" s="48" t="s">
        <v>1259</v>
      </c>
      <c r="E1575" s="13" t="s">
        <v>1250</v>
      </c>
      <c r="F1575" s="13">
        <v>8.0</v>
      </c>
      <c r="G1575" s="35" t="str">
        <f t="shared" si="294"/>
        <v>Pre-2006</v>
      </c>
      <c r="H1575" s="98"/>
      <c r="I1575" s="71"/>
      <c r="J1575" s="61"/>
      <c r="K1575" s="62"/>
      <c r="L1575" s="63"/>
      <c r="M1575" s="59" t="str">
        <f t="shared" si="293"/>
        <v>NA</v>
      </c>
      <c r="N1575" s="17"/>
    </row>
    <row r="1576">
      <c r="A1576" s="9"/>
      <c r="B1576" s="38">
        <f t="shared" si="233"/>
        <v>1572</v>
      </c>
      <c r="C1576" s="70"/>
      <c r="D1576" s="48" t="s">
        <v>1260</v>
      </c>
      <c r="E1576" s="13" t="s">
        <v>1250</v>
      </c>
      <c r="F1576" s="13">
        <v>8.0</v>
      </c>
      <c r="G1576" s="35" t="str">
        <f t="shared" si="294"/>
        <v>Pre-2006</v>
      </c>
      <c r="H1576" s="98"/>
      <c r="I1576" s="71"/>
      <c r="J1576" s="61"/>
      <c r="K1576" s="62"/>
      <c r="L1576" s="63"/>
      <c r="M1576" s="59" t="str">
        <f t="shared" si="293"/>
        <v>NA</v>
      </c>
      <c r="N1576" s="17"/>
    </row>
    <row r="1577">
      <c r="A1577" s="9"/>
      <c r="B1577" s="38">
        <f t="shared" si="233"/>
        <v>1573</v>
      </c>
      <c r="C1577" s="34">
        <v>44554.0</v>
      </c>
      <c r="D1577" s="85" t="str">
        <f>hyperlink("https://www.rottentomatoes.com/m/10011774-chloe","Chloe")</f>
        <v>Chloe</v>
      </c>
      <c r="E1577" s="33" t="s">
        <v>1250</v>
      </c>
      <c r="F1577" s="33">
        <v>8.0</v>
      </c>
      <c r="G1577" s="36">
        <v>2021.0</v>
      </c>
      <c r="H1577" s="99" t="s">
        <v>58</v>
      </c>
      <c r="I1577" s="33" t="s">
        <v>77</v>
      </c>
      <c r="J1577" s="57">
        <v>2009.0</v>
      </c>
      <c r="K1577" s="58">
        <v>0.51</v>
      </c>
      <c r="L1577" s="37">
        <v>96.0</v>
      </c>
      <c r="M1577" s="59">
        <f t="shared" si="293"/>
        <v>0.53125</v>
      </c>
      <c r="N1577" s="17"/>
    </row>
    <row r="1578">
      <c r="A1578" s="9"/>
      <c r="B1578" s="38">
        <f t="shared" si="233"/>
        <v>1574</v>
      </c>
      <c r="C1578" s="70"/>
      <c r="D1578" s="48" t="s">
        <v>1261</v>
      </c>
      <c r="E1578" s="13" t="s">
        <v>1250</v>
      </c>
      <c r="F1578" s="13">
        <v>8.0</v>
      </c>
      <c r="G1578" s="35" t="str">
        <f t="shared" ref="G1578:G1579" si="295">IF(C1578&gt;40908,"2012",IF(C1578&gt;40543,"2011",IF(C1578&gt;40178,"2010",IF(C1578&gt;=39814,"2009",IF(C1578&gt;=39448,"2008",IF(C1578&gt;39082,"2007",IF(C1578&lt;38717,"Pre-2006","2006")))))))</f>
        <v>Pre-2006</v>
      </c>
      <c r="H1578" s="98"/>
      <c r="I1578" s="71"/>
      <c r="J1578" s="61"/>
      <c r="K1578" s="62"/>
      <c r="L1578" s="63"/>
      <c r="M1578" s="59" t="str">
        <f t="shared" si="293"/>
        <v>NA</v>
      </c>
      <c r="N1578" s="17"/>
    </row>
    <row r="1579">
      <c r="A1579" s="9"/>
      <c r="B1579" s="38">
        <f t="shared" si="233"/>
        <v>1575</v>
      </c>
      <c r="C1579" s="70"/>
      <c r="D1579" s="48" t="s">
        <v>1262</v>
      </c>
      <c r="E1579" s="13" t="s">
        <v>1250</v>
      </c>
      <c r="F1579" s="13">
        <v>8.0</v>
      </c>
      <c r="G1579" s="35" t="str">
        <f t="shared" si="295"/>
        <v>Pre-2006</v>
      </c>
      <c r="H1579" s="98"/>
      <c r="I1579" s="71"/>
      <c r="J1579" s="61"/>
      <c r="K1579" s="62"/>
      <c r="L1579" s="63"/>
      <c r="M1579" s="59" t="str">
        <f t="shared" si="293"/>
        <v>NA</v>
      </c>
      <c r="N1579" s="17"/>
    </row>
    <row r="1580">
      <c r="A1580" s="9"/>
      <c r="B1580" s="38">
        <f t="shared" si="233"/>
        <v>1576</v>
      </c>
      <c r="C1580" s="34">
        <v>41266.0</v>
      </c>
      <c r="D1580" s="48" t="s">
        <v>1263</v>
      </c>
      <c r="E1580" s="13" t="s">
        <v>1250</v>
      </c>
      <c r="F1580" s="13">
        <v>8.0</v>
      </c>
      <c r="G1580" s="13">
        <v>2012.0</v>
      </c>
      <c r="H1580" s="79" t="s">
        <v>25</v>
      </c>
      <c r="I1580" s="13" t="s">
        <v>47</v>
      </c>
      <c r="J1580" s="55">
        <v>2007.0</v>
      </c>
      <c r="K1580" s="56">
        <v>1.0</v>
      </c>
      <c r="L1580" s="14">
        <v>93.0</v>
      </c>
      <c r="M1580" s="16">
        <f t="shared" si="293"/>
        <v>1.075268817</v>
      </c>
      <c r="N1580" s="17"/>
    </row>
    <row r="1581">
      <c r="A1581" s="9"/>
      <c r="B1581" s="38">
        <f t="shared" si="233"/>
        <v>1577</v>
      </c>
      <c r="C1581" s="34">
        <v>45574.0</v>
      </c>
      <c r="D1581" s="85" t="str">
        <f>hyperlink("https://www.rottentomatoes.com/m/couples_retreat","Couples Retreat")</f>
        <v>Couples Retreat</v>
      </c>
      <c r="E1581" s="33" t="s">
        <v>1250</v>
      </c>
      <c r="F1581" s="33">
        <v>8.0</v>
      </c>
      <c r="G1581" s="33">
        <v>2024.0</v>
      </c>
      <c r="H1581" s="99" t="s">
        <v>58</v>
      </c>
      <c r="I1581" s="33" t="s">
        <v>77</v>
      </c>
      <c r="J1581" s="57">
        <v>2009.0</v>
      </c>
      <c r="K1581" s="56">
        <v>0.1</v>
      </c>
      <c r="L1581" s="37">
        <v>114.0</v>
      </c>
      <c r="M1581" s="16">
        <f t="shared" si="293"/>
        <v>0.08771929825</v>
      </c>
      <c r="N1581" s="17"/>
    </row>
    <row r="1582">
      <c r="A1582" s="9"/>
      <c r="B1582" s="38">
        <f t="shared" si="233"/>
        <v>1578</v>
      </c>
      <c r="C1582" s="34">
        <v>45122.0</v>
      </c>
      <c r="D1582" s="85" t="str">
        <f>hyperlink("https://www.rottentomatoes.com/m/creed_iii","Creed III")</f>
        <v>Creed III</v>
      </c>
      <c r="E1582" s="33" t="s">
        <v>1250</v>
      </c>
      <c r="F1582" s="33">
        <v>8.0</v>
      </c>
      <c r="G1582" s="36">
        <v>2023.0</v>
      </c>
      <c r="H1582" s="99" t="s">
        <v>58</v>
      </c>
      <c r="I1582" s="33" t="s">
        <v>47</v>
      </c>
      <c r="J1582" s="57">
        <v>2023.0</v>
      </c>
      <c r="K1582" s="58">
        <v>0.88</v>
      </c>
      <c r="L1582" s="37">
        <v>116.0</v>
      </c>
      <c r="M1582" s="16">
        <f t="shared" si="293"/>
        <v>0.7586206897</v>
      </c>
      <c r="N1582" s="17"/>
    </row>
    <row r="1583">
      <c r="A1583" s="9"/>
      <c r="B1583" s="38">
        <f t="shared" si="233"/>
        <v>1579</v>
      </c>
      <c r="C1583" s="70"/>
      <c r="D1583" s="48" t="s">
        <v>1264</v>
      </c>
      <c r="E1583" s="13" t="s">
        <v>1250</v>
      </c>
      <c r="F1583" s="13">
        <v>8.0</v>
      </c>
      <c r="G1583" s="35" t="str">
        <f t="shared" ref="G1583:G1584" si="296">IF(C1583&gt;40908,"2012",IF(C1583&gt;40543,"2011",IF(C1583&gt;40178,"2010",IF(C1583&gt;=39814,"2009",IF(C1583&gt;=39448,"2008",IF(C1583&gt;39082,"2007",IF(C1583&lt;38717,"Pre-2006","2006")))))))</f>
        <v>Pre-2006</v>
      </c>
      <c r="H1583" s="98"/>
      <c r="I1583" s="71"/>
      <c r="J1583" s="61"/>
      <c r="K1583" s="62"/>
      <c r="L1583" s="63"/>
      <c r="M1583" s="59" t="str">
        <f t="shared" si="293"/>
        <v>NA</v>
      </c>
      <c r="N1583" s="17"/>
    </row>
    <row r="1584">
      <c r="A1584" s="9"/>
      <c r="B1584" s="38">
        <f t="shared" si="233"/>
        <v>1580</v>
      </c>
      <c r="C1584" s="34">
        <v>38808.0</v>
      </c>
      <c r="D1584" s="48" t="s">
        <v>1265</v>
      </c>
      <c r="E1584" s="13" t="s">
        <v>1250</v>
      </c>
      <c r="F1584" s="13">
        <v>8.0</v>
      </c>
      <c r="G1584" s="35" t="str">
        <f t="shared" si="296"/>
        <v>2006</v>
      </c>
      <c r="H1584" s="98"/>
      <c r="I1584" s="71"/>
      <c r="J1584" s="61"/>
      <c r="K1584" s="62"/>
      <c r="L1584" s="63"/>
      <c r="M1584" s="59" t="str">
        <f t="shared" si="293"/>
        <v>NA</v>
      </c>
      <c r="N1584" s="17"/>
    </row>
    <row r="1585">
      <c r="A1585" s="9"/>
      <c r="B1585" s="38">
        <f t="shared" si="233"/>
        <v>1581</v>
      </c>
      <c r="C1585" s="34">
        <v>44845.0</v>
      </c>
      <c r="D1585" s="85" t="str">
        <f>hyperlink("https://www.rottentomatoes.com/m/dc_league_of_super_pets","DC League of Super-Pets")</f>
        <v>DC League of Super-Pets</v>
      </c>
      <c r="E1585" s="33" t="s">
        <v>1250</v>
      </c>
      <c r="F1585" s="33">
        <v>8.0</v>
      </c>
      <c r="G1585" s="36">
        <v>2022.0</v>
      </c>
      <c r="H1585" s="33" t="s">
        <v>143</v>
      </c>
      <c r="I1585" s="33" t="s">
        <v>26</v>
      </c>
      <c r="J1585" s="37">
        <v>2022.0</v>
      </c>
      <c r="K1585" s="15">
        <v>0.73</v>
      </c>
      <c r="L1585" s="37">
        <v>106.0</v>
      </c>
      <c r="M1585" s="16">
        <f t="shared" si="293"/>
        <v>0.6886792453</v>
      </c>
      <c r="N1585" s="17"/>
    </row>
    <row r="1586">
      <c r="A1586" s="9"/>
      <c r="B1586" s="38">
        <f t="shared" si="233"/>
        <v>1582</v>
      </c>
      <c r="C1586" s="34">
        <v>40770.0</v>
      </c>
      <c r="D1586" s="48" t="s">
        <v>1266</v>
      </c>
      <c r="E1586" s="13" t="s">
        <v>1250</v>
      </c>
      <c r="F1586" s="13">
        <v>8.0</v>
      </c>
      <c r="G1586" s="35" t="str">
        <f>IF(C1586&gt;40908,"2012",IF(C1586&gt;40543,"2011",IF(C1586&gt;40178,"2010",IF(C1586&gt;=39814,"2009",IF(C1586&gt;=39448,"2008",IF(C1586&gt;39082,"2007",IF(C1586&lt;38717,"Pre-2006","2006")))))))</f>
        <v>2011</v>
      </c>
      <c r="H1586" s="13" t="s">
        <v>25</v>
      </c>
      <c r="I1586" s="13" t="s">
        <v>47</v>
      </c>
      <c r="J1586" s="14">
        <v>2010.0</v>
      </c>
      <c r="K1586" s="15">
        <v>0.43</v>
      </c>
      <c r="L1586" s="14">
        <v>113.0</v>
      </c>
      <c r="M1586" s="16">
        <f t="shared" si="293"/>
        <v>0.3805309735</v>
      </c>
      <c r="N1586" s="17"/>
    </row>
    <row r="1587">
      <c r="A1587" s="9"/>
      <c r="B1587" s="38">
        <f t="shared" si="233"/>
        <v>1583</v>
      </c>
      <c r="C1587" s="34">
        <v>41821.0</v>
      </c>
      <c r="D1587" s="48" t="s">
        <v>1267</v>
      </c>
      <c r="E1587" s="13" t="s">
        <v>1250</v>
      </c>
      <c r="F1587" s="13">
        <v>8.0</v>
      </c>
      <c r="G1587" s="13">
        <v>2014.0</v>
      </c>
      <c r="H1587" s="79" t="s">
        <v>974</v>
      </c>
      <c r="I1587" s="13" t="s">
        <v>47</v>
      </c>
      <c r="J1587" s="55">
        <v>2014.0</v>
      </c>
      <c r="K1587" s="56">
        <v>0.41</v>
      </c>
      <c r="L1587" s="14">
        <v>139.0</v>
      </c>
      <c r="M1587" s="16">
        <f t="shared" si="293"/>
        <v>0.2949640288</v>
      </c>
      <c r="N1587" s="17"/>
    </row>
    <row r="1588">
      <c r="A1588" s="9"/>
      <c r="B1588" s="38">
        <f t="shared" si="233"/>
        <v>1584</v>
      </c>
      <c r="C1588" s="70"/>
      <c r="D1588" s="48" t="s">
        <v>1268</v>
      </c>
      <c r="E1588" s="13" t="s">
        <v>1250</v>
      </c>
      <c r="F1588" s="13">
        <v>8.0</v>
      </c>
      <c r="G1588" s="35" t="str">
        <f t="shared" ref="G1588:G1589" si="297">IF(C1588&gt;40908,"2012",IF(C1588&gt;40543,"2011",IF(C1588&gt;40178,"2010",IF(C1588&gt;=39814,"2009",IF(C1588&gt;=39448,"2008",IF(C1588&gt;39082,"2007",IF(C1588&lt;38717,"Pre-2006","2006")))))))</f>
        <v>Pre-2006</v>
      </c>
      <c r="H1588" s="98"/>
      <c r="I1588" s="71"/>
      <c r="J1588" s="61"/>
      <c r="K1588" s="62"/>
      <c r="L1588" s="63"/>
      <c r="M1588" s="59" t="str">
        <f t="shared" si="293"/>
        <v>NA</v>
      </c>
      <c r="N1588" s="17"/>
    </row>
    <row r="1589">
      <c r="A1589" s="9"/>
      <c r="B1589" s="38">
        <f t="shared" si="233"/>
        <v>1585</v>
      </c>
      <c r="C1589" s="70"/>
      <c r="D1589" s="48" t="s">
        <v>1269</v>
      </c>
      <c r="E1589" s="13" t="s">
        <v>1250</v>
      </c>
      <c r="F1589" s="13">
        <v>8.0</v>
      </c>
      <c r="G1589" s="35" t="str">
        <f t="shared" si="297"/>
        <v>Pre-2006</v>
      </c>
      <c r="H1589" s="98"/>
      <c r="I1589" s="71"/>
      <c r="J1589" s="61"/>
      <c r="K1589" s="62"/>
      <c r="L1589" s="63"/>
      <c r="M1589" s="59" t="str">
        <f t="shared" si="293"/>
        <v>NA</v>
      </c>
      <c r="N1589" s="17"/>
    </row>
    <row r="1590">
      <c r="A1590" s="9"/>
      <c r="B1590" s="38">
        <f t="shared" si="233"/>
        <v>1586</v>
      </c>
      <c r="C1590" s="34">
        <v>44845.0</v>
      </c>
      <c r="D1590" s="85" t="str">
        <f>hyperlink("https://www.rottentomatoes.com/m/elizabethtown","Elizabethtown")</f>
        <v>Elizabethtown</v>
      </c>
      <c r="E1590" s="33" t="s">
        <v>1250</v>
      </c>
      <c r="F1590" s="33">
        <v>8.0</v>
      </c>
      <c r="G1590" s="36">
        <v>2022.0</v>
      </c>
      <c r="H1590" s="99" t="s">
        <v>58</v>
      </c>
      <c r="I1590" s="33" t="s">
        <v>47</v>
      </c>
      <c r="J1590" s="57">
        <v>2005.0</v>
      </c>
      <c r="K1590" s="58">
        <v>0.28</v>
      </c>
      <c r="L1590" s="37">
        <v>123.0</v>
      </c>
      <c r="M1590" s="59">
        <f t="shared" si="293"/>
        <v>0.2276422764</v>
      </c>
      <c r="N1590" s="17"/>
    </row>
    <row r="1591">
      <c r="A1591" s="9"/>
      <c r="B1591" s="38">
        <f t="shared" si="233"/>
        <v>1587</v>
      </c>
      <c r="C1591" s="34">
        <v>42294.0</v>
      </c>
      <c r="D1591" s="85" t="str">
        <f>hyperlink("http://www.rottentomatoes.com/m/entourage/?search=entourage","Entourage")</f>
        <v>Entourage</v>
      </c>
      <c r="E1591" s="33" t="s">
        <v>1250</v>
      </c>
      <c r="F1591" s="33">
        <v>8.0</v>
      </c>
      <c r="G1591" s="36">
        <v>2015.0</v>
      </c>
      <c r="H1591" s="99" t="s">
        <v>25</v>
      </c>
      <c r="I1591" s="33" t="s">
        <v>47</v>
      </c>
      <c r="J1591" s="57">
        <v>2015.0</v>
      </c>
      <c r="K1591" s="58">
        <v>0.35</v>
      </c>
      <c r="L1591" s="37">
        <v>105.0</v>
      </c>
      <c r="M1591" s="59">
        <f t="shared" si="293"/>
        <v>0.3333333333</v>
      </c>
      <c r="N1591" s="17"/>
    </row>
    <row r="1592">
      <c r="A1592" s="9"/>
      <c r="B1592" s="38">
        <f t="shared" si="233"/>
        <v>1588</v>
      </c>
      <c r="C1592" s="34">
        <v>44550.0</v>
      </c>
      <c r="D1592" s="85" t="str">
        <f>hyperlink("https://www.rottentomatoes.com/m/the_escort_2015","Escort, The")</f>
        <v>Escort, The</v>
      </c>
      <c r="E1592" s="33" t="s">
        <v>1250</v>
      </c>
      <c r="F1592" s="33">
        <v>8.0</v>
      </c>
      <c r="G1592" s="36">
        <v>2021.0</v>
      </c>
      <c r="H1592" s="99" t="s">
        <v>58</v>
      </c>
      <c r="I1592" s="33" t="s">
        <v>77</v>
      </c>
      <c r="J1592" s="57">
        <v>2015.0</v>
      </c>
      <c r="K1592" s="82" t="s">
        <v>169</v>
      </c>
      <c r="L1592" s="37">
        <v>85.0</v>
      </c>
      <c r="M1592" s="72" t="s">
        <v>169</v>
      </c>
      <c r="N1592" s="17"/>
    </row>
    <row r="1593">
      <c r="A1593" s="9"/>
      <c r="B1593" s="38">
        <f t="shared" si="233"/>
        <v>1589</v>
      </c>
      <c r="C1593" s="70"/>
      <c r="D1593" s="48" t="s">
        <v>1270</v>
      </c>
      <c r="E1593" s="13" t="s">
        <v>1250</v>
      </c>
      <c r="F1593" s="13">
        <v>8.0</v>
      </c>
      <c r="G1593" s="35" t="str">
        <f>IF(C1593&gt;40908,"2012",IF(C1593&gt;40543,"2011",IF(C1593&gt;40178,"2010",IF(C1593&gt;=39814,"2009",IF(C1593&gt;=39448,"2008",IF(C1593&gt;39082,"2007",IF(C1593&lt;38717,"Pre-2006","2006")))))))</f>
        <v>Pre-2006</v>
      </c>
      <c r="H1593" s="98"/>
      <c r="I1593" s="71"/>
      <c r="J1593" s="61"/>
      <c r="K1593" s="62"/>
      <c r="L1593" s="63"/>
      <c r="M1593" s="59" t="str">
        <f t="shared" ref="M1593:M1610" si="298">if(iserror(K1593/L1593*100),"NA",K1593/L1593*100)</f>
        <v>NA</v>
      </c>
      <c r="N1593" s="17"/>
    </row>
    <row r="1594">
      <c r="A1594" s="9"/>
      <c r="B1594" s="38">
        <f t="shared" si="233"/>
        <v>1590</v>
      </c>
      <c r="C1594" s="34">
        <v>45478.0</v>
      </c>
      <c r="D1594" s="85" t="str">
        <f>hyperlink("https://www.rottentomatoes.com/m/a_family_affair_2024_2","Family Affair, A")</f>
        <v>Family Affair, A</v>
      </c>
      <c r="E1594" s="33" t="s">
        <v>1250</v>
      </c>
      <c r="F1594" s="33">
        <v>8.0</v>
      </c>
      <c r="G1594" s="36">
        <v>2024.0</v>
      </c>
      <c r="H1594" s="99" t="s">
        <v>58</v>
      </c>
      <c r="I1594" s="33" t="s">
        <v>77</v>
      </c>
      <c r="J1594" s="57">
        <v>2024.0</v>
      </c>
      <c r="K1594" s="58">
        <v>0.37</v>
      </c>
      <c r="L1594" s="37">
        <v>111.0</v>
      </c>
      <c r="M1594" s="59">
        <f t="shared" si="298"/>
        <v>0.3333333333</v>
      </c>
      <c r="N1594" s="17"/>
    </row>
    <row r="1595">
      <c r="A1595" s="9"/>
      <c r="B1595" s="38">
        <f t="shared" si="233"/>
        <v>1591</v>
      </c>
      <c r="C1595" s="34">
        <v>44913.0</v>
      </c>
      <c r="D1595" s="85" t="str">
        <f>hyperlink("https://www.rottentomatoes.com/m/first_wives_club","First Wive's Club, The")</f>
        <v>First Wive's Club, The</v>
      </c>
      <c r="E1595" s="33" t="s">
        <v>1250</v>
      </c>
      <c r="F1595" s="33">
        <v>8.0</v>
      </c>
      <c r="G1595" s="36">
        <v>2022.0</v>
      </c>
      <c r="H1595" s="99" t="s">
        <v>977</v>
      </c>
      <c r="I1595" s="33" t="s">
        <v>208</v>
      </c>
      <c r="J1595" s="57">
        <v>1996.0</v>
      </c>
      <c r="K1595" s="58">
        <v>0.5</v>
      </c>
      <c r="L1595" s="37">
        <v>102.0</v>
      </c>
      <c r="M1595" s="59">
        <f t="shared" si="298"/>
        <v>0.4901960784</v>
      </c>
      <c r="N1595" s="17"/>
    </row>
    <row r="1596">
      <c r="A1596" s="9"/>
      <c r="B1596" s="38">
        <f t="shared" si="233"/>
        <v>1592</v>
      </c>
      <c r="C1596" s="34">
        <v>42248.0</v>
      </c>
      <c r="D1596" s="85" t="str">
        <f>hyperlink("http://www.rottentomatoes.com/m/focus_2014/","Focus")</f>
        <v>Focus</v>
      </c>
      <c r="E1596" s="33" t="s">
        <v>1250</v>
      </c>
      <c r="F1596" s="33">
        <v>8.0</v>
      </c>
      <c r="G1596" s="33">
        <v>2015.0</v>
      </c>
      <c r="H1596" s="99" t="s">
        <v>126</v>
      </c>
      <c r="I1596" s="33" t="s">
        <v>126</v>
      </c>
      <c r="J1596" s="57">
        <v>2015.0</v>
      </c>
      <c r="K1596" s="58">
        <v>0.57</v>
      </c>
      <c r="L1596" s="37">
        <v>104.0</v>
      </c>
      <c r="M1596" s="59">
        <f t="shared" si="298"/>
        <v>0.5480769231</v>
      </c>
      <c r="N1596" s="17"/>
    </row>
    <row r="1597">
      <c r="A1597" s="9"/>
      <c r="B1597" s="38">
        <f t="shared" si="233"/>
        <v>1593</v>
      </c>
      <c r="C1597" s="34">
        <v>41011.0</v>
      </c>
      <c r="D1597" s="48" t="s">
        <v>275</v>
      </c>
      <c r="E1597" s="13" t="s">
        <v>1250</v>
      </c>
      <c r="F1597" s="13">
        <v>8.0</v>
      </c>
      <c r="G1597" s="13">
        <v>2012.0</v>
      </c>
      <c r="H1597" s="79" t="s">
        <v>126</v>
      </c>
      <c r="I1597" s="13" t="s">
        <v>399</v>
      </c>
      <c r="J1597" s="55">
        <v>2011.0</v>
      </c>
      <c r="K1597" s="56">
        <v>0.7</v>
      </c>
      <c r="L1597" s="14">
        <v>113.0</v>
      </c>
      <c r="M1597" s="16">
        <f t="shared" si="298"/>
        <v>0.6194690265</v>
      </c>
      <c r="N1597" s="17"/>
    </row>
    <row r="1598">
      <c r="A1598" s="9"/>
      <c r="B1598" s="38">
        <f t="shared" si="233"/>
        <v>1594</v>
      </c>
      <c r="C1598" s="34">
        <v>39312.0</v>
      </c>
      <c r="D1598" s="48" t="s">
        <v>1271</v>
      </c>
      <c r="E1598" s="13" t="s">
        <v>1250</v>
      </c>
      <c r="F1598" s="13">
        <v>8.0</v>
      </c>
      <c r="G1598" s="35" t="str">
        <f t="shared" ref="G1598:G1603" si="299">IF(C1598&gt;40908,"2012",IF(C1598&gt;40543,"2011",IF(C1598&gt;40178,"2010",IF(C1598&gt;=39814,"2009",IF(C1598&gt;=39448,"2008",IF(C1598&gt;39082,"2007",IF(C1598&lt;38717,"Pre-2006","2006")))))))</f>
        <v>2007</v>
      </c>
      <c r="H1598" s="13" t="s">
        <v>15</v>
      </c>
      <c r="I1598" s="13" t="s">
        <v>21</v>
      </c>
      <c r="J1598" s="61"/>
      <c r="K1598" s="62"/>
      <c r="L1598" s="63"/>
      <c r="M1598" s="59" t="str">
        <f t="shared" si="298"/>
        <v>NA</v>
      </c>
      <c r="N1598" s="17"/>
    </row>
    <row r="1599">
      <c r="A1599" s="9"/>
      <c r="B1599" s="38">
        <f t="shared" si="233"/>
        <v>1595</v>
      </c>
      <c r="C1599" s="34">
        <v>40575.0</v>
      </c>
      <c r="D1599" s="48" t="s">
        <v>1272</v>
      </c>
      <c r="E1599" s="13" t="s">
        <v>1250</v>
      </c>
      <c r="F1599" s="13">
        <v>8.0</v>
      </c>
      <c r="G1599" s="35" t="str">
        <f t="shared" si="299"/>
        <v>2011</v>
      </c>
      <c r="H1599" s="13" t="s">
        <v>25</v>
      </c>
      <c r="I1599" s="13" t="s">
        <v>47</v>
      </c>
      <c r="J1599" s="14">
        <v>2010.0</v>
      </c>
      <c r="K1599" s="15">
        <v>0.73</v>
      </c>
      <c r="L1599" s="14">
        <v>109.0</v>
      </c>
      <c r="M1599" s="16">
        <f t="shared" si="298"/>
        <v>0.6697247706</v>
      </c>
      <c r="N1599" s="17"/>
    </row>
    <row r="1600">
      <c r="A1600" s="9"/>
      <c r="B1600" s="38">
        <f t="shared" si="233"/>
        <v>1596</v>
      </c>
      <c r="C1600" s="70"/>
      <c r="D1600" s="48" t="s">
        <v>1273</v>
      </c>
      <c r="E1600" s="13" t="s">
        <v>1250</v>
      </c>
      <c r="F1600" s="13">
        <v>8.0</v>
      </c>
      <c r="G1600" s="35" t="str">
        <f t="shared" si="299"/>
        <v>Pre-2006</v>
      </c>
      <c r="H1600" s="98"/>
      <c r="I1600" s="71"/>
      <c r="J1600" s="61"/>
      <c r="K1600" s="62"/>
      <c r="L1600" s="63"/>
      <c r="M1600" s="59" t="str">
        <f t="shared" si="298"/>
        <v>NA</v>
      </c>
      <c r="N1600" s="17"/>
    </row>
    <row r="1601">
      <c r="A1601" s="9"/>
      <c r="B1601" s="38">
        <f t="shared" si="233"/>
        <v>1597</v>
      </c>
      <c r="C1601" s="34">
        <v>38936.0</v>
      </c>
      <c r="D1601" s="48" t="s">
        <v>1274</v>
      </c>
      <c r="E1601" s="13" t="s">
        <v>1250</v>
      </c>
      <c r="F1601" s="13">
        <v>8.0</v>
      </c>
      <c r="G1601" s="35" t="str">
        <f t="shared" si="299"/>
        <v>2006</v>
      </c>
      <c r="H1601" s="98"/>
      <c r="I1601" s="71"/>
      <c r="J1601" s="61"/>
      <c r="K1601" s="62"/>
      <c r="L1601" s="63"/>
      <c r="M1601" s="59" t="str">
        <f t="shared" si="298"/>
        <v>NA</v>
      </c>
      <c r="N1601" s="17"/>
    </row>
    <row r="1602">
      <c r="A1602" s="9"/>
      <c r="B1602" s="38">
        <f t="shared" si="233"/>
        <v>1598</v>
      </c>
      <c r="C1602" s="34">
        <v>40237.0</v>
      </c>
      <c r="D1602" s="48" t="s">
        <v>1275</v>
      </c>
      <c r="E1602" s="13" t="s">
        <v>1250</v>
      </c>
      <c r="F1602" s="13">
        <v>8.0</v>
      </c>
      <c r="G1602" s="35" t="str">
        <f t="shared" si="299"/>
        <v>2010</v>
      </c>
      <c r="H1602" s="13" t="s">
        <v>15</v>
      </c>
      <c r="I1602" s="13" t="s">
        <v>47</v>
      </c>
      <c r="J1602" s="14">
        <v>2009.0</v>
      </c>
      <c r="K1602" s="15">
        <v>0.26</v>
      </c>
      <c r="L1602" s="14">
        <v>90.0</v>
      </c>
      <c r="M1602" s="16">
        <f t="shared" si="298"/>
        <v>0.2888888889</v>
      </c>
      <c r="N1602" s="17"/>
    </row>
    <row r="1603">
      <c r="A1603" s="9"/>
      <c r="B1603" s="38">
        <f t="shared" si="233"/>
        <v>1599</v>
      </c>
      <c r="C1603" s="34">
        <v>40801.0</v>
      </c>
      <c r="D1603" s="48" t="s">
        <v>1276</v>
      </c>
      <c r="E1603" s="13" t="s">
        <v>1250</v>
      </c>
      <c r="F1603" s="13">
        <v>8.0</v>
      </c>
      <c r="G1603" s="35" t="str">
        <f t="shared" si="299"/>
        <v>2011</v>
      </c>
      <c r="H1603" s="13" t="s">
        <v>25</v>
      </c>
      <c r="I1603" s="13" t="s">
        <v>47</v>
      </c>
      <c r="J1603" s="14">
        <v>2011.0</v>
      </c>
      <c r="K1603" s="15">
        <v>0.35</v>
      </c>
      <c r="L1603" s="14">
        <v>106.0</v>
      </c>
      <c r="M1603" s="16">
        <f t="shared" si="298"/>
        <v>0.3301886792</v>
      </c>
      <c r="N1603" s="17"/>
    </row>
    <row r="1604">
      <c r="A1604" s="9"/>
      <c r="B1604" s="38">
        <f t="shared" si="233"/>
        <v>1600</v>
      </c>
      <c r="C1604" s="34">
        <v>45141.0</v>
      </c>
      <c r="D1604" s="12" t="str">
        <f>hyperlink("https://www.rottentomatoes.com/m/happiness_for_beginners","Happiness for Beginners")</f>
        <v>Happiness for Beginners</v>
      </c>
      <c r="E1604" s="33" t="s">
        <v>1250</v>
      </c>
      <c r="F1604" s="33">
        <v>8.0</v>
      </c>
      <c r="G1604" s="36">
        <v>2023.0</v>
      </c>
      <c r="H1604" s="99" t="s">
        <v>58</v>
      </c>
      <c r="I1604" s="33" t="s">
        <v>1277</v>
      </c>
      <c r="J1604" s="57">
        <v>2023.0</v>
      </c>
      <c r="K1604" s="58">
        <v>0.26</v>
      </c>
      <c r="L1604" s="37">
        <v>103.0</v>
      </c>
      <c r="M1604" s="16">
        <f t="shared" si="298"/>
        <v>0.2524271845</v>
      </c>
      <c r="N1604" s="17"/>
    </row>
    <row r="1605">
      <c r="A1605" s="9"/>
      <c r="B1605" s="38">
        <f t="shared" si="233"/>
        <v>1601</v>
      </c>
      <c r="C1605" s="70"/>
      <c r="D1605" s="48" t="s">
        <v>1278</v>
      </c>
      <c r="E1605" s="13" t="s">
        <v>1250</v>
      </c>
      <c r="F1605" s="13">
        <v>8.0</v>
      </c>
      <c r="G1605" s="35" t="str">
        <f t="shared" ref="G1605:G1606" si="300">IF(C1605&gt;40908,"2012",IF(C1605&gt;40543,"2011",IF(C1605&gt;40178,"2010",IF(C1605&gt;=39814,"2009",IF(C1605&gt;=39448,"2008",IF(C1605&gt;39082,"2007",IF(C1605&lt;38717,"Pre-2006","2006")))))))</f>
        <v>Pre-2006</v>
      </c>
      <c r="H1605" s="98"/>
      <c r="I1605" s="71"/>
      <c r="J1605" s="61"/>
      <c r="K1605" s="62"/>
      <c r="L1605" s="63"/>
      <c r="M1605" s="59" t="str">
        <f t="shared" si="298"/>
        <v>NA</v>
      </c>
      <c r="N1605" s="17"/>
    </row>
    <row r="1606">
      <c r="A1606" s="9"/>
      <c r="B1606" s="38">
        <f t="shared" si="233"/>
        <v>1602</v>
      </c>
      <c r="C1606" s="70"/>
      <c r="D1606" s="48" t="s">
        <v>1279</v>
      </c>
      <c r="E1606" s="13" t="s">
        <v>1250</v>
      </c>
      <c r="F1606" s="13">
        <v>8.0</v>
      </c>
      <c r="G1606" s="35" t="str">
        <f t="shared" si="300"/>
        <v>Pre-2006</v>
      </c>
      <c r="H1606" s="98"/>
      <c r="I1606" s="71"/>
      <c r="J1606" s="61"/>
      <c r="K1606" s="62"/>
      <c r="L1606" s="63"/>
      <c r="M1606" s="59" t="str">
        <f t="shared" si="298"/>
        <v>NA</v>
      </c>
      <c r="N1606" s="17"/>
    </row>
    <row r="1607">
      <c r="A1607" s="9"/>
      <c r="B1607" s="38">
        <f t="shared" si="233"/>
        <v>1603</v>
      </c>
      <c r="C1607" s="34">
        <v>43260.0</v>
      </c>
      <c r="D1607" s="12" t="str">
        <f>hyperlink("https://www.rottentomatoes.com/m/ibiza","Ibiza")</f>
        <v>Ibiza</v>
      </c>
      <c r="E1607" s="33" t="s">
        <v>1250</v>
      </c>
      <c r="F1607" s="33">
        <v>8.0</v>
      </c>
      <c r="G1607" s="36">
        <v>2018.0</v>
      </c>
      <c r="H1607" s="33" t="s">
        <v>58</v>
      </c>
      <c r="I1607" s="33" t="s">
        <v>77</v>
      </c>
      <c r="J1607" s="37">
        <v>2018.0</v>
      </c>
      <c r="K1607" s="15">
        <v>0.68</v>
      </c>
      <c r="L1607" s="37">
        <v>120.0</v>
      </c>
      <c r="M1607" s="59">
        <f t="shared" si="298"/>
        <v>0.5666666667</v>
      </c>
      <c r="N1607" s="17"/>
    </row>
    <row r="1608">
      <c r="A1608" s="9"/>
      <c r="B1608" s="38">
        <f t="shared" si="233"/>
        <v>1604</v>
      </c>
      <c r="C1608" s="34">
        <v>39631.0</v>
      </c>
      <c r="D1608" s="84" t="s">
        <v>1280</v>
      </c>
      <c r="E1608" s="13" t="s">
        <v>1250</v>
      </c>
      <c r="F1608" s="13">
        <v>8.0</v>
      </c>
      <c r="G1608" s="35" t="str">
        <f>IF(C1608&gt;40908,"2012",IF(C1608&gt;40543,"2011",IF(C1608&gt;40178,"2010",IF(C1608&gt;=39814,"2009",IF(C1608&gt;=39448,"2008",IF(C1608&gt;39082,"2007",IF(C1608&lt;38717,"Pre-2006","2006")))))))</f>
        <v>2008</v>
      </c>
      <c r="H1608" s="13" t="s">
        <v>15</v>
      </c>
      <c r="I1608" s="13" t="s">
        <v>26</v>
      </c>
      <c r="J1608" s="14">
        <v>2008.0</v>
      </c>
      <c r="K1608" s="15">
        <v>0.68</v>
      </c>
      <c r="L1608" s="14">
        <v>114.0</v>
      </c>
      <c r="M1608" s="16">
        <f t="shared" si="298"/>
        <v>0.5964912281</v>
      </c>
      <c r="N1608" s="17"/>
    </row>
    <row r="1609">
      <c r="A1609" s="9"/>
      <c r="B1609" s="38">
        <f t="shared" si="233"/>
        <v>1605</v>
      </c>
      <c r="C1609" s="34">
        <v>42244.0</v>
      </c>
      <c r="D1609" s="12" t="str">
        <f>hyperlink("http://www.rottentomatoes.com/m/insurgent/?search=insurgent","Insurgent")</f>
        <v>Insurgent</v>
      </c>
      <c r="E1609" s="33" t="s">
        <v>1250</v>
      </c>
      <c r="F1609" s="33">
        <v>8.0</v>
      </c>
      <c r="G1609" s="36">
        <v>2015.0</v>
      </c>
      <c r="H1609" s="99" t="s">
        <v>58</v>
      </c>
      <c r="I1609" s="33" t="s">
        <v>47</v>
      </c>
      <c r="J1609" s="57">
        <v>2015.0</v>
      </c>
      <c r="K1609" s="58">
        <v>0.3</v>
      </c>
      <c r="L1609" s="37">
        <v>119.0</v>
      </c>
      <c r="M1609" s="16">
        <f t="shared" si="298"/>
        <v>0.2521008403</v>
      </c>
      <c r="N1609" s="17"/>
    </row>
    <row r="1610">
      <c r="A1610" s="9"/>
      <c r="B1610" s="38">
        <f t="shared" si="233"/>
        <v>1606</v>
      </c>
      <c r="C1610" s="70"/>
      <c r="D1610" s="84" t="s">
        <v>1281</v>
      </c>
      <c r="E1610" s="13" t="s">
        <v>1250</v>
      </c>
      <c r="F1610" s="13">
        <v>8.0</v>
      </c>
      <c r="G1610" s="35" t="str">
        <f>IF(C1610&gt;40908,"2012",IF(C1610&gt;40543,"2011",IF(C1610&gt;40178,"2010",IF(C1610&gt;=39814,"2009",IF(C1610&gt;=39448,"2008",IF(C1610&gt;39082,"2007",IF(C1610&lt;38717,"Pre-2006","2006")))))))</f>
        <v>Pre-2006</v>
      </c>
      <c r="H1610" s="98"/>
      <c r="I1610" s="71"/>
      <c r="J1610" s="61"/>
      <c r="K1610" s="62"/>
      <c r="L1610" s="63"/>
      <c r="M1610" s="59" t="str">
        <f t="shared" si="298"/>
        <v>NA</v>
      </c>
      <c r="N1610" s="17"/>
    </row>
    <row r="1611">
      <c r="A1611" s="9"/>
      <c r="B1611" s="38">
        <f t="shared" si="233"/>
        <v>1607</v>
      </c>
      <c r="C1611" s="34">
        <v>42536.0</v>
      </c>
      <c r="D1611" s="12" t="str">
        <f>hyperlink("https://www.rottentomatoes.com/m/just_friends/?search=just%20friends","Just Friends")</f>
        <v>Just Friends</v>
      </c>
      <c r="E1611" s="33" t="s">
        <v>1250</v>
      </c>
      <c r="F1611" s="33">
        <v>8.0</v>
      </c>
      <c r="G1611" s="36">
        <v>2016.0</v>
      </c>
      <c r="H1611" s="33" t="s">
        <v>58</v>
      </c>
      <c r="I1611" s="33" t="s">
        <v>77</v>
      </c>
      <c r="J1611" s="57">
        <v>2005.0</v>
      </c>
      <c r="K1611" s="58">
        <v>0.42</v>
      </c>
      <c r="L1611" s="37">
        <v>94.0</v>
      </c>
      <c r="M1611" s="59">
        <f t="shared" ref="M1611:M1612" si="301">K1611/L1611*100</f>
        <v>0.4468085106</v>
      </c>
      <c r="N1611" s="17"/>
    </row>
    <row r="1612">
      <c r="A1612" s="9"/>
      <c r="B1612" s="38">
        <f t="shared" si="233"/>
        <v>1608</v>
      </c>
      <c r="C1612" s="34">
        <v>44703.0</v>
      </c>
      <c r="D1612" s="12" t="str">
        <f>hyperlink("https://www.rottentomatoes.com/m/a_kid_from_coney_island","Kid from Coney Island, A")</f>
        <v>Kid from Coney Island, A</v>
      </c>
      <c r="E1612" s="33" t="s">
        <v>1250</v>
      </c>
      <c r="F1612" s="33">
        <v>8.0</v>
      </c>
      <c r="G1612" s="36">
        <v>2022.0</v>
      </c>
      <c r="H1612" s="33" t="s">
        <v>58</v>
      </c>
      <c r="I1612" s="33" t="s">
        <v>77</v>
      </c>
      <c r="J1612" s="57">
        <v>2019.0</v>
      </c>
      <c r="K1612" s="58">
        <v>1.0</v>
      </c>
      <c r="L1612" s="37">
        <v>95.0</v>
      </c>
      <c r="M1612" s="59">
        <f t="shared" si="301"/>
        <v>1.052631579</v>
      </c>
      <c r="N1612" s="17"/>
    </row>
    <row r="1613">
      <c r="A1613" s="9"/>
      <c r="B1613" s="38">
        <f t="shared" si="233"/>
        <v>1609</v>
      </c>
      <c r="C1613" s="34">
        <v>39395.0</v>
      </c>
      <c r="D1613" s="84" t="s">
        <v>1282</v>
      </c>
      <c r="E1613" s="13" t="s">
        <v>1250</v>
      </c>
      <c r="F1613" s="13">
        <v>8.0</v>
      </c>
      <c r="G1613" s="35" t="str">
        <f t="shared" ref="G1613:G1614" si="302">IF(C1613&gt;40908,"2012",IF(C1613&gt;40543,"2011",IF(C1613&gt;40178,"2010",IF(C1613&gt;=39814,"2009",IF(C1613&gt;=39448,"2008",IF(C1613&gt;39082,"2007",IF(C1613&lt;38717,"Pre-2006","2006")))))))</f>
        <v>2007</v>
      </c>
      <c r="H1613" s="13" t="s">
        <v>17</v>
      </c>
      <c r="I1613" s="13" t="s">
        <v>26</v>
      </c>
      <c r="J1613" s="61"/>
      <c r="K1613" s="62"/>
      <c r="L1613" s="63"/>
      <c r="M1613" s="59" t="str">
        <f t="shared" ref="M1613:M1664" si="303">if(iserror(K1613/L1613*100),"NA",K1613/L1613*100)</f>
        <v>NA</v>
      </c>
      <c r="N1613" s="17"/>
    </row>
    <row r="1614">
      <c r="A1614" s="9"/>
      <c r="B1614" s="38">
        <f t="shared" si="233"/>
        <v>1610</v>
      </c>
      <c r="C1614" s="34">
        <v>39863.0</v>
      </c>
      <c r="D1614" s="84" t="s">
        <v>1283</v>
      </c>
      <c r="E1614" s="13" t="s">
        <v>1250</v>
      </c>
      <c r="F1614" s="13">
        <v>8.0</v>
      </c>
      <c r="G1614" s="35" t="str">
        <f t="shared" si="302"/>
        <v>2009</v>
      </c>
      <c r="H1614" s="13" t="s">
        <v>27</v>
      </c>
      <c r="I1614" s="13" t="s">
        <v>47</v>
      </c>
      <c r="J1614" s="14">
        <v>2008.0</v>
      </c>
      <c r="K1614" s="15">
        <v>0.69</v>
      </c>
      <c r="L1614" s="14">
        <v>92.0</v>
      </c>
      <c r="M1614" s="16">
        <f t="shared" si="303"/>
        <v>0.75</v>
      </c>
      <c r="N1614" s="17"/>
    </row>
    <row r="1615">
      <c r="A1615" s="9"/>
      <c r="B1615" s="38">
        <f t="shared" si="233"/>
        <v>1611</v>
      </c>
      <c r="C1615" s="34">
        <v>43375.0</v>
      </c>
      <c r="D1615" s="12" t="str">
        <f>hyperlink("https://www.rottentomatoes.com/m/like_father_2018","Like Father")</f>
        <v>Like Father</v>
      </c>
      <c r="E1615" s="33" t="s">
        <v>1250</v>
      </c>
      <c r="F1615" s="33">
        <v>8.0</v>
      </c>
      <c r="G1615" s="36">
        <v>2018.0</v>
      </c>
      <c r="H1615" s="99" t="s">
        <v>58</v>
      </c>
      <c r="I1615" s="33" t="s">
        <v>77</v>
      </c>
      <c r="J1615" s="57">
        <v>2018.0</v>
      </c>
      <c r="K1615" s="58">
        <v>0.48</v>
      </c>
      <c r="L1615" s="37">
        <v>98.0</v>
      </c>
      <c r="M1615" s="16">
        <f t="shared" si="303"/>
        <v>0.4897959184</v>
      </c>
      <c r="N1615" s="17"/>
    </row>
    <row r="1616">
      <c r="A1616" s="9"/>
      <c r="B1616" s="38">
        <f t="shared" si="233"/>
        <v>1612</v>
      </c>
      <c r="C1616" s="70"/>
      <c r="D1616" s="84" t="s">
        <v>1284</v>
      </c>
      <c r="E1616" s="13" t="s">
        <v>1250</v>
      </c>
      <c r="F1616" s="13">
        <v>8.0</v>
      </c>
      <c r="G1616" s="35" t="str">
        <f t="shared" ref="G1616:G1619" si="304">IF(C1616&gt;40908,"2012",IF(C1616&gt;40543,"2011",IF(C1616&gt;40178,"2010",IF(C1616&gt;=39814,"2009",IF(C1616&gt;=39448,"2008",IF(C1616&gt;39082,"2007",IF(C1616&lt;38717,"Pre-2006","2006")))))))</f>
        <v>Pre-2006</v>
      </c>
      <c r="H1616" s="98"/>
      <c r="I1616" s="71"/>
      <c r="J1616" s="61"/>
      <c r="K1616" s="62"/>
      <c r="L1616" s="63"/>
      <c r="M1616" s="59" t="str">
        <f t="shared" si="303"/>
        <v>NA</v>
      </c>
      <c r="N1616" s="17"/>
    </row>
    <row r="1617">
      <c r="A1617" s="9"/>
      <c r="B1617" s="38">
        <f t="shared" si="233"/>
        <v>1613</v>
      </c>
      <c r="C1617" s="70"/>
      <c r="D1617" s="48" t="s">
        <v>1285</v>
      </c>
      <c r="E1617" s="13" t="s">
        <v>1250</v>
      </c>
      <c r="F1617" s="13">
        <v>8.0</v>
      </c>
      <c r="G1617" s="35" t="str">
        <f t="shared" si="304"/>
        <v>Pre-2006</v>
      </c>
      <c r="H1617" s="98"/>
      <c r="I1617" s="71"/>
      <c r="J1617" s="61"/>
      <c r="K1617" s="62"/>
      <c r="L1617" s="63"/>
      <c r="M1617" s="59" t="str">
        <f t="shared" si="303"/>
        <v>NA</v>
      </c>
      <c r="N1617" s="17"/>
    </row>
    <row r="1618">
      <c r="A1618" s="9"/>
      <c r="B1618" s="38">
        <f t="shared" si="233"/>
        <v>1614</v>
      </c>
      <c r="C1618" s="70"/>
      <c r="D1618" s="48" t="s">
        <v>1286</v>
      </c>
      <c r="E1618" s="13" t="s">
        <v>1250</v>
      </c>
      <c r="F1618" s="13">
        <v>8.0</v>
      </c>
      <c r="G1618" s="35" t="str">
        <f t="shared" si="304"/>
        <v>Pre-2006</v>
      </c>
      <c r="H1618" s="98"/>
      <c r="I1618" s="71"/>
      <c r="J1618" s="61"/>
      <c r="K1618" s="62"/>
      <c r="L1618" s="63"/>
      <c r="M1618" s="59" t="str">
        <f t="shared" si="303"/>
        <v>NA</v>
      </c>
      <c r="N1618" s="17"/>
    </row>
    <row r="1619">
      <c r="A1619" s="9"/>
      <c r="B1619" s="38">
        <f t="shared" si="233"/>
        <v>1615</v>
      </c>
      <c r="C1619" s="70"/>
      <c r="D1619" s="48" t="s">
        <v>1287</v>
      </c>
      <c r="E1619" s="13" t="s">
        <v>1250</v>
      </c>
      <c r="F1619" s="13">
        <v>8.0</v>
      </c>
      <c r="G1619" s="35" t="str">
        <f t="shared" si="304"/>
        <v>Pre-2006</v>
      </c>
      <c r="H1619" s="98"/>
      <c r="I1619" s="71"/>
      <c r="J1619" s="61"/>
      <c r="K1619" s="62"/>
      <c r="L1619" s="63"/>
      <c r="M1619" s="59" t="str">
        <f t="shared" si="303"/>
        <v>NA</v>
      </c>
      <c r="N1619" s="17"/>
    </row>
    <row r="1620" ht="12.75" customHeight="1">
      <c r="A1620" s="9"/>
      <c r="B1620" s="38">
        <f t="shared" si="233"/>
        <v>1616</v>
      </c>
      <c r="C1620" s="75">
        <v>43637.0</v>
      </c>
      <c r="D1620" s="12" t="str">
        <f>hyperlink("https://rottentomatoes.com/m/murder_mystery","Murder Mystery")</f>
        <v>Murder Mystery</v>
      </c>
      <c r="E1620" s="33" t="s">
        <v>1250</v>
      </c>
      <c r="F1620" s="33">
        <v>8.0</v>
      </c>
      <c r="G1620" s="36">
        <v>2019.0</v>
      </c>
      <c r="H1620" s="99" t="s">
        <v>58</v>
      </c>
      <c r="I1620" s="33" t="s">
        <v>1288</v>
      </c>
      <c r="J1620" s="57">
        <v>2019.0</v>
      </c>
      <c r="K1620" s="58">
        <v>0.45</v>
      </c>
      <c r="L1620" s="37">
        <v>100.0</v>
      </c>
      <c r="M1620" s="59">
        <f t="shared" si="303"/>
        <v>0.45</v>
      </c>
      <c r="N1620" s="17"/>
    </row>
    <row r="1621">
      <c r="A1621" s="9"/>
      <c r="B1621" s="38">
        <f t="shared" si="233"/>
        <v>1617</v>
      </c>
      <c r="C1621" s="70"/>
      <c r="D1621" s="48" t="s">
        <v>1289</v>
      </c>
      <c r="E1621" s="13" t="s">
        <v>1250</v>
      </c>
      <c r="F1621" s="13">
        <v>8.0</v>
      </c>
      <c r="G1621" s="35" t="str">
        <f t="shared" ref="G1621:G1622" si="305">IF(C1621&gt;40908,"2012",IF(C1621&gt;40543,"2011",IF(C1621&gt;40178,"2010",IF(C1621&gt;=39814,"2009",IF(C1621&gt;=39448,"2008",IF(C1621&gt;39082,"2007",IF(C1621&lt;38717,"Pre-2006","2006")))))))</f>
        <v>Pre-2006</v>
      </c>
      <c r="H1621" s="98"/>
      <c r="I1621" s="71"/>
      <c r="J1621" s="61"/>
      <c r="K1621" s="62"/>
      <c r="L1621" s="63"/>
      <c r="M1621" s="59" t="str">
        <f t="shared" si="303"/>
        <v>NA</v>
      </c>
      <c r="N1621" s="17"/>
    </row>
    <row r="1622">
      <c r="A1622" s="9"/>
      <c r="B1622" s="38">
        <f t="shared" si="233"/>
        <v>1618</v>
      </c>
      <c r="C1622" s="34">
        <v>39683.0</v>
      </c>
      <c r="D1622" s="48" t="s">
        <v>1290</v>
      </c>
      <c r="E1622" s="13" t="s">
        <v>1250</v>
      </c>
      <c r="F1622" s="13">
        <v>8.0</v>
      </c>
      <c r="G1622" s="35" t="str">
        <f t="shared" si="305"/>
        <v>2008</v>
      </c>
      <c r="H1622" s="13" t="s">
        <v>155</v>
      </c>
      <c r="I1622" s="13" t="s">
        <v>511</v>
      </c>
      <c r="J1622" s="14">
        <v>2006.0</v>
      </c>
      <c r="K1622" s="15">
        <v>0.44</v>
      </c>
      <c r="L1622" s="14">
        <v>108.0</v>
      </c>
      <c r="M1622" s="16">
        <f t="shared" si="303"/>
        <v>0.4074074074</v>
      </c>
      <c r="N1622" s="17"/>
    </row>
    <row r="1623">
      <c r="A1623" s="9"/>
      <c r="B1623" s="38">
        <f t="shared" si="233"/>
        <v>1619</v>
      </c>
      <c r="C1623" s="34">
        <v>45113.0</v>
      </c>
      <c r="D1623" s="12" t="str">
        <f>hyperlink("https://www.rottentomatoes.com/m/no_hard_feelings_2023","No Hard Feelings")</f>
        <v>No Hard Feelings</v>
      </c>
      <c r="E1623" s="33" t="s">
        <v>1250</v>
      </c>
      <c r="F1623" s="33">
        <v>8.0</v>
      </c>
      <c r="G1623" s="36">
        <v>2023.0</v>
      </c>
      <c r="H1623" s="33" t="s">
        <v>25</v>
      </c>
      <c r="I1623" s="33" t="s">
        <v>26</v>
      </c>
      <c r="J1623" s="37">
        <v>2023.0</v>
      </c>
      <c r="K1623" s="15">
        <v>0.7</v>
      </c>
      <c r="L1623" s="37">
        <v>103.0</v>
      </c>
      <c r="M1623" s="16">
        <f t="shared" si="303"/>
        <v>0.6796116505</v>
      </c>
      <c r="N1623" s="17"/>
    </row>
    <row r="1624">
      <c r="A1624" s="9"/>
      <c r="B1624" s="38">
        <f t="shared" si="233"/>
        <v>1620</v>
      </c>
      <c r="C1624" s="34">
        <v>40664.0</v>
      </c>
      <c r="D1624" s="48" t="s">
        <v>1291</v>
      </c>
      <c r="E1624" s="13" t="s">
        <v>1250</v>
      </c>
      <c r="F1624" s="13">
        <v>8.0</v>
      </c>
      <c r="G1624" s="35" t="str">
        <f>IF(C1624&gt;40908,"2012",IF(C1624&gt;40543,"2011",IF(C1624&gt;40178,"2010",IF(C1624&gt;=39814,"2009",IF(C1624&gt;=39448,"2008",IF(C1624&gt;39082,"2007",IF(C1624&lt;38717,"Pre-2006","2006")))))))</f>
        <v>2011</v>
      </c>
      <c r="H1624" s="13" t="s">
        <v>25</v>
      </c>
      <c r="I1624" s="13" t="s">
        <v>47</v>
      </c>
      <c r="J1624" s="14">
        <v>2011.0</v>
      </c>
      <c r="K1624" s="15">
        <v>0.49</v>
      </c>
      <c r="L1624" s="14">
        <v>108.0</v>
      </c>
      <c r="M1624" s="16">
        <f t="shared" si="303"/>
        <v>0.4537037037</v>
      </c>
      <c r="N1624" s="17"/>
    </row>
    <row r="1625">
      <c r="A1625" s="9"/>
      <c r="B1625" s="38">
        <f t="shared" si="233"/>
        <v>1621</v>
      </c>
      <c r="C1625" s="34">
        <v>41988.0</v>
      </c>
      <c r="D1625" s="12" t="str">
        <f>hyperlink("http://www.rottentomatoes.com/m/now_you_see_me/?search=now%20you%20see%20me","Now You See Me")</f>
        <v>Now You See Me</v>
      </c>
      <c r="E1625" s="13" t="s">
        <v>1250</v>
      </c>
      <c r="F1625" s="13">
        <v>8.0</v>
      </c>
      <c r="G1625" s="13">
        <v>2013.0</v>
      </c>
      <c r="H1625" s="79" t="s">
        <v>25</v>
      </c>
      <c r="I1625" s="13" t="s">
        <v>47</v>
      </c>
      <c r="J1625" s="55">
        <v>2013.0</v>
      </c>
      <c r="K1625" s="56">
        <v>0.5</v>
      </c>
      <c r="L1625" s="14">
        <v>115.0</v>
      </c>
      <c r="M1625" s="16">
        <f t="shared" si="303"/>
        <v>0.4347826087</v>
      </c>
      <c r="N1625" s="17"/>
    </row>
    <row r="1626">
      <c r="A1626" s="9"/>
      <c r="B1626" s="38">
        <f t="shared" si="233"/>
        <v>1622</v>
      </c>
      <c r="C1626" s="70"/>
      <c r="D1626" s="48" t="s">
        <v>1292</v>
      </c>
      <c r="E1626" s="13" t="s">
        <v>1250</v>
      </c>
      <c r="F1626" s="13">
        <v>8.0</v>
      </c>
      <c r="G1626" s="35" t="str">
        <f>IF(C1626&gt;40908,"2012",IF(C1626&gt;40543,"2011",IF(C1626&gt;40178,"2010",IF(C1626&gt;=39814,"2009",IF(C1626&gt;=39448,"2008",IF(C1626&gt;39082,"2007",IF(C1626&lt;38717,"Pre-2006","2006")))))))</f>
        <v>Pre-2006</v>
      </c>
      <c r="H1626" s="98"/>
      <c r="I1626" s="71"/>
      <c r="J1626" s="61"/>
      <c r="K1626" s="62"/>
      <c r="L1626" s="63"/>
      <c r="M1626" s="59" t="str">
        <f t="shared" si="303"/>
        <v>NA</v>
      </c>
      <c r="N1626" s="17"/>
    </row>
    <row r="1627">
      <c r="A1627" s="9"/>
      <c r="B1627" s="38">
        <f t="shared" si="233"/>
        <v>1623</v>
      </c>
      <c r="C1627" s="34">
        <v>45310.0</v>
      </c>
      <c r="D1627" s="12" t="str">
        <f>hyperlink("https://www.rottentomatoes.com/m/pain_hustlers","Pain Hustlers")</f>
        <v>Pain Hustlers</v>
      </c>
      <c r="E1627" s="33" t="s">
        <v>1250</v>
      </c>
      <c r="F1627" s="33">
        <v>8.0</v>
      </c>
      <c r="G1627" s="36">
        <v>2024.0</v>
      </c>
      <c r="H1627" s="99" t="s">
        <v>25</v>
      </c>
      <c r="I1627" s="33" t="s">
        <v>47</v>
      </c>
      <c r="J1627" s="57">
        <v>2023.0</v>
      </c>
      <c r="K1627" s="58">
        <v>0.23</v>
      </c>
      <c r="L1627" s="37">
        <v>122.0</v>
      </c>
      <c r="M1627" s="16">
        <f t="shared" si="303"/>
        <v>0.1885245902</v>
      </c>
      <c r="N1627" s="17"/>
    </row>
    <row r="1628">
      <c r="A1628" s="9"/>
      <c r="B1628" s="38">
        <f t="shared" si="233"/>
        <v>1624</v>
      </c>
      <c r="C1628" s="34">
        <v>41995.0</v>
      </c>
      <c r="D1628" s="12" t="str">
        <f>hyperlink("http://www.rottentomatoes.com/m/park_avenue_money_power_and_the_american_dream/?search=park%20avenue","Park Avenue: Money, Power, and the American Dream")</f>
        <v>Park Avenue: Money, Power, and the American Dream</v>
      </c>
      <c r="E1628" s="13" t="s">
        <v>1250</v>
      </c>
      <c r="F1628" s="13">
        <v>8.0</v>
      </c>
      <c r="G1628" s="13">
        <v>2014.0</v>
      </c>
      <c r="H1628" s="79" t="s">
        <v>25</v>
      </c>
      <c r="I1628" s="13" t="s">
        <v>47</v>
      </c>
      <c r="J1628" s="55">
        <v>2012.0</v>
      </c>
      <c r="K1628" s="88" t="s">
        <v>169</v>
      </c>
      <c r="L1628" s="14">
        <v>59.0</v>
      </c>
      <c r="M1628" s="89" t="str">
        <f t="shared" si="303"/>
        <v>NA</v>
      </c>
      <c r="N1628" s="17"/>
    </row>
    <row r="1629">
      <c r="A1629" s="9"/>
      <c r="B1629" s="38">
        <f t="shared" si="233"/>
        <v>1625</v>
      </c>
      <c r="C1629" s="34">
        <v>45050.0</v>
      </c>
      <c r="D1629" s="12" t="str">
        <f>hyperlink("https://www.rottentomatoes.com/m/peter_pan_and_wendy","Peter Pan and Wendy")</f>
        <v>Peter Pan and Wendy</v>
      </c>
      <c r="E1629" s="33" t="s">
        <v>1250</v>
      </c>
      <c r="F1629" s="33">
        <v>8.0</v>
      </c>
      <c r="G1629" s="36">
        <v>2023.0</v>
      </c>
      <c r="H1629" s="33" t="s">
        <v>25</v>
      </c>
      <c r="I1629" s="33" t="s">
        <v>264</v>
      </c>
      <c r="J1629" s="37">
        <v>2023.0</v>
      </c>
      <c r="K1629" s="15">
        <v>0.64</v>
      </c>
      <c r="L1629" s="37">
        <v>106.0</v>
      </c>
      <c r="M1629" s="16">
        <f t="shared" si="303"/>
        <v>0.6037735849</v>
      </c>
      <c r="N1629" s="17"/>
    </row>
    <row r="1630">
      <c r="A1630" s="9"/>
      <c r="B1630" s="38">
        <f t="shared" si="233"/>
        <v>1626</v>
      </c>
      <c r="C1630" s="34">
        <v>44551.0</v>
      </c>
      <c r="D1630" s="12" t="str">
        <f>hyperlink("https://www.rottentomatoes.com/m/pitch_perfect","Pitch Perfect")</f>
        <v>Pitch Perfect</v>
      </c>
      <c r="E1630" s="33" t="s">
        <v>1250</v>
      </c>
      <c r="F1630" s="33">
        <v>8.0</v>
      </c>
      <c r="G1630" s="36">
        <v>2021.0</v>
      </c>
      <c r="H1630" s="33" t="s">
        <v>58</v>
      </c>
      <c r="I1630" s="33" t="s">
        <v>471</v>
      </c>
      <c r="J1630" s="37">
        <v>2012.0</v>
      </c>
      <c r="K1630" s="15">
        <v>0.81</v>
      </c>
      <c r="L1630" s="37">
        <v>112.0</v>
      </c>
      <c r="M1630" s="16">
        <f t="shared" si="303"/>
        <v>0.7232142857</v>
      </c>
      <c r="N1630" s="17"/>
    </row>
    <row r="1631">
      <c r="A1631" s="9"/>
      <c r="B1631" s="38">
        <f t="shared" si="233"/>
        <v>1627</v>
      </c>
      <c r="C1631" s="34">
        <v>40031.0</v>
      </c>
      <c r="D1631" s="48" t="s">
        <v>1293</v>
      </c>
      <c r="E1631" s="13" t="s">
        <v>1250</v>
      </c>
      <c r="F1631" s="13">
        <v>8.0</v>
      </c>
      <c r="G1631" s="35" t="str">
        <f>IF(C1631&gt;40908,"2012",IF(C1631&gt;40543,"2011",IF(C1631&gt;40178,"2010",IF(C1631&gt;=39814,"2009",IF(C1631&gt;=39448,"2008",IF(C1631&gt;39082,"2007",IF(C1631&lt;38717,"Pre-2006","2006")))))))</f>
        <v>2009</v>
      </c>
      <c r="H1631" s="13" t="s">
        <v>126</v>
      </c>
      <c r="I1631" s="13" t="s">
        <v>47</v>
      </c>
      <c r="J1631" s="14">
        <v>2009.0</v>
      </c>
      <c r="K1631" s="15">
        <v>0.44</v>
      </c>
      <c r="L1631" s="14">
        <v>108.0</v>
      </c>
      <c r="M1631" s="16">
        <f t="shared" si="303"/>
        <v>0.4074074074</v>
      </c>
      <c r="N1631" s="17"/>
    </row>
    <row r="1632">
      <c r="A1632" s="9"/>
      <c r="B1632" s="38">
        <f t="shared" si="233"/>
        <v>1628</v>
      </c>
      <c r="C1632" s="34">
        <v>41839.0</v>
      </c>
      <c r="D1632" s="12" t="str">
        <f>hyperlink("http://www.rottentomatoes.com/m/pretty_in_pink/","Pretty In Pink")</f>
        <v>Pretty In Pink</v>
      </c>
      <c r="E1632" s="13" t="s">
        <v>1250</v>
      </c>
      <c r="F1632" s="13">
        <v>8.0</v>
      </c>
      <c r="G1632" s="13">
        <v>2014.0</v>
      </c>
      <c r="H1632" s="13" t="s">
        <v>27</v>
      </c>
      <c r="I1632" s="13" t="s">
        <v>47</v>
      </c>
      <c r="J1632" s="55">
        <v>1986.0</v>
      </c>
      <c r="K1632" s="56">
        <v>0.79</v>
      </c>
      <c r="L1632" s="14">
        <v>96.0</v>
      </c>
      <c r="M1632" s="16">
        <f t="shared" si="303"/>
        <v>0.8229166667</v>
      </c>
      <c r="N1632" s="17"/>
    </row>
    <row r="1633">
      <c r="A1633" s="9"/>
      <c r="B1633" s="38">
        <f t="shared" si="233"/>
        <v>1629</v>
      </c>
      <c r="C1633" s="34">
        <v>44595.0</v>
      </c>
      <c r="D1633" s="12" t="str">
        <f>hyperlink("https://www.rottentomatoes.com/m/red_notice","Red Notice")</f>
        <v>Red Notice</v>
      </c>
      <c r="E1633" s="33" t="s">
        <v>1250</v>
      </c>
      <c r="F1633" s="33">
        <v>8.0</v>
      </c>
      <c r="G1633" s="36">
        <v>2022.0</v>
      </c>
      <c r="H1633" s="33" t="s">
        <v>58</v>
      </c>
      <c r="I1633" s="33" t="s">
        <v>77</v>
      </c>
      <c r="J1633" s="57">
        <v>2021.0</v>
      </c>
      <c r="K1633" s="58">
        <v>0.37</v>
      </c>
      <c r="L1633" s="37">
        <v>107.0</v>
      </c>
      <c r="M1633" s="16">
        <f t="shared" si="303"/>
        <v>0.3457943925</v>
      </c>
      <c r="N1633" s="17"/>
    </row>
    <row r="1634">
      <c r="A1634" s="9"/>
      <c r="B1634" s="38">
        <f t="shared" si="233"/>
        <v>1630</v>
      </c>
      <c r="C1634" s="34">
        <v>39324.0</v>
      </c>
      <c r="D1634" s="48" t="s">
        <v>1294</v>
      </c>
      <c r="E1634" s="13" t="s">
        <v>1250</v>
      </c>
      <c r="F1634" s="13">
        <v>8.0</v>
      </c>
      <c r="G1634" s="35" t="str">
        <f>IF(C1634&gt;40908,"2012",IF(C1634&gt;40543,"2011",IF(C1634&gt;40178,"2010",IF(C1634&gt;=39814,"2009",IF(C1634&gt;=39448,"2008",IF(C1634&gt;39082,"2007",IF(C1634&lt;38717,"Pre-2006","2006")))))))</f>
        <v>2007</v>
      </c>
      <c r="H1634" s="13" t="s">
        <v>103</v>
      </c>
      <c r="I1634" s="13" t="s">
        <v>47</v>
      </c>
      <c r="J1634" s="61"/>
      <c r="K1634" s="62"/>
      <c r="L1634" s="63"/>
      <c r="M1634" s="59" t="str">
        <f t="shared" si="303"/>
        <v>NA</v>
      </c>
      <c r="N1634" s="17"/>
    </row>
    <row r="1635">
      <c r="A1635" s="9"/>
      <c r="B1635" s="38">
        <f t="shared" si="233"/>
        <v>1631</v>
      </c>
      <c r="C1635" s="34">
        <v>41195.0</v>
      </c>
      <c r="D1635" s="48" t="s">
        <v>1295</v>
      </c>
      <c r="E1635" s="13" t="s">
        <v>1250</v>
      </c>
      <c r="F1635" s="13">
        <v>8.0</v>
      </c>
      <c r="G1635" s="13">
        <v>2012.0</v>
      </c>
      <c r="H1635" s="79" t="s">
        <v>25</v>
      </c>
      <c r="I1635" s="13" t="s">
        <v>47</v>
      </c>
      <c r="J1635" s="55">
        <v>2012.0</v>
      </c>
      <c r="K1635" s="56">
        <v>0.41</v>
      </c>
      <c r="L1635" s="14">
        <v>123.0</v>
      </c>
      <c r="M1635" s="16">
        <f t="shared" si="303"/>
        <v>0.3333333333</v>
      </c>
      <c r="N1635" s="17"/>
    </row>
    <row r="1636">
      <c r="A1636" s="9"/>
      <c r="B1636" s="38">
        <f t="shared" si="233"/>
        <v>1632</v>
      </c>
      <c r="C1636" s="34">
        <v>44650.0</v>
      </c>
      <c r="D1636" s="12" t="str">
        <f>hyperlink("https://www.rottentomatoes.com/m/ronnie_coleman_the_king","Ronnie Coleman: The King")</f>
        <v>Ronnie Coleman: The King</v>
      </c>
      <c r="E1636" s="33" t="s">
        <v>1250</v>
      </c>
      <c r="F1636" s="33">
        <v>8.0</v>
      </c>
      <c r="G1636" s="36">
        <v>2022.0</v>
      </c>
      <c r="H1636" s="99" t="s">
        <v>58</v>
      </c>
      <c r="I1636" s="33" t="s">
        <v>77</v>
      </c>
      <c r="J1636" s="57">
        <v>2022.0</v>
      </c>
      <c r="K1636" s="82" t="s">
        <v>169</v>
      </c>
      <c r="L1636" s="37">
        <v>93.0</v>
      </c>
      <c r="M1636" s="16" t="str">
        <f t="shared" si="303"/>
        <v>NA</v>
      </c>
      <c r="N1636" s="17"/>
    </row>
    <row r="1637">
      <c r="A1637" s="9"/>
      <c r="B1637" s="38">
        <f t="shared" si="233"/>
        <v>1633</v>
      </c>
      <c r="C1637" s="70"/>
      <c r="D1637" s="48" t="s">
        <v>1296</v>
      </c>
      <c r="E1637" s="13" t="s">
        <v>1250</v>
      </c>
      <c r="F1637" s="13">
        <v>8.0</v>
      </c>
      <c r="G1637" s="35" t="str">
        <f>IF(C1637&gt;40908,"2012",IF(C1637&gt;40543,"2011",IF(C1637&gt;40178,"2010",IF(C1637&gt;=39814,"2009",IF(C1637&gt;=39448,"2008",IF(C1637&gt;39082,"2007",IF(C1637&lt;38717,"Pre-2006","2006")))))))</f>
        <v>Pre-2006</v>
      </c>
      <c r="H1637" s="98"/>
      <c r="I1637" s="71"/>
      <c r="J1637" s="61"/>
      <c r="K1637" s="62"/>
      <c r="L1637" s="63"/>
      <c r="M1637" s="59" t="str">
        <f t="shared" si="303"/>
        <v>NA</v>
      </c>
      <c r="N1637" s="17"/>
    </row>
    <row r="1638">
      <c r="A1638" s="9"/>
      <c r="B1638" s="38">
        <f t="shared" si="233"/>
        <v>1634</v>
      </c>
      <c r="C1638" s="34">
        <v>45016.0</v>
      </c>
      <c r="D1638" s="12" t="str">
        <f>hyperlink("https://www.rottentomatoes.com/m/sharper","Sharper")</f>
        <v>Sharper</v>
      </c>
      <c r="E1638" s="33" t="s">
        <v>1250</v>
      </c>
      <c r="F1638" s="33">
        <v>8.0</v>
      </c>
      <c r="G1638" s="36">
        <v>2023.0</v>
      </c>
      <c r="H1638" s="33" t="s">
        <v>373</v>
      </c>
      <c r="I1638" s="33" t="s">
        <v>1297</v>
      </c>
      <c r="J1638" s="57">
        <v>2023.0</v>
      </c>
      <c r="K1638" s="58">
        <v>0.69</v>
      </c>
      <c r="L1638" s="37">
        <v>116.0</v>
      </c>
      <c r="M1638" s="16">
        <f t="shared" si="303"/>
        <v>0.5948275862</v>
      </c>
      <c r="N1638" s="17"/>
    </row>
    <row r="1639">
      <c r="A1639" s="9"/>
      <c r="B1639" s="38">
        <f t="shared" si="233"/>
        <v>1635</v>
      </c>
      <c r="C1639" s="34">
        <v>44751.0</v>
      </c>
      <c r="D1639" s="12" t="str">
        <f>hyperlink("https://www.rottentomatoes.com/m/slap_shot","Slapshot")</f>
        <v>Slapshot</v>
      </c>
      <c r="E1639" s="33" t="s">
        <v>1250</v>
      </c>
      <c r="F1639" s="33">
        <v>8.0</v>
      </c>
      <c r="G1639" s="36">
        <v>2022.0</v>
      </c>
      <c r="H1639" s="33" t="s">
        <v>373</v>
      </c>
      <c r="I1639" s="33" t="s">
        <v>47</v>
      </c>
      <c r="J1639" s="57">
        <v>1977.0</v>
      </c>
      <c r="K1639" s="58">
        <v>0.83</v>
      </c>
      <c r="L1639" s="37">
        <v>123.0</v>
      </c>
      <c r="M1639" s="16">
        <f t="shared" si="303"/>
        <v>0.674796748</v>
      </c>
      <c r="N1639" s="17"/>
    </row>
    <row r="1640">
      <c r="A1640" s="9"/>
      <c r="B1640" s="38">
        <f t="shared" si="233"/>
        <v>1636</v>
      </c>
      <c r="C1640" s="34">
        <v>39108.0</v>
      </c>
      <c r="D1640" s="48" t="s">
        <v>1298</v>
      </c>
      <c r="E1640" s="13" t="s">
        <v>1250</v>
      </c>
      <c r="F1640" s="13">
        <v>8.0</v>
      </c>
      <c r="G1640" s="35" t="str">
        <f t="shared" ref="G1640:G1642" si="306">IF(C1640&gt;40908,"2012",IF(C1640&gt;40543,"2011",IF(C1640&gt;40178,"2010",IF(C1640&gt;=39814,"2009",IF(C1640&gt;=39448,"2008",IF(C1640&gt;39082,"2007",IF(C1640&lt;38717,"Pre-2006","2006")))))))</f>
        <v>2007</v>
      </c>
      <c r="H1640" s="13" t="s">
        <v>17</v>
      </c>
      <c r="I1640" s="13" t="s">
        <v>21</v>
      </c>
      <c r="J1640" s="61"/>
      <c r="K1640" s="62"/>
      <c r="L1640" s="63"/>
      <c r="M1640" s="59" t="str">
        <f t="shared" si="303"/>
        <v>NA</v>
      </c>
      <c r="N1640" s="17"/>
    </row>
    <row r="1641">
      <c r="A1641" s="9"/>
      <c r="B1641" s="38">
        <f t="shared" si="233"/>
        <v>1637</v>
      </c>
      <c r="C1641" s="34">
        <v>39197.0</v>
      </c>
      <c r="D1641" s="48" t="s">
        <v>1299</v>
      </c>
      <c r="E1641" s="13" t="s">
        <v>1250</v>
      </c>
      <c r="F1641" s="13">
        <v>8.0</v>
      </c>
      <c r="G1641" s="35" t="str">
        <f t="shared" si="306"/>
        <v>2007</v>
      </c>
      <c r="H1641" s="13" t="s">
        <v>17</v>
      </c>
      <c r="I1641" s="13" t="s">
        <v>511</v>
      </c>
      <c r="J1641" s="61"/>
      <c r="K1641" s="62"/>
      <c r="L1641" s="63"/>
      <c r="M1641" s="59" t="str">
        <f t="shared" si="303"/>
        <v>NA</v>
      </c>
      <c r="N1641" s="17"/>
    </row>
    <row r="1642">
      <c r="A1642" s="9"/>
      <c r="B1642" s="38">
        <f t="shared" si="233"/>
        <v>1638</v>
      </c>
      <c r="C1642" s="70"/>
      <c r="D1642" s="48" t="s">
        <v>1300</v>
      </c>
      <c r="E1642" s="13" t="s">
        <v>1250</v>
      </c>
      <c r="F1642" s="13">
        <v>8.0</v>
      </c>
      <c r="G1642" s="35" t="str">
        <f t="shared" si="306"/>
        <v>Pre-2006</v>
      </c>
      <c r="H1642" s="98"/>
      <c r="I1642" s="71"/>
      <c r="J1642" s="61"/>
      <c r="K1642" s="62"/>
      <c r="L1642" s="63"/>
      <c r="M1642" s="59" t="str">
        <f t="shared" si="303"/>
        <v>NA</v>
      </c>
      <c r="N1642" s="17"/>
    </row>
    <row r="1643">
      <c r="A1643" s="9"/>
      <c r="B1643" s="38">
        <f t="shared" si="233"/>
        <v>1639</v>
      </c>
      <c r="C1643" s="34">
        <v>44567.0</v>
      </c>
      <c r="D1643" s="12" t="str">
        <f>hyperlink("https://www.rottentomatoes.com/m/stripes","Stripes")</f>
        <v>Stripes</v>
      </c>
      <c r="E1643" s="33" t="s">
        <v>1250</v>
      </c>
      <c r="F1643" s="33">
        <v>8.0</v>
      </c>
      <c r="G1643" s="33">
        <v>2022.0</v>
      </c>
      <c r="H1643" s="99" t="s">
        <v>58</v>
      </c>
      <c r="I1643" s="33" t="s">
        <v>47</v>
      </c>
      <c r="J1643" s="57">
        <v>1981.0</v>
      </c>
      <c r="K1643" s="56">
        <v>0.88</v>
      </c>
      <c r="L1643" s="37">
        <v>105.0</v>
      </c>
      <c r="M1643" s="16">
        <f t="shared" si="303"/>
        <v>0.8380952381</v>
      </c>
      <c r="N1643" s="17"/>
    </row>
    <row r="1644">
      <c r="A1644" s="9"/>
      <c r="B1644" s="38">
        <f t="shared" si="233"/>
        <v>1640</v>
      </c>
      <c r="C1644" s="34">
        <v>45140.0</v>
      </c>
      <c r="D1644" s="12" t="str">
        <f>hyperlink("https://www.rottentomatoes.com/m/studio_54","Studio 54: The Documentary")</f>
        <v>Studio 54: The Documentary</v>
      </c>
      <c r="E1644" s="33" t="s">
        <v>1250</v>
      </c>
      <c r="F1644" s="33">
        <v>8.0</v>
      </c>
      <c r="G1644" s="33">
        <v>2023.0</v>
      </c>
      <c r="H1644" s="99" t="s">
        <v>58</v>
      </c>
      <c r="I1644" s="33" t="s">
        <v>77</v>
      </c>
      <c r="J1644" s="57">
        <v>2018.0</v>
      </c>
      <c r="K1644" s="56">
        <v>0.91</v>
      </c>
      <c r="L1644" s="37">
        <v>98.0</v>
      </c>
      <c r="M1644" s="16">
        <f t="shared" si="303"/>
        <v>0.9285714286</v>
      </c>
      <c r="N1644" s="17"/>
    </row>
    <row r="1645">
      <c r="A1645" s="9"/>
      <c r="B1645" s="38">
        <f t="shared" si="233"/>
        <v>1641</v>
      </c>
      <c r="C1645" s="70"/>
      <c r="D1645" s="48" t="s">
        <v>1301</v>
      </c>
      <c r="E1645" s="13" t="s">
        <v>1250</v>
      </c>
      <c r="F1645" s="13">
        <v>8.0</v>
      </c>
      <c r="G1645" s="13" t="s">
        <v>14</v>
      </c>
      <c r="H1645" s="98"/>
      <c r="I1645" s="71"/>
      <c r="J1645" s="55">
        <v>1984.0</v>
      </c>
      <c r="K1645" s="56">
        <v>0.08</v>
      </c>
      <c r="L1645" s="14">
        <v>89.0</v>
      </c>
      <c r="M1645" s="16">
        <f t="shared" si="303"/>
        <v>0.08988764045</v>
      </c>
      <c r="N1645" s="17"/>
    </row>
    <row r="1646">
      <c r="A1646" s="9"/>
      <c r="B1646" s="38">
        <f t="shared" si="233"/>
        <v>1642</v>
      </c>
      <c r="C1646" s="70"/>
      <c r="D1646" s="48" t="s">
        <v>1302</v>
      </c>
      <c r="E1646" s="13" t="s">
        <v>1250</v>
      </c>
      <c r="F1646" s="13">
        <v>8.0</v>
      </c>
      <c r="G1646" s="35" t="str">
        <f>IF(C1646&gt;40908,"2012",IF(C1646&gt;40543,"2011",IF(C1646&gt;40178,"2010",IF(C1646&gt;=39814,"2009",IF(C1646&gt;=39448,"2008",IF(C1646&gt;39082,"2007",IF(C1646&lt;38717,"Pre-2006","2006")))))))</f>
        <v>Pre-2006</v>
      </c>
      <c r="H1646" s="98"/>
      <c r="I1646" s="71"/>
      <c r="J1646" s="61"/>
      <c r="K1646" s="62"/>
      <c r="L1646" s="63"/>
      <c r="M1646" s="59" t="str">
        <f t="shared" si="303"/>
        <v>NA</v>
      </c>
      <c r="N1646" s="17"/>
    </row>
    <row r="1647">
      <c r="A1647" s="9"/>
      <c r="B1647" s="38">
        <f t="shared" si="233"/>
        <v>1643</v>
      </c>
      <c r="C1647" s="34">
        <v>43604.0</v>
      </c>
      <c r="D1647" s="12" t="str">
        <f>hyperlink("https://rottentomatoes.com/m/the_switch_2010","Switch, The")</f>
        <v>Switch, The</v>
      </c>
      <c r="E1647" s="33" t="s">
        <v>1250</v>
      </c>
      <c r="F1647" s="33">
        <v>8.0</v>
      </c>
      <c r="G1647" s="33">
        <v>2019.0</v>
      </c>
      <c r="H1647" s="99" t="s">
        <v>58</v>
      </c>
      <c r="I1647" s="33" t="s">
        <v>77</v>
      </c>
      <c r="J1647" s="57">
        <v>2010.0</v>
      </c>
      <c r="K1647" s="56">
        <v>0.51</v>
      </c>
      <c r="L1647" s="37">
        <v>101.0</v>
      </c>
      <c r="M1647" s="59">
        <f t="shared" si="303"/>
        <v>0.504950495</v>
      </c>
      <c r="N1647" s="17"/>
    </row>
    <row r="1648">
      <c r="A1648" s="9"/>
      <c r="B1648" s="38">
        <f t="shared" si="233"/>
        <v>1644</v>
      </c>
      <c r="C1648" s="34">
        <v>41266.0</v>
      </c>
      <c r="D1648" s="48" t="s">
        <v>1303</v>
      </c>
      <c r="E1648" s="13" t="s">
        <v>1250</v>
      </c>
      <c r="F1648" s="13">
        <v>8.0</v>
      </c>
      <c r="G1648" s="13">
        <v>2012.0</v>
      </c>
      <c r="H1648" s="79" t="s">
        <v>1304</v>
      </c>
      <c r="I1648" s="13" t="s">
        <v>47</v>
      </c>
      <c r="J1648" s="55">
        <v>2012.0</v>
      </c>
      <c r="K1648" s="56">
        <v>0.69</v>
      </c>
      <c r="L1648" s="14">
        <v>115.0</v>
      </c>
      <c r="M1648" s="16">
        <f t="shared" si="303"/>
        <v>0.6</v>
      </c>
      <c r="N1648" s="17"/>
    </row>
    <row r="1649">
      <c r="A1649" s="9"/>
      <c r="B1649" s="38">
        <f t="shared" si="233"/>
        <v>1645</v>
      </c>
      <c r="C1649" s="70"/>
      <c r="D1649" s="48" t="s">
        <v>1305</v>
      </c>
      <c r="E1649" s="33" t="s">
        <v>1250</v>
      </c>
      <c r="F1649" s="13">
        <v>8.0</v>
      </c>
      <c r="G1649" s="35" t="str">
        <f>IF(C1649&gt;40908,"2012",IF(C1649&gt;40543,"2011",IF(C1649&gt;40178,"2010",IF(C1649&gt;=39814,"2009",IF(C1649&gt;=39448,"2008",IF(C1649&gt;39082,"2007",IF(C1649&lt;38717,"Pre-2006","2006")))))))</f>
        <v>Pre-2006</v>
      </c>
      <c r="H1649" s="98"/>
      <c r="I1649" s="71"/>
      <c r="J1649" s="61"/>
      <c r="K1649" s="62"/>
      <c r="L1649" s="63"/>
      <c r="M1649" s="59" t="str">
        <f t="shared" si="303"/>
        <v>NA</v>
      </c>
      <c r="N1649" s="17"/>
    </row>
    <row r="1650">
      <c r="A1650" s="9"/>
      <c r="B1650" s="38">
        <f t="shared" si="233"/>
        <v>1646</v>
      </c>
      <c r="C1650" s="34">
        <v>44781.0</v>
      </c>
      <c r="D1650" s="12" t="str">
        <f>hyperlink("https://www.rottentomatoes.com/m/thanks_for_sharing","Thanks for Sharing")</f>
        <v>Thanks for Sharing</v>
      </c>
      <c r="E1650" s="33" t="s">
        <v>1250</v>
      </c>
      <c r="F1650" s="33">
        <v>8.0</v>
      </c>
      <c r="G1650" s="36">
        <v>2022.0</v>
      </c>
      <c r="H1650" s="99" t="s">
        <v>58</v>
      </c>
      <c r="I1650" s="33" t="s">
        <v>77</v>
      </c>
      <c r="J1650" s="57">
        <v>2012.0</v>
      </c>
      <c r="K1650" s="58">
        <v>0.5</v>
      </c>
      <c r="L1650" s="37">
        <v>112.0</v>
      </c>
      <c r="M1650" s="16">
        <f t="shared" si="303"/>
        <v>0.4464285714</v>
      </c>
      <c r="N1650" s="17"/>
    </row>
    <row r="1651">
      <c r="A1651" s="9"/>
      <c r="B1651" s="38">
        <f t="shared" si="233"/>
        <v>1647</v>
      </c>
      <c r="C1651" s="70"/>
      <c r="D1651" s="48" t="s">
        <v>1306</v>
      </c>
      <c r="E1651" s="13" t="s">
        <v>1250</v>
      </c>
      <c r="F1651" s="13">
        <v>8.0</v>
      </c>
      <c r="G1651" s="35" t="str">
        <f>IF(C1651&gt;40908,"2012",IF(C1651&gt;40543,"2011",IF(C1651&gt;40178,"2010",IF(C1651&gt;=39814,"2009",IF(C1651&gt;=39448,"2008",IF(C1651&gt;39082,"2007",IF(C1651&lt;38717,"Pre-2006","2006")))))))</f>
        <v>Pre-2006</v>
      </c>
      <c r="H1651" s="98"/>
      <c r="I1651" s="71"/>
      <c r="J1651" s="61"/>
      <c r="K1651" s="62"/>
      <c r="L1651" s="63"/>
      <c r="M1651" s="59" t="str">
        <f t="shared" si="303"/>
        <v>NA</v>
      </c>
      <c r="N1651" s="17"/>
    </row>
    <row r="1652">
      <c r="A1652" s="9"/>
      <c r="B1652" s="38">
        <f t="shared" si="233"/>
        <v>1648</v>
      </c>
      <c r="C1652" s="34">
        <v>44296.0</v>
      </c>
      <c r="D1652" s="12" t="str">
        <f>hyperlink("https://www.rottentomatoes.com/m/thunder_force","Thunder Force")</f>
        <v>Thunder Force</v>
      </c>
      <c r="E1652" s="33" t="s">
        <v>1250</v>
      </c>
      <c r="F1652" s="33">
        <v>8.0</v>
      </c>
      <c r="G1652" s="36">
        <v>2021.0</v>
      </c>
      <c r="H1652" s="33" t="s">
        <v>58</v>
      </c>
      <c r="I1652" s="33" t="s">
        <v>77</v>
      </c>
      <c r="J1652" s="37">
        <v>2021.0</v>
      </c>
      <c r="K1652" s="58">
        <v>0.25</v>
      </c>
      <c r="L1652" s="37">
        <v>107.0</v>
      </c>
      <c r="M1652" s="16">
        <f t="shared" si="303"/>
        <v>0.2336448598</v>
      </c>
      <c r="N1652" s="17"/>
    </row>
    <row r="1653">
      <c r="A1653" s="9"/>
      <c r="B1653" s="38">
        <f t="shared" si="233"/>
        <v>1649</v>
      </c>
      <c r="C1653" s="34">
        <v>40801.0</v>
      </c>
      <c r="D1653" s="48" t="s">
        <v>1307</v>
      </c>
      <c r="E1653" s="13" t="s">
        <v>1250</v>
      </c>
      <c r="F1653" s="13">
        <v>8.0</v>
      </c>
      <c r="G1653" s="35" t="str">
        <f t="shared" ref="G1653:G1661" si="307">IF(C1653&gt;40908,"2012",IF(C1653&gt;40543,"2011",IF(C1653&gt;40178,"2010",IF(C1653&gt;=39814,"2009",IF(C1653&gt;=39448,"2008",IF(C1653&gt;39082,"2007",IF(C1653&lt;38717,"Pre-2006","2006")))))))</f>
        <v>2011</v>
      </c>
      <c r="H1653" s="13" t="s">
        <v>25</v>
      </c>
      <c r="I1653" s="13" t="s">
        <v>47</v>
      </c>
      <c r="J1653" s="14">
        <v>2011.0</v>
      </c>
      <c r="K1653" s="62"/>
      <c r="L1653" s="63"/>
      <c r="M1653" s="59" t="str">
        <f t="shared" si="303"/>
        <v>NA</v>
      </c>
      <c r="N1653" s="17"/>
    </row>
    <row r="1654">
      <c r="A1654" s="9"/>
      <c r="B1654" s="38">
        <f t="shared" si="233"/>
        <v>1650</v>
      </c>
      <c r="C1654" s="34">
        <v>39998.0</v>
      </c>
      <c r="D1654" s="48" t="s">
        <v>1308</v>
      </c>
      <c r="E1654" s="13" t="s">
        <v>1250</v>
      </c>
      <c r="F1654" s="13">
        <v>8.0</v>
      </c>
      <c r="G1654" s="35" t="str">
        <f t="shared" si="307"/>
        <v>2009</v>
      </c>
      <c r="H1654" s="13" t="s">
        <v>27</v>
      </c>
      <c r="I1654" s="13" t="s">
        <v>47</v>
      </c>
      <c r="J1654" s="14">
        <v>1983.0</v>
      </c>
      <c r="K1654" s="15">
        <v>0.91</v>
      </c>
      <c r="L1654" s="14">
        <v>118.0</v>
      </c>
      <c r="M1654" s="16">
        <f t="shared" si="303"/>
        <v>0.7711864407</v>
      </c>
      <c r="N1654" s="17"/>
    </row>
    <row r="1655">
      <c r="A1655" s="9"/>
      <c r="B1655" s="38">
        <f t="shared" si="233"/>
        <v>1651</v>
      </c>
      <c r="C1655" s="34">
        <v>39267.0</v>
      </c>
      <c r="D1655" s="48" t="s">
        <v>1309</v>
      </c>
      <c r="E1655" s="13" t="s">
        <v>1250</v>
      </c>
      <c r="F1655" s="13">
        <v>8.0</v>
      </c>
      <c r="G1655" s="35" t="str">
        <f t="shared" si="307"/>
        <v>2007</v>
      </c>
      <c r="H1655" s="13" t="s">
        <v>17</v>
      </c>
      <c r="I1655" s="13" t="s">
        <v>26</v>
      </c>
      <c r="J1655" s="14">
        <v>2001.0</v>
      </c>
      <c r="K1655" s="62"/>
      <c r="L1655" s="63"/>
      <c r="M1655" s="59" t="str">
        <f t="shared" si="303"/>
        <v>NA</v>
      </c>
      <c r="N1655" s="17"/>
    </row>
    <row r="1656">
      <c r="A1656" s="9"/>
      <c r="B1656" s="38">
        <f t="shared" si="233"/>
        <v>1652</v>
      </c>
      <c r="C1656" s="34">
        <v>39555.0</v>
      </c>
      <c r="D1656" s="48" t="s">
        <v>1310</v>
      </c>
      <c r="E1656" s="13" t="s">
        <v>1250</v>
      </c>
      <c r="F1656" s="13">
        <v>8.0</v>
      </c>
      <c r="G1656" s="35" t="str">
        <f t="shared" si="307"/>
        <v>2008</v>
      </c>
      <c r="H1656" s="13" t="s">
        <v>17</v>
      </c>
      <c r="I1656" s="13" t="s">
        <v>26</v>
      </c>
      <c r="J1656" s="14">
        <v>2008.0</v>
      </c>
      <c r="K1656" s="15">
        <v>0.31</v>
      </c>
      <c r="L1656" s="14">
        <v>123.0</v>
      </c>
      <c r="M1656" s="16">
        <f t="shared" si="303"/>
        <v>0.2520325203</v>
      </c>
      <c r="N1656" s="17"/>
    </row>
    <row r="1657">
      <c r="A1657" s="9"/>
      <c r="B1657" s="38">
        <f t="shared" si="233"/>
        <v>1653</v>
      </c>
      <c r="C1657" s="70"/>
      <c r="D1657" s="48" t="s">
        <v>1311</v>
      </c>
      <c r="E1657" s="13" t="s">
        <v>1250</v>
      </c>
      <c r="F1657" s="13">
        <v>8.0</v>
      </c>
      <c r="G1657" s="35" t="str">
        <f t="shared" si="307"/>
        <v>Pre-2006</v>
      </c>
      <c r="H1657" s="13" t="s">
        <v>27</v>
      </c>
      <c r="I1657" s="13" t="s">
        <v>26</v>
      </c>
      <c r="J1657" s="61"/>
      <c r="K1657" s="62"/>
      <c r="L1657" s="63"/>
      <c r="M1657" s="59" t="str">
        <f t="shared" si="303"/>
        <v>NA</v>
      </c>
      <c r="N1657" s="17"/>
    </row>
    <row r="1658">
      <c r="A1658" s="9"/>
      <c r="B1658" s="38">
        <f t="shared" si="233"/>
        <v>1654</v>
      </c>
      <c r="C1658" s="70"/>
      <c r="D1658" s="48" t="s">
        <v>1312</v>
      </c>
      <c r="E1658" s="13" t="s">
        <v>1250</v>
      </c>
      <c r="F1658" s="13">
        <v>8.0</v>
      </c>
      <c r="G1658" s="35" t="str">
        <f t="shared" si="307"/>
        <v>Pre-2006</v>
      </c>
      <c r="H1658" s="98"/>
      <c r="I1658" s="71"/>
      <c r="J1658" s="61"/>
      <c r="K1658" s="62"/>
      <c r="L1658" s="63"/>
      <c r="M1658" s="59" t="str">
        <f t="shared" si="303"/>
        <v>NA</v>
      </c>
      <c r="N1658" s="17"/>
    </row>
    <row r="1659">
      <c r="A1659" s="9"/>
      <c r="B1659" s="38">
        <f t="shared" si="233"/>
        <v>1655</v>
      </c>
      <c r="C1659" s="34">
        <v>39813.0</v>
      </c>
      <c r="D1659" s="48" t="s">
        <v>1313</v>
      </c>
      <c r="E1659" s="13" t="s">
        <v>1250</v>
      </c>
      <c r="F1659" s="13">
        <v>8.0</v>
      </c>
      <c r="G1659" s="35" t="str">
        <f t="shared" si="307"/>
        <v>2008</v>
      </c>
      <c r="H1659" s="13" t="s">
        <v>29</v>
      </c>
      <c r="I1659" s="13" t="s">
        <v>47</v>
      </c>
      <c r="J1659" s="14">
        <v>2008.0</v>
      </c>
      <c r="K1659" s="15">
        <v>0.58</v>
      </c>
      <c r="L1659" s="14">
        <v>129.0</v>
      </c>
      <c r="M1659" s="16">
        <f t="shared" si="303"/>
        <v>0.4496124031</v>
      </c>
      <c r="N1659" s="17"/>
    </row>
    <row r="1660">
      <c r="A1660" s="9"/>
      <c r="B1660" s="38">
        <f t="shared" si="233"/>
        <v>1656</v>
      </c>
      <c r="C1660" s="34">
        <v>40695.0</v>
      </c>
      <c r="D1660" s="64" t="s">
        <v>1314</v>
      </c>
      <c r="E1660" s="13" t="s">
        <v>1250</v>
      </c>
      <c r="F1660" s="13">
        <v>8.0</v>
      </c>
      <c r="G1660" s="35" t="str">
        <f t="shared" si="307"/>
        <v>2011</v>
      </c>
      <c r="H1660" s="13" t="s">
        <v>25</v>
      </c>
      <c r="I1660" s="13" t="s">
        <v>47</v>
      </c>
      <c r="J1660" s="14">
        <v>2010.0</v>
      </c>
      <c r="K1660" s="86" t="s">
        <v>933</v>
      </c>
      <c r="L1660" s="14">
        <v>136.0</v>
      </c>
      <c r="M1660" s="16" t="str">
        <f t="shared" si="303"/>
        <v>NA</v>
      </c>
      <c r="N1660" s="17"/>
    </row>
    <row r="1661">
      <c r="A1661" s="9"/>
      <c r="B1661" s="38">
        <f t="shared" si="233"/>
        <v>1657</v>
      </c>
      <c r="C1661" s="70"/>
      <c r="D1661" s="48" t="s">
        <v>1315</v>
      </c>
      <c r="E1661" s="13" t="s">
        <v>1250</v>
      </c>
      <c r="F1661" s="13">
        <v>8.0</v>
      </c>
      <c r="G1661" s="35" t="str">
        <f t="shared" si="307"/>
        <v>Pre-2006</v>
      </c>
      <c r="H1661" s="13" t="s">
        <v>15</v>
      </c>
      <c r="I1661" s="13" t="s">
        <v>16</v>
      </c>
      <c r="J1661" s="61"/>
      <c r="K1661" s="62"/>
      <c r="L1661" s="63"/>
      <c r="M1661" s="59" t="str">
        <f t="shared" si="303"/>
        <v>NA</v>
      </c>
      <c r="N1661" s="17"/>
    </row>
    <row r="1662" ht="12.75" customHeight="1">
      <c r="A1662" s="9"/>
      <c r="B1662" s="38">
        <f t="shared" si="233"/>
        <v>1658</v>
      </c>
      <c r="C1662" s="34">
        <v>44644.0</v>
      </c>
      <c r="D1662" s="12" t="str">
        <f>hyperlink("https://www.rottentomatoes.com/m/windfall_2022","Windfall")</f>
        <v>Windfall</v>
      </c>
      <c r="E1662" s="33" t="s">
        <v>1250</v>
      </c>
      <c r="F1662" s="33">
        <v>8.0</v>
      </c>
      <c r="G1662" s="36">
        <v>2022.0</v>
      </c>
      <c r="H1662" s="33" t="s">
        <v>754</v>
      </c>
      <c r="I1662" s="33" t="s">
        <v>77</v>
      </c>
      <c r="J1662" s="57">
        <v>2022.0</v>
      </c>
      <c r="K1662" s="58">
        <v>0.6</v>
      </c>
      <c r="L1662" s="37">
        <v>92.0</v>
      </c>
      <c r="M1662" s="59">
        <f t="shared" si="303"/>
        <v>0.652173913</v>
      </c>
      <c r="N1662" s="17"/>
    </row>
    <row r="1663" ht="12.75" customHeight="1">
      <c r="A1663" s="9"/>
      <c r="B1663" s="38">
        <f t="shared" si="233"/>
        <v>1659</v>
      </c>
      <c r="C1663" s="34">
        <v>43599.0</v>
      </c>
      <c r="D1663" s="12" t="str">
        <f>hyperlink("https://rottentomatoes.com/m/wine_country","Wine Country")</f>
        <v>Wine Country</v>
      </c>
      <c r="E1663" s="33" t="s">
        <v>1250</v>
      </c>
      <c r="F1663" s="33">
        <v>8.0</v>
      </c>
      <c r="G1663" s="36">
        <v>2019.0</v>
      </c>
      <c r="H1663" s="33" t="s">
        <v>754</v>
      </c>
      <c r="I1663" s="33" t="s">
        <v>77</v>
      </c>
      <c r="J1663" s="57">
        <v>2019.0</v>
      </c>
      <c r="K1663" s="58">
        <v>0.67</v>
      </c>
      <c r="L1663" s="37">
        <v>100.0</v>
      </c>
      <c r="M1663" s="59">
        <f t="shared" si="303"/>
        <v>0.67</v>
      </c>
      <c r="N1663" s="17"/>
    </row>
    <row r="1664">
      <c r="A1664" s="9"/>
      <c r="B1664" s="38">
        <f t="shared" si="233"/>
        <v>1660</v>
      </c>
      <c r="C1664" s="70"/>
      <c r="D1664" s="48" t="s">
        <v>1316</v>
      </c>
      <c r="E1664" s="13" t="s">
        <v>1250</v>
      </c>
      <c r="F1664" s="13">
        <v>8.0</v>
      </c>
      <c r="G1664" s="35" t="str">
        <f>IF(C1664&gt;40908,"2012",IF(C1664&gt;40543,"2011",IF(C1664&gt;40178,"2010",IF(C1664&gt;=39814,"2009",IF(C1664&gt;=39448,"2008",IF(C1664&gt;39082,"2007",IF(C1664&lt;38717,"Pre-2006","2006")))))))</f>
        <v>Pre-2006</v>
      </c>
      <c r="H1664" s="13" t="s">
        <v>15</v>
      </c>
      <c r="I1664" s="13" t="s">
        <v>16</v>
      </c>
      <c r="J1664" s="61"/>
      <c r="K1664" s="62"/>
      <c r="L1664" s="63"/>
      <c r="M1664" s="59" t="str">
        <f t="shared" si="303"/>
        <v>NA</v>
      </c>
      <c r="N1664" s="17"/>
    </row>
    <row r="1665">
      <c r="A1665" s="9"/>
      <c r="B1665" s="38">
        <f t="shared" si="233"/>
        <v>1661</v>
      </c>
      <c r="C1665" s="34">
        <v>45103.0</v>
      </c>
      <c r="D1665" s="12" t="str">
        <f>hyperlink("https://www.rottentomatoes.com/m/the_year_i_started_masturbating","Year I Started Masturbating, The")</f>
        <v>Year I Started Masturbating, The</v>
      </c>
      <c r="E1665" s="33" t="s">
        <v>1250</v>
      </c>
      <c r="F1665" s="33">
        <v>8.0</v>
      </c>
      <c r="G1665" s="36">
        <v>2023.0</v>
      </c>
      <c r="H1665" s="33" t="s">
        <v>58</v>
      </c>
      <c r="I1665" s="33" t="s">
        <v>77</v>
      </c>
      <c r="J1665" s="37">
        <v>2022.0</v>
      </c>
      <c r="K1665" s="86" t="s">
        <v>169</v>
      </c>
      <c r="L1665" s="37">
        <v>98.0</v>
      </c>
      <c r="M1665" s="72" t="s">
        <v>169</v>
      </c>
      <c r="N1665" s="17"/>
    </row>
    <row r="1666">
      <c r="A1666" s="9"/>
      <c r="B1666" s="38">
        <f t="shared" si="233"/>
        <v>1662</v>
      </c>
      <c r="C1666" s="34">
        <v>39542.0</v>
      </c>
      <c r="D1666" s="48" t="s">
        <v>1317</v>
      </c>
      <c r="E1666" s="13" t="s">
        <v>1250</v>
      </c>
      <c r="F1666" s="13">
        <v>8.0</v>
      </c>
      <c r="G1666" s="35" t="str">
        <f>IF(C1666&gt;40908,"2012",IF(C1666&gt;40543,"2011",IF(C1666&gt;40178,"2010",IF(C1666&gt;=39814,"2009",IF(C1666&gt;=39448,"2008",IF(C1666&gt;39082,"2007",IF(C1666&lt;38717,"Pre-2006","2006")))))))</f>
        <v>2008</v>
      </c>
      <c r="H1666" s="13" t="s">
        <v>17</v>
      </c>
      <c r="I1666" s="13" t="s">
        <v>511</v>
      </c>
      <c r="J1666" s="14">
        <v>2006.0</v>
      </c>
      <c r="K1666" s="15">
        <v>0.22</v>
      </c>
      <c r="L1666" s="14">
        <v>110.0</v>
      </c>
      <c r="M1666" s="16">
        <f t="shared" ref="M1666:M1732" si="308">if(iserror(K1666/L1666*100),"NA",K1666/L1666*100)</f>
        <v>0.2</v>
      </c>
      <c r="N1666" s="17"/>
    </row>
    <row r="1667">
      <c r="A1667" s="9"/>
      <c r="B1667" s="38">
        <f t="shared" si="233"/>
        <v>1663</v>
      </c>
      <c r="C1667" s="34">
        <v>45041.0</v>
      </c>
      <c r="D1667" s="12" t="str">
        <f>hyperlink("https://www.rottentomatoes.com/m/your_place_or_mine_2023","Your Place or Mine")</f>
        <v>Your Place or Mine</v>
      </c>
      <c r="E1667" s="33" t="s">
        <v>1250</v>
      </c>
      <c r="F1667" s="33">
        <v>8.0</v>
      </c>
      <c r="G1667" s="36">
        <v>2023.0</v>
      </c>
      <c r="H1667" s="33" t="s">
        <v>1227</v>
      </c>
      <c r="I1667" s="33" t="s">
        <v>77</v>
      </c>
      <c r="J1667" s="37">
        <v>2023.0</v>
      </c>
      <c r="K1667" s="15">
        <v>0.37</v>
      </c>
      <c r="L1667" s="37">
        <v>109.0</v>
      </c>
      <c r="M1667" s="16">
        <f t="shared" si="308"/>
        <v>0.3394495413</v>
      </c>
      <c r="N1667" s="17"/>
    </row>
    <row r="1668">
      <c r="A1668" s="9"/>
      <c r="B1668" s="40">
        <f t="shared" si="233"/>
        <v>1664</v>
      </c>
      <c r="C1668" s="41">
        <v>39500.0</v>
      </c>
      <c r="D1668" s="42" t="s">
        <v>1318</v>
      </c>
      <c r="E1668" s="43" t="s">
        <v>1319</v>
      </c>
      <c r="F1668" s="43">
        <v>7.0</v>
      </c>
      <c r="G1668" s="44" t="str">
        <f>IF(C1668&gt;40908,"2012",IF(C1668&gt;40543,"2011",IF(C1668&gt;40178,"2010",IF(C1668&gt;=39814,"2009",IF(C1668&gt;=39448,"2008",IF(C1668&gt;39082,"2007",IF(C1668&lt;38717,"Pre-2006","2006")))))))</f>
        <v>2008</v>
      </c>
      <c r="H1668" s="43" t="s">
        <v>29</v>
      </c>
      <c r="I1668" s="43" t="s">
        <v>21</v>
      </c>
      <c r="J1668" s="45">
        <v>2006.0</v>
      </c>
      <c r="K1668" s="46">
        <v>0.83</v>
      </c>
      <c r="L1668" s="45">
        <v>112.0</v>
      </c>
      <c r="M1668" s="47">
        <f t="shared" si="308"/>
        <v>0.7410714286</v>
      </c>
      <c r="N1668" s="17"/>
    </row>
    <row r="1669">
      <c r="A1669" s="9"/>
      <c r="B1669" s="38">
        <f t="shared" si="233"/>
        <v>1665</v>
      </c>
      <c r="C1669" s="34">
        <v>41141.0</v>
      </c>
      <c r="D1669" s="48" t="s">
        <v>1320</v>
      </c>
      <c r="E1669" s="13" t="s">
        <v>1319</v>
      </c>
      <c r="F1669" s="13">
        <v>7.0</v>
      </c>
      <c r="G1669" s="13">
        <v>2012.0</v>
      </c>
      <c r="H1669" s="13" t="s">
        <v>25</v>
      </c>
      <c r="I1669" s="13" t="s">
        <v>47</v>
      </c>
      <c r="J1669" s="55">
        <v>2012.0</v>
      </c>
      <c r="K1669" s="56">
        <v>0.43</v>
      </c>
      <c r="L1669" s="14">
        <v>110.0</v>
      </c>
      <c r="M1669" s="16">
        <f t="shared" si="308"/>
        <v>0.3909090909</v>
      </c>
      <c r="N1669" s="17"/>
    </row>
    <row r="1670">
      <c r="A1670" s="9"/>
      <c r="B1670" s="38">
        <f t="shared" si="233"/>
        <v>1666</v>
      </c>
      <c r="C1670" s="34">
        <v>42127.0</v>
      </c>
      <c r="D1670" s="12" t="str">
        <f>hyperlink("http://www.rottentomatoes.com/m/the_boy_next_door_2015","Boy Next Door, The")</f>
        <v>Boy Next Door, The</v>
      </c>
      <c r="E1670" s="13" t="s">
        <v>1319</v>
      </c>
      <c r="F1670" s="13">
        <v>7.0</v>
      </c>
      <c r="G1670" s="13">
        <v>2015.0</v>
      </c>
      <c r="H1670" s="13" t="s">
        <v>25</v>
      </c>
      <c r="I1670" s="13" t="s">
        <v>47</v>
      </c>
      <c r="J1670" s="55">
        <v>2015.0</v>
      </c>
      <c r="K1670" s="56">
        <v>0.11</v>
      </c>
      <c r="L1670" s="14">
        <v>91.0</v>
      </c>
      <c r="M1670" s="16">
        <f t="shared" si="308"/>
        <v>0.1208791209</v>
      </c>
      <c r="N1670" s="17"/>
    </row>
    <row r="1671">
      <c r="A1671" s="9"/>
      <c r="B1671" s="38">
        <f t="shared" si="233"/>
        <v>1667</v>
      </c>
      <c r="C1671" s="34">
        <v>39223.0</v>
      </c>
      <c r="D1671" s="48" t="s">
        <v>1321</v>
      </c>
      <c r="E1671" s="13" t="s">
        <v>1319</v>
      </c>
      <c r="F1671" s="13">
        <v>7.0</v>
      </c>
      <c r="G1671" s="35" t="str">
        <f t="shared" ref="G1671:G1676" si="309">IF(C1671&gt;40908,"2012",IF(C1671&gt;40543,"2011",IF(C1671&gt;40178,"2010",IF(C1671&gt;=39814,"2009",IF(C1671&gt;=39448,"2008",IF(C1671&gt;39082,"2007",IF(C1671&lt;38717,"Pre-2006","2006")))))))</f>
        <v>2007</v>
      </c>
      <c r="H1671" s="13" t="s">
        <v>17</v>
      </c>
      <c r="I1671" s="13" t="s">
        <v>511</v>
      </c>
      <c r="J1671" s="61"/>
      <c r="K1671" s="62"/>
      <c r="L1671" s="63"/>
      <c r="M1671" s="59" t="str">
        <f t="shared" si="308"/>
        <v>NA</v>
      </c>
      <c r="N1671" s="17"/>
    </row>
    <row r="1672">
      <c r="A1672" s="9"/>
      <c r="B1672" s="38">
        <f t="shared" si="233"/>
        <v>1668</v>
      </c>
      <c r="C1672" s="34">
        <v>40170.0</v>
      </c>
      <c r="D1672" s="48" t="s">
        <v>1322</v>
      </c>
      <c r="E1672" s="13" t="s">
        <v>1319</v>
      </c>
      <c r="F1672" s="13">
        <v>7.0</v>
      </c>
      <c r="G1672" s="35" t="str">
        <f t="shared" si="309"/>
        <v>2009</v>
      </c>
      <c r="H1672" s="13" t="s">
        <v>29</v>
      </c>
      <c r="I1672" s="13" t="s">
        <v>47</v>
      </c>
      <c r="J1672" s="14">
        <v>2009.0</v>
      </c>
      <c r="K1672" s="15">
        <v>0.57</v>
      </c>
      <c r="L1672" s="14">
        <v>99.0</v>
      </c>
      <c r="M1672" s="16">
        <f t="shared" si="308"/>
        <v>0.5757575758</v>
      </c>
      <c r="N1672" s="17"/>
    </row>
    <row r="1673">
      <c r="A1673" s="9"/>
      <c r="B1673" s="38">
        <f t="shared" si="233"/>
        <v>1669</v>
      </c>
      <c r="C1673" s="34">
        <v>39859.0</v>
      </c>
      <c r="D1673" s="48" t="s">
        <v>1323</v>
      </c>
      <c r="E1673" s="13" t="s">
        <v>1319</v>
      </c>
      <c r="F1673" s="13">
        <v>7.0</v>
      </c>
      <c r="G1673" s="35" t="str">
        <f t="shared" si="309"/>
        <v>2009</v>
      </c>
      <c r="H1673" s="13" t="s">
        <v>27</v>
      </c>
      <c r="I1673" s="13" t="s">
        <v>511</v>
      </c>
      <c r="J1673" s="14">
        <v>2005.0</v>
      </c>
      <c r="K1673" s="15">
        <v>0.35</v>
      </c>
      <c r="L1673" s="14">
        <v>98.0</v>
      </c>
      <c r="M1673" s="16">
        <f t="shared" si="308"/>
        <v>0.3571428571</v>
      </c>
      <c r="N1673" s="17"/>
    </row>
    <row r="1674">
      <c r="A1674" s="9"/>
      <c r="B1674" s="38">
        <f t="shared" si="233"/>
        <v>1670</v>
      </c>
      <c r="C1674" s="34">
        <v>39270.0</v>
      </c>
      <c r="D1674" s="48" t="s">
        <v>1324</v>
      </c>
      <c r="E1674" s="13" t="s">
        <v>1319</v>
      </c>
      <c r="F1674" s="13">
        <v>7.0</v>
      </c>
      <c r="G1674" s="35" t="str">
        <f t="shared" si="309"/>
        <v>2007</v>
      </c>
      <c r="H1674" s="13" t="s">
        <v>17</v>
      </c>
      <c r="I1674" s="13" t="s">
        <v>26</v>
      </c>
      <c r="J1674" s="61"/>
      <c r="K1674" s="62"/>
      <c r="L1674" s="63"/>
      <c r="M1674" s="59" t="str">
        <f t="shared" si="308"/>
        <v>NA</v>
      </c>
      <c r="N1674" s="17"/>
    </row>
    <row r="1675">
      <c r="A1675" s="9"/>
      <c r="B1675" s="38">
        <f t="shared" si="233"/>
        <v>1671</v>
      </c>
      <c r="C1675" s="70"/>
      <c r="D1675" s="48" t="s">
        <v>1325</v>
      </c>
      <c r="E1675" s="13" t="s">
        <v>1319</v>
      </c>
      <c r="F1675" s="13">
        <v>7.0</v>
      </c>
      <c r="G1675" s="35" t="str">
        <f t="shared" si="309"/>
        <v>Pre-2006</v>
      </c>
      <c r="H1675" s="98"/>
      <c r="I1675" s="71"/>
      <c r="J1675" s="61"/>
      <c r="K1675" s="62"/>
      <c r="L1675" s="63"/>
      <c r="M1675" s="59" t="str">
        <f t="shared" si="308"/>
        <v>NA</v>
      </c>
      <c r="N1675" s="17"/>
    </row>
    <row r="1676">
      <c r="A1676" s="9"/>
      <c r="B1676" s="38">
        <f t="shared" si="233"/>
        <v>1672</v>
      </c>
      <c r="C1676" s="34">
        <v>39314.0</v>
      </c>
      <c r="D1676" s="48" t="s">
        <v>1326</v>
      </c>
      <c r="E1676" s="13" t="s">
        <v>1319</v>
      </c>
      <c r="F1676" s="13">
        <v>7.0</v>
      </c>
      <c r="G1676" s="35" t="str">
        <f t="shared" si="309"/>
        <v>2007</v>
      </c>
      <c r="H1676" s="13" t="s">
        <v>15</v>
      </c>
      <c r="I1676" s="13" t="s">
        <v>21</v>
      </c>
      <c r="J1676" s="61"/>
      <c r="K1676" s="62"/>
      <c r="L1676" s="63"/>
      <c r="M1676" s="59" t="str">
        <f t="shared" si="308"/>
        <v>NA</v>
      </c>
      <c r="N1676" s="17"/>
    </row>
    <row r="1677">
      <c r="A1677" s="9"/>
      <c r="B1677" s="40">
        <f t="shared" si="233"/>
        <v>1673</v>
      </c>
      <c r="C1677" s="41">
        <v>42133.0</v>
      </c>
      <c r="D1677" s="104" t="str">
        <f>hyperlink("http://www.rottentomatoes.com/m/5_to_7/?search=5%20to%207#","5 to 7")</f>
        <v>5 to 7</v>
      </c>
      <c r="E1677" s="43" t="s">
        <v>1327</v>
      </c>
      <c r="F1677" s="43">
        <v>7.0</v>
      </c>
      <c r="G1677" s="43">
        <v>2015.0</v>
      </c>
      <c r="H1677" s="43" t="s">
        <v>58</v>
      </c>
      <c r="I1677" s="43" t="s">
        <v>47</v>
      </c>
      <c r="J1677" s="53">
        <v>2015.0</v>
      </c>
      <c r="K1677" s="54">
        <v>0.67</v>
      </c>
      <c r="L1677" s="45">
        <v>95.0</v>
      </c>
      <c r="M1677" s="47">
        <f t="shared" si="308"/>
        <v>0.7052631579</v>
      </c>
      <c r="N1677" s="17"/>
    </row>
    <row r="1678">
      <c r="A1678" s="9"/>
      <c r="B1678" s="38">
        <f t="shared" si="233"/>
        <v>1674</v>
      </c>
      <c r="C1678" s="34">
        <v>39178.0</v>
      </c>
      <c r="D1678" s="48" t="s">
        <v>1328</v>
      </c>
      <c r="E1678" s="13" t="s">
        <v>1327</v>
      </c>
      <c r="F1678" s="13">
        <v>6.0</v>
      </c>
      <c r="G1678" s="35" t="str">
        <f t="shared" ref="G1678:G1680" si="310">IF(C1678&gt;40908,"2012",IF(C1678&gt;40543,"2011",IF(C1678&gt;40178,"2010",IF(C1678&gt;=39814,"2009",IF(C1678&gt;=39448,"2008",IF(C1678&gt;39082,"2007",IF(C1678&lt;38717,"Pre-2006","2006")))))))</f>
        <v>2007</v>
      </c>
      <c r="H1678" s="13" t="s">
        <v>17</v>
      </c>
      <c r="I1678" s="13" t="s">
        <v>47</v>
      </c>
      <c r="J1678" s="61"/>
      <c r="K1678" s="62"/>
      <c r="L1678" s="63"/>
      <c r="M1678" s="59" t="str">
        <f t="shared" si="308"/>
        <v>NA</v>
      </c>
      <c r="N1678" s="17"/>
    </row>
    <row r="1679">
      <c r="A1679" s="9"/>
      <c r="B1679" s="38">
        <f t="shared" si="233"/>
        <v>1675</v>
      </c>
      <c r="C1679" s="70"/>
      <c r="D1679" s="48" t="s">
        <v>1329</v>
      </c>
      <c r="E1679" s="13" t="s">
        <v>1327</v>
      </c>
      <c r="F1679" s="13">
        <v>6.0</v>
      </c>
      <c r="G1679" s="35" t="str">
        <f t="shared" si="310"/>
        <v>Pre-2006</v>
      </c>
      <c r="H1679" s="13" t="s">
        <v>27</v>
      </c>
      <c r="I1679" s="13" t="s">
        <v>26</v>
      </c>
      <c r="J1679" s="61"/>
      <c r="K1679" s="62"/>
      <c r="L1679" s="63"/>
      <c r="M1679" s="59" t="str">
        <f t="shared" si="308"/>
        <v>NA</v>
      </c>
      <c r="N1679" s="17"/>
    </row>
    <row r="1680">
      <c r="A1680" s="9"/>
      <c r="B1680" s="38">
        <f t="shared" si="233"/>
        <v>1676</v>
      </c>
      <c r="C1680" s="70"/>
      <c r="D1680" s="48" t="s">
        <v>1330</v>
      </c>
      <c r="E1680" s="13" t="s">
        <v>1327</v>
      </c>
      <c r="F1680" s="13">
        <v>6.0</v>
      </c>
      <c r="G1680" s="35" t="str">
        <f t="shared" si="310"/>
        <v>Pre-2006</v>
      </c>
      <c r="H1680" s="13" t="s">
        <v>20</v>
      </c>
      <c r="I1680" s="13" t="s">
        <v>26</v>
      </c>
      <c r="J1680" s="61"/>
      <c r="K1680" s="62"/>
      <c r="L1680" s="63"/>
      <c r="M1680" s="59" t="str">
        <f t="shared" si="308"/>
        <v>NA</v>
      </c>
      <c r="N1680" s="17"/>
    </row>
    <row r="1681">
      <c r="A1681" s="9"/>
      <c r="B1681" s="38">
        <f t="shared" si="233"/>
        <v>1677</v>
      </c>
      <c r="C1681" s="34">
        <v>45255.0</v>
      </c>
      <c r="D1681" s="12" t="str">
        <f>hyperlink("https://www.rottentomatoes.com/m/best_christmas_ever","Best. Christmas. Ever!")</f>
        <v>Best. Christmas. Ever!</v>
      </c>
      <c r="E1681" s="33" t="s">
        <v>1327</v>
      </c>
      <c r="F1681" s="33">
        <v>6.0</v>
      </c>
      <c r="G1681" s="36">
        <v>2023.0</v>
      </c>
      <c r="H1681" s="99" t="s">
        <v>58</v>
      </c>
      <c r="I1681" s="33" t="s">
        <v>77</v>
      </c>
      <c r="J1681" s="57">
        <v>2023.0</v>
      </c>
      <c r="K1681" s="58">
        <v>0.38</v>
      </c>
      <c r="L1681" s="37">
        <v>80.0</v>
      </c>
      <c r="M1681" s="16">
        <f t="shared" si="308"/>
        <v>0.475</v>
      </c>
      <c r="N1681" s="17"/>
    </row>
    <row r="1682">
      <c r="A1682" s="9"/>
      <c r="B1682" s="38">
        <f t="shared" si="233"/>
        <v>1678</v>
      </c>
      <c r="C1682" s="70"/>
      <c r="D1682" s="48" t="s">
        <v>1331</v>
      </c>
      <c r="E1682" s="13" t="s">
        <v>1327</v>
      </c>
      <c r="F1682" s="13">
        <v>6.0</v>
      </c>
      <c r="G1682" s="35" t="str">
        <f t="shared" ref="G1682:G1687" si="311">IF(C1682&gt;40908,"2012",IF(C1682&gt;40543,"2011",IF(C1682&gt;40178,"2010",IF(C1682&gt;=39814,"2009",IF(C1682&gt;=39448,"2008",IF(C1682&gt;39082,"2007",IF(C1682&lt;38717,"Pre-2006","2006")))))))</f>
        <v>Pre-2006</v>
      </c>
      <c r="H1682" s="98"/>
      <c r="I1682" s="71"/>
      <c r="J1682" s="61"/>
      <c r="K1682" s="62"/>
      <c r="L1682" s="63"/>
      <c r="M1682" s="59" t="str">
        <f t="shared" si="308"/>
        <v>NA</v>
      </c>
      <c r="N1682" s="17"/>
    </row>
    <row r="1683">
      <c r="A1683" s="9"/>
      <c r="B1683" s="38">
        <f t="shared" si="233"/>
        <v>1679</v>
      </c>
      <c r="C1683" s="34">
        <v>39316.0</v>
      </c>
      <c r="D1683" s="48" t="s">
        <v>1332</v>
      </c>
      <c r="E1683" s="13" t="s">
        <v>1327</v>
      </c>
      <c r="F1683" s="13">
        <v>6.0</v>
      </c>
      <c r="G1683" s="35" t="str">
        <f t="shared" si="311"/>
        <v>2007</v>
      </c>
      <c r="H1683" s="13" t="s">
        <v>15</v>
      </c>
      <c r="I1683" s="13" t="s">
        <v>21</v>
      </c>
      <c r="J1683" s="61"/>
      <c r="K1683" s="62"/>
      <c r="L1683" s="63"/>
      <c r="M1683" s="59" t="str">
        <f t="shared" si="308"/>
        <v>NA</v>
      </c>
      <c r="N1683" s="17"/>
    </row>
    <row r="1684">
      <c r="A1684" s="9"/>
      <c r="B1684" s="38">
        <f t="shared" si="233"/>
        <v>1680</v>
      </c>
      <c r="C1684" s="70"/>
      <c r="D1684" s="48" t="s">
        <v>1333</v>
      </c>
      <c r="E1684" s="13" t="s">
        <v>1327</v>
      </c>
      <c r="F1684" s="13">
        <v>6.0</v>
      </c>
      <c r="G1684" s="35" t="str">
        <f t="shared" si="311"/>
        <v>Pre-2006</v>
      </c>
      <c r="H1684" s="98"/>
      <c r="I1684" s="71"/>
      <c r="J1684" s="61"/>
      <c r="K1684" s="62"/>
      <c r="L1684" s="63"/>
      <c r="M1684" s="59" t="str">
        <f t="shared" si="308"/>
        <v>NA</v>
      </c>
      <c r="N1684" s="17"/>
    </row>
    <row r="1685">
      <c r="A1685" s="9"/>
      <c r="B1685" s="38">
        <f t="shared" si="233"/>
        <v>1681</v>
      </c>
      <c r="C1685" s="70"/>
      <c r="D1685" s="48" t="s">
        <v>1334</v>
      </c>
      <c r="E1685" s="13" t="s">
        <v>1327</v>
      </c>
      <c r="F1685" s="13">
        <v>6.0</v>
      </c>
      <c r="G1685" s="35" t="str">
        <f t="shared" si="311"/>
        <v>Pre-2006</v>
      </c>
      <c r="H1685" s="98"/>
      <c r="I1685" s="71"/>
      <c r="J1685" s="61"/>
      <c r="K1685" s="62"/>
      <c r="L1685" s="63"/>
      <c r="M1685" s="59" t="str">
        <f t="shared" si="308"/>
        <v>NA</v>
      </c>
      <c r="N1685" s="17"/>
    </row>
    <row r="1686">
      <c r="A1686" s="9"/>
      <c r="B1686" s="38">
        <f t="shared" si="233"/>
        <v>1682</v>
      </c>
      <c r="C1686" s="70"/>
      <c r="D1686" s="48" t="s">
        <v>1335</v>
      </c>
      <c r="E1686" s="13" t="s">
        <v>1327</v>
      </c>
      <c r="F1686" s="13">
        <v>6.0</v>
      </c>
      <c r="G1686" s="35" t="str">
        <f t="shared" si="311"/>
        <v>Pre-2006</v>
      </c>
      <c r="H1686" s="13" t="s">
        <v>15</v>
      </c>
      <c r="I1686" s="13" t="s">
        <v>26</v>
      </c>
      <c r="J1686" s="61"/>
      <c r="K1686" s="62"/>
      <c r="L1686" s="63"/>
      <c r="M1686" s="59" t="str">
        <f t="shared" si="308"/>
        <v>NA</v>
      </c>
      <c r="N1686" s="17"/>
    </row>
    <row r="1687">
      <c r="A1687" s="9"/>
      <c r="B1687" s="38">
        <f t="shared" si="233"/>
        <v>1683</v>
      </c>
      <c r="C1687" s="34">
        <v>40174.0</v>
      </c>
      <c r="D1687" s="48" t="s">
        <v>1336</v>
      </c>
      <c r="E1687" s="13" t="s">
        <v>1327</v>
      </c>
      <c r="F1687" s="13">
        <v>6.0</v>
      </c>
      <c r="G1687" s="35" t="str">
        <f t="shared" si="311"/>
        <v>2009</v>
      </c>
      <c r="H1687" s="13" t="s">
        <v>29</v>
      </c>
      <c r="I1687" s="13" t="s">
        <v>26</v>
      </c>
      <c r="J1687" s="14">
        <v>2009.0</v>
      </c>
      <c r="K1687" s="15">
        <v>0.14</v>
      </c>
      <c r="L1687" s="14">
        <v>103.0</v>
      </c>
      <c r="M1687" s="16">
        <f t="shared" si="308"/>
        <v>0.1359223301</v>
      </c>
      <c r="N1687" s="17"/>
    </row>
    <row r="1688">
      <c r="A1688" s="9"/>
      <c r="B1688" s="38">
        <f t="shared" si="233"/>
        <v>1684</v>
      </c>
      <c r="C1688" s="34">
        <v>43952.0</v>
      </c>
      <c r="D1688" s="12" t="str">
        <f>hyperlink("https://www.rottentomatoes.com/m/eurovision_song_contest_the_story_of_fire_saga","Eurovision Song Content: The Story of Fire Saga")</f>
        <v>Eurovision Song Content: The Story of Fire Saga</v>
      </c>
      <c r="E1688" s="33" t="s">
        <v>1327</v>
      </c>
      <c r="F1688" s="33">
        <v>6.0</v>
      </c>
      <c r="G1688" s="36">
        <v>2020.0</v>
      </c>
      <c r="H1688" s="99" t="s">
        <v>58</v>
      </c>
      <c r="I1688" s="33" t="s">
        <v>77</v>
      </c>
      <c r="J1688" s="57">
        <v>2020.0</v>
      </c>
      <c r="K1688" s="58">
        <v>0.64</v>
      </c>
      <c r="L1688" s="37">
        <v>120.0</v>
      </c>
      <c r="M1688" s="16">
        <f t="shared" si="308"/>
        <v>0.5333333333</v>
      </c>
      <c r="N1688" s="17"/>
    </row>
    <row r="1689">
      <c r="A1689" s="9"/>
      <c r="B1689" s="38">
        <f t="shared" si="233"/>
        <v>1685</v>
      </c>
      <c r="C1689" s="34">
        <v>39174.0</v>
      </c>
      <c r="D1689" s="48" t="s">
        <v>1337</v>
      </c>
      <c r="E1689" s="13" t="s">
        <v>1327</v>
      </c>
      <c r="F1689" s="13">
        <v>6.0</v>
      </c>
      <c r="G1689" s="35" t="str">
        <f t="shared" ref="G1689:G1695" si="312">IF(C1689&gt;40908,"2012",IF(C1689&gt;40543,"2011",IF(C1689&gt;40178,"2010",IF(C1689&gt;=39814,"2009",IF(C1689&gt;=39448,"2008",IF(C1689&gt;39082,"2007",IF(C1689&lt;38717,"Pre-2006","2006")))))))</f>
        <v>2007</v>
      </c>
      <c r="H1689" s="98"/>
      <c r="I1689" s="71"/>
      <c r="J1689" s="61"/>
      <c r="K1689" s="62"/>
      <c r="L1689" s="63"/>
      <c r="M1689" s="59" t="str">
        <f t="shared" si="308"/>
        <v>NA</v>
      </c>
      <c r="N1689" s="17"/>
    </row>
    <row r="1690">
      <c r="A1690" s="9"/>
      <c r="B1690" s="38">
        <f t="shared" si="233"/>
        <v>1686</v>
      </c>
      <c r="C1690" s="87">
        <f>C1689</f>
        <v>39174</v>
      </c>
      <c r="D1690" s="48" t="s">
        <v>1338</v>
      </c>
      <c r="E1690" s="13" t="s">
        <v>1327</v>
      </c>
      <c r="F1690" s="13">
        <v>6.0</v>
      </c>
      <c r="G1690" s="35" t="str">
        <f t="shared" si="312"/>
        <v>2007</v>
      </c>
      <c r="H1690" s="98"/>
      <c r="I1690" s="71"/>
      <c r="J1690" s="61"/>
      <c r="K1690" s="62"/>
      <c r="L1690" s="63"/>
      <c r="M1690" s="59" t="str">
        <f t="shared" si="308"/>
        <v>NA</v>
      </c>
      <c r="N1690" s="17"/>
    </row>
    <row r="1691">
      <c r="A1691" s="9"/>
      <c r="B1691" s="38">
        <f t="shared" si="233"/>
        <v>1687</v>
      </c>
      <c r="C1691" s="70"/>
      <c r="D1691" s="48" t="s">
        <v>1339</v>
      </c>
      <c r="E1691" s="13" t="s">
        <v>1327</v>
      </c>
      <c r="F1691" s="13">
        <v>6.0</v>
      </c>
      <c r="G1691" s="35" t="str">
        <f t="shared" si="312"/>
        <v>Pre-2006</v>
      </c>
      <c r="H1691" s="13" t="s">
        <v>17</v>
      </c>
      <c r="I1691" s="13" t="s">
        <v>16</v>
      </c>
      <c r="J1691" s="61"/>
      <c r="K1691" s="62"/>
      <c r="L1691" s="63"/>
      <c r="M1691" s="59" t="str">
        <f t="shared" si="308"/>
        <v>NA</v>
      </c>
      <c r="N1691" s="17"/>
    </row>
    <row r="1692">
      <c r="A1692" s="9"/>
      <c r="B1692" s="38">
        <f t="shared" si="233"/>
        <v>1688</v>
      </c>
      <c r="C1692" s="34">
        <v>38777.0</v>
      </c>
      <c r="D1692" s="48" t="s">
        <v>1340</v>
      </c>
      <c r="E1692" s="13" t="s">
        <v>1327</v>
      </c>
      <c r="F1692" s="13">
        <v>6.0</v>
      </c>
      <c r="G1692" s="35" t="str">
        <f t="shared" si="312"/>
        <v>2006</v>
      </c>
      <c r="H1692" s="98"/>
      <c r="I1692" s="71"/>
      <c r="J1692" s="61"/>
      <c r="K1692" s="62"/>
      <c r="L1692" s="63"/>
      <c r="M1692" s="59" t="str">
        <f t="shared" si="308"/>
        <v>NA</v>
      </c>
      <c r="N1692" s="17"/>
    </row>
    <row r="1693">
      <c r="A1693" s="9"/>
      <c r="B1693" s="38">
        <f t="shared" si="233"/>
        <v>1689</v>
      </c>
      <c r="C1693" s="34">
        <v>39242.0</v>
      </c>
      <c r="D1693" s="48" t="s">
        <v>1341</v>
      </c>
      <c r="E1693" s="13" t="s">
        <v>1327</v>
      </c>
      <c r="F1693" s="13">
        <v>6.0</v>
      </c>
      <c r="G1693" s="35" t="str">
        <f t="shared" si="312"/>
        <v>2007</v>
      </c>
      <c r="H1693" s="98"/>
      <c r="I1693" s="71"/>
      <c r="J1693" s="61"/>
      <c r="K1693" s="62"/>
      <c r="L1693" s="63"/>
      <c r="M1693" s="59" t="str">
        <f t="shared" si="308"/>
        <v>NA</v>
      </c>
      <c r="N1693" s="17"/>
    </row>
    <row r="1694">
      <c r="A1694" s="9"/>
      <c r="B1694" s="38">
        <f t="shared" si="233"/>
        <v>1690</v>
      </c>
      <c r="C1694" s="70"/>
      <c r="D1694" s="48" t="s">
        <v>1342</v>
      </c>
      <c r="E1694" s="13" t="s">
        <v>1327</v>
      </c>
      <c r="F1694" s="13">
        <v>6.0</v>
      </c>
      <c r="G1694" s="35" t="str">
        <f t="shared" si="312"/>
        <v>Pre-2006</v>
      </c>
      <c r="H1694" s="98"/>
      <c r="I1694" s="71"/>
      <c r="J1694" s="61"/>
      <c r="K1694" s="62"/>
      <c r="L1694" s="63"/>
      <c r="M1694" s="59" t="str">
        <f t="shared" si="308"/>
        <v>NA</v>
      </c>
      <c r="N1694" s="17"/>
    </row>
    <row r="1695">
      <c r="A1695" s="9"/>
      <c r="B1695" s="38">
        <f t="shared" si="233"/>
        <v>1691</v>
      </c>
      <c r="C1695" s="34">
        <v>40188.0</v>
      </c>
      <c r="D1695" s="48" t="s">
        <v>1343</v>
      </c>
      <c r="E1695" s="13" t="s">
        <v>1327</v>
      </c>
      <c r="F1695" s="13">
        <v>6.0</v>
      </c>
      <c r="G1695" s="35" t="str">
        <f t="shared" si="312"/>
        <v>2010</v>
      </c>
      <c r="H1695" s="13" t="s">
        <v>27</v>
      </c>
      <c r="I1695" s="13" t="s">
        <v>511</v>
      </c>
      <c r="J1695" s="14">
        <v>2007.0</v>
      </c>
      <c r="K1695" s="15">
        <v>0.3</v>
      </c>
      <c r="L1695" s="14">
        <v>116.0</v>
      </c>
      <c r="M1695" s="16">
        <f t="shared" si="308"/>
        <v>0.2586206897</v>
      </c>
      <c r="N1695" s="17"/>
    </row>
    <row r="1696">
      <c r="A1696" s="9"/>
      <c r="B1696" s="38">
        <f t="shared" si="233"/>
        <v>1692</v>
      </c>
      <c r="C1696" s="34">
        <v>44842.0</v>
      </c>
      <c r="D1696" s="12" t="str">
        <f>hyperlink("https://www.rottentomatoes.com/m/hes_just_not_that_into_you","He's just not that into you")</f>
        <v>He's just not that into you</v>
      </c>
      <c r="E1696" s="33" t="s">
        <v>1327</v>
      </c>
      <c r="F1696" s="33">
        <v>6.0</v>
      </c>
      <c r="G1696" s="36">
        <v>2022.0</v>
      </c>
      <c r="H1696" s="33" t="s">
        <v>58</v>
      </c>
      <c r="I1696" s="33" t="s">
        <v>47</v>
      </c>
      <c r="J1696" s="37">
        <v>2009.0</v>
      </c>
      <c r="K1696" s="15">
        <v>0.41</v>
      </c>
      <c r="L1696" s="37">
        <v>129.0</v>
      </c>
      <c r="M1696" s="16">
        <f t="shared" si="308"/>
        <v>0.3178294574</v>
      </c>
      <c r="N1696" s="17"/>
    </row>
    <row r="1697">
      <c r="A1697" s="9"/>
      <c r="B1697" s="38">
        <f t="shared" si="233"/>
        <v>1693</v>
      </c>
      <c r="C1697" s="34">
        <v>40603.0</v>
      </c>
      <c r="D1697" s="48" t="s">
        <v>1344</v>
      </c>
      <c r="E1697" s="13" t="s">
        <v>1327</v>
      </c>
      <c r="F1697" s="13">
        <v>6.0</v>
      </c>
      <c r="G1697" s="35" t="str">
        <f t="shared" ref="G1697:G1698" si="313">IF(C1697&gt;40908,"2012",IF(C1697&gt;40543,"2011",IF(C1697&gt;40178,"2010",IF(C1697&gt;=39814,"2009",IF(C1697&gt;=39448,"2008",IF(C1697&gt;39082,"2007",IF(C1697&lt;38717,"Pre-2006","2006")))))))</f>
        <v>2011</v>
      </c>
      <c r="H1697" s="13" t="s">
        <v>25</v>
      </c>
      <c r="I1697" s="13" t="s">
        <v>77</v>
      </c>
      <c r="J1697" s="14">
        <v>2010.0</v>
      </c>
      <c r="K1697" s="15">
        <v>0.64</v>
      </c>
      <c r="L1697" s="14">
        <v>100.0</v>
      </c>
      <c r="M1697" s="16">
        <f t="shared" si="308"/>
        <v>0.64</v>
      </c>
      <c r="N1697" s="17"/>
    </row>
    <row r="1698">
      <c r="A1698" s="9"/>
      <c r="B1698" s="38">
        <f t="shared" si="233"/>
        <v>1694</v>
      </c>
      <c r="C1698" s="70"/>
      <c r="D1698" s="48" t="s">
        <v>1345</v>
      </c>
      <c r="E1698" s="13" t="s">
        <v>1327</v>
      </c>
      <c r="F1698" s="13">
        <v>6.0</v>
      </c>
      <c r="G1698" s="35" t="str">
        <f t="shared" si="313"/>
        <v>Pre-2006</v>
      </c>
      <c r="H1698" s="98"/>
      <c r="I1698" s="71"/>
      <c r="J1698" s="61"/>
      <c r="K1698" s="62"/>
      <c r="L1698" s="63"/>
      <c r="M1698" s="59" t="str">
        <f t="shared" si="308"/>
        <v>NA</v>
      </c>
      <c r="N1698" s="17"/>
    </row>
    <row r="1699">
      <c r="A1699" s="9"/>
      <c r="B1699" s="38">
        <f t="shared" si="233"/>
        <v>1695</v>
      </c>
      <c r="C1699" s="34">
        <v>44761.0</v>
      </c>
      <c r="D1699" s="12" t="str">
        <f>hyperlink("https://www.rottentomatoes.com/m/just_like_heaven","Just Like Heaven")</f>
        <v>Just Like Heaven</v>
      </c>
      <c r="E1699" s="33" t="s">
        <v>1327</v>
      </c>
      <c r="F1699" s="33">
        <v>6.0</v>
      </c>
      <c r="G1699" s="36">
        <v>2022.0</v>
      </c>
      <c r="H1699" s="99" t="s">
        <v>58</v>
      </c>
      <c r="I1699" s="33" t="s">
        <v>77</v>
      </c>
      <c r="J1699" s="57">
        <v>2005.0</v>
      </c>
      <c r="K1699" s="82" t="s">
        <v>933</v>
      </c>
      <c r="L1699" s="37">
        <v>95.0</v>
      </c>
      <c r="M1699" s="16" t="str">
        <f t="shared" si="308"/>
        <v>NA</v>
      </c>
      <c r="N1699" s="17"/>
    </row>
    <row r="1700">
      <c r="A1700" s="9"/>
      <c r="B1700" s="38">
        <f t="shared" si="233"/>
        <v>1696</v>
      </c>
      <c r="C1700" s="70"/>
      <c r="D1700" s="48" t="s">
        <v>1346</v>
      </c>
      <c r="E1700" s="13" t="s">
        <v>1327</v>
      </c>
      <c r="F1700" s="13">
        <v>6.0</v>
      </c>
      <c r="G1700" s="35" t="str">
        <f t="shared" ref="G1700:G1701" si="314">IF(C1700&gt;40908,"2012",IF(C1700&gt;40543,"2011",IF(C1700&gt;40178,"2010",IF(C1700&gt;=39814,"2009",IF(C1700&gt;=39448,"2008",IF(C1700&gt;39082,"2007",IF(C1700&lt;38717,"Pre-2006","2006")))))))</f>
        <v>Pre-2006</v>
      </c>
      <c r="H1700" s="98"/>
      <c r="I1700" s="71"/>
      <c r="J1700" s="61"/>
      <c r="K1700" s="62"/>
      <c r="L1700" s="63"/>
      <c r="M1700" s="59" t="str">
        <f t="shared" si="308"/>
        <v>NA</v>
      </c>
      <c r="N1700" s="17"/>
    </row>
    <row r="1701">
      <c r="A1701" s="9"/>
      <c r="B1701" s="38">
        <f t="shared" si="233"/>
        <v>1697</v>
      </c>
      <c r="C1701" s="70"/>
      <c r="D1701" s="48" t="s">
        <v>1347</v>
      </c>
      <c r="E1701" s="13" t="s">
        <v>1327</v>
      </c>
      <c r="F1701" s="13">
        <v>6.0</v>
      </c>
      <c r="G1701" s="35" t="str">
        <f t="shared" si="314"/>
        <v>Pre-2006</v>
      </c>
      <c r="H1701" s="13" t="s">
        <v>17</v>
      </c>
      <c r="I1701" s="13" t="s">
        <v>26</v>
      </c>
      <c r="J1701" s="61"/>
      <c r="K1701" s="62"/>
      <c r="L1701" s="63"/>
      <c r="M1701" s="59" t="str">
        <f t="shared" si="308"/>
        <v>NA</v>
      </c>
      <c r="N1701" s="17"/>
    </row>
    <row r="1702">
      <c r="A1702" s="9"/>
      <c r="B1702" s="38">
        <f t="shared" si="233"/>
        <v>1698</v>
      </c>
      <c r="C1702" s="34">
        <v>45387.0</v>
      </c>
      <c r="D1702" s="12" t="str">
        <f>hyperlink("https://www.rottentomatoes.com/m/a_nice_girl_like_you","Nice Girl Like You, A")</f>
        <v>Nice Girl Like You, A</v>
      </c>
      <c r="E1702" s="33" t="s">
        <v>1327</v>
      </c>
      <c r="F1702" s="33">
        <v>6.0</v>
      </c>
      <c r="G1702" s="36">
        <v>2024.0</v>
      </c>
      <c r="H1702" s="99" t="s">
        <v>58</v>
      </c>
      <c r="I1702" s="33" t="s">
        <v>77</v>
      </c>
      <c r="J1702" s="57">
        <v>2020.0</v>
      </c>
      <c r="K1702" s="58">
        <v>0.1</v>
      </c>
      <c r="L1702" s="37">
        <v>94.0</v>
      </c>
      <c r="M1702" s="16">
        <f t="shared" si="308"/>
        <v>0.1063829787</v>
      </c>
      <c r="N1702" s="17"/>
    </row>
    <row r="1703">
      <c r="A1703" s="9"/>
      <c r="B1703" s="38">
        <f t="shared" si="233"/>
        <v>1699</v>
      </c>
      <c r="C1703" s="70"/>
      <c r="D1703" s="64" t="s">
        <v>1348</v>
      </c>
      <c r="E1703" s="13" t="s">
        <v>1327</v>
      </c>
      <c r="F1703" s="13">
        <v>6.0</v>
      </c>
      <c r="G1703" s="35" t="str">
        <f t="shared" ref="G1703:G1706" si="315">IF(C1703&gt;40908,"2012",IF(C1703&gt;40543,"2011",IF(C1703&gt;40178,"2010",IF(C1703&gt;=39814,"2009",IF(C1703&gt;=39448,"2008",IF(C1703&gt;39082,"2007",IF(C1703&lt;38717,"Pre-2006","2006")))))))</f>
        <v>Pre-2006</v>
      </c>
      <c r="H1703" s="98"/>
      <c r="I1703" s="71"/>
      <c r="J1703" s="61"/>
      <c r="K1703" s="62"/>
      <c r="L1703" s="63"/>
      <c r="M1703" s="59" t="str">
        <f t="shared" si="308"/>
        <v>NA</v>
      </c>
      <c r="N1703" s="17"/>
    </row>
    <row r="1704">
      <c r="A1704" s="9"/>
      <c r="B1704" s="38">
        <f t="shared" si="233"/>
        <v>1700</v>
      </c>
      <c r="C1704" s="70"/>
      <c r="D1704" s="64" t="s">
        <v>1349</v>
      </c>
      <c r="E1704" s="13" t="s">
        <v>1327</v>
      </c>
      <c r="F1704" s="13">
        <v>6.0</v>
      </c>
      <c r="G1704" s="35" t="str">
        <f t="shared" si="315"/>
        <v>Pre-2006</v>
      </c>
      <c r="H1704" s="98"/>
      <c r="I1704" s="71"/>
      <c r="J1704" s="61"/>
      <c r="K1704" s="62"/>
      <c r="L1704" s="63"/>
      <c r="M1704" s="59" t="str">
        <f t="shared" si="308"/>
        <v>NA</v>
      </c>
      <c r="N1704" s="17"/>
    </row>
    <row r="1705">
      <c r="A1705" s="9"/>
      <c r="B1705" s="38">
        <f t="shared" si="233"/>
        <v>1701</v>
      </c>
      <c r="C1705" s="70"/>
      <c r="D1705" s="64" t="s">
        <v>1350</v>
      </c>
      <c r="E1705" s="13" t="s">
        <v>1327</v>
      </c>
      <c r="F1705" s="13">
        <v>6.0</v>
      </c>
      <c r="G1705" s="35" t="str">
        <f t="shared" si="315"/>
        <v>Pre-2006</v>
      </c>
      <c r="H1705" s="98"/>
      <c r="I1705" s="71"/>
      <c r="J1705" s="61"/>
      <c r="K1705" s="62"/>
      <c r="L1705" s="63"/>
      <c r="M1705" s="59" t="str">
        <f t="shared" si="308"/>
        <v>NA</v>
      </c>
      <c r="N1705" s="17"/>
    </row>
    <row r="1706">
      <c r="A1706" s="9"/>
      <c r="B1706" s="38">
        <f t="shared" si="233"/>
        <v>1702</v>
      </c>
      <c r="C1706" s="70"/>
      <c r="D1706" s="48" t="s">
        <v>1351</v>
      </c>
      <c r="E1706" s="13" t="s">
        <v>1327</v>
      </c>
      <c r="F1706" s="13">
        <v>6.0</v>
      </c>
      <c r="G1706" s="35" t="str">
        <f t="shared" si="315"/>
        <v>Pre-2006</v>
      </c>
      <c r="H1706" s="98"/>
      <c r="I1706" s="71"/>
      <c r="J1706" s="61"/>
      <c r="K1706" s="62"/>
      <c r="L1706" s="63"/>
      <c r="M1706" s="59" t="str">
        <f t="shared" si="308"/>
        <v>NA</v>
      </c>
      <c r="N1706" s="17"/>
    </row>
    <row r="1707">
      <c r="A1707" s="9"/>
      <c r="B1707" s="38">
        <f t="shared" si="233"/>
        <v>1703</v>
      </c>
      <c r="C1707" s="34">
        <v>45118.0</v>
      </c>
      <c r="D1707" s="12" t="str">
        <f>hyperlink("https://www.rottentomatoes.com/m/the_out_laws","Out-Laws, The")</f>
        <v>Out-Laws, The</v>
      </c>
      <c r="E1707" s="33" t="s">
        <v>1327</v>
      </c>
      <c r="F1707" s="33">
        <v>6.0</v>
      </c>
      <c r="G1707" s="36">
        <v>2023.0</v>
      </c>
      <c r="H1707" s="99" t="s">
        <v>58</v>
      </c>
      <c r="I1707" s="33" t="s">
        <v>77</v>
      </c>
      <c r="J1707" s="57">
        <v>2023.0</v>
      </c>
      <c r="K1707" s="58">
        <v>0.2</v>
      </c>
      <c r="L1707" s="37">
        <v>95.0</v>
      </c>
      <c r="M1707" s="59">
        <f t="shared" si="308"/>
        <v>0.2105263158</v>
      </c>
      <c r="N1707" s="17"/>
    </row>
    <row r="1708">
      <c r="A1708" s="9"/>
      <c r="B1708" s="38">
        <f t="shared" si="233"/>
        <v>1704</v>
      </c>
      <c r="C1708" s="34">
        <v>44921.0</v>
      </c>
      <c r="D1708" s="12" t="str">
        <f>hyperlink("https://www.rottentomatoes.com/m/0814255","Percy Jackson and the Olympians: The Lightning Thief")</f>
        <v>Percy Jackson and the Olympians: The Lightning Thief</v>
      </c>
      <c r="E1708" s="33" t="s">
        <v>1327</v>
      </c>
      <c r="F1708" s="33">
        <v>6.0</v>
      </c>
      <c r="G1708" s="36">
        <v>2022.0</v>
      </c>
      <c r="H1708" s="33" t="s">
        <v>58</v>
      </c>
      <c r="I1708" s="13" t="s">
        <v>47</v>
      </c>
      <c r="J1708" s="37">
        <v>2010.0</v>
      </c>
      <c r="K1708" s="15">
        <v>0.49</v>
      </c>
      <c r="L1708" s="37">
        <v>119.0</v>
      </c>
      <c r="M1708" s="59">
        <f t="shared" si="308"/>
        <v>0.4117647059</v>
      </c>
      <c r="N1708" s="17"/>
    </row>
    <row r="1709">
      <c r="A1709" s="9"/>
      <c r="B1709" s="38">
        <f t="shared" si="233"/>
        <v>1705</v>
      </c>
      <c r="C1709" s="34">
        <v>43571.0</v>
      </c>
      <c r="D1709" s="12" t="str">
        <f>hyperlink("https://rottentomatoes.com/m/the_perfect_date","Perfect Date, The")</f>
        <v>Perfect Date, The</v>
      </c>
      <c r="E1709" s="33" t="s">
        <v>1327</v>
      </c>
      <c r="F1709" s="33">
        <v>6.0</v>
      </c>
      <c r="G1709" s="36">
        <v>2019.0</v>
      </c>
      <c r="H1709" s="33" t="s">
        <v>58</v>
      </c>
      <c r="I1709" s="33" t="s">
        <v>77</v>
      </c>
      <c r="J1709" s="37">
        <v>2019.0</v>
      </c>
      <c r="K1709" s="15">
        <v>0.69</v>
      </c>
      <c r="L1709" s="37">
        <v>89.0</v>
      </c>
      <c r="M1709" s="59">
        <f t="shared" si="308"/>
        <v>0.7752808989</v>
      </c>
      <c r="N1709" s="17"/>
    </row>
    <row r="1710">
      <c r="A1710" s="9"/>
      <c r="B1710" s="38">
        <f t="shared" si="233"/>
        <v>1706</v>
      </c>
      <c r="C1710" s="34">
        <v>39508.0</v>
      </c>
      <c r="D1710" s="48" t="s">
        <v>1352</v>
      </c>
      <c r="E1710" s="13" t="s">
        <v>1327</v>
      </c>
      <c r="F1710" s="13">
        <v>6.0</v>
      </c>
      <c r="G1710" s="35" t="str">
        <f>IF(C1710&gt;40908,"2012",IF(C1710&gt;40543,"2011",IF(C1710&gt;40178,"2010",IF(C1710&gt;=39814,"2009",IF(C1710&gt;=39448,"2008",IF(C1710&gt;39082,"2007",IF(C1710&lt;38717,"Pre-2006","2006")))))))</f>
        <v>2008</v>
      </c>
      <c r="H1710" s="13" t="s">
        <v>17</v>
      </c>
      <c r="I1710" s="13" t="s">
        <v>26</v>
      </c>
      <c r="J1710" s="14">
        <v>2008.0</v>
      </c>
      <c r="K1710" s="15">
        <v>0.25</v>
      </c>
      <c r="L1710" s="14">
        <v>85.0</v>
      </c>
      <c r="M1710" s="16">
        <f t="shared" si="308"/>
        <v>0.2941176471</v>
      </c>
      <c r="N1710" s="17"/>
    </row>
    <row r="1711">
      <c r="A1711" s="9"/>
      <c r="B1711" s="38">
        <f t="shared" si="233"/>
        <v>1707</v>
      </c>
      <c r="C1711" s="75">
        <v>43575.0</v>
      </c>
      <c r="D1711" s="12" t="str">
        <f>HYPERLINK("https://rottentomatoes.com/m/sierra_burgess_is_a_loser","Sierra Burgess is a Loser")</f>
        <v>Sierra Burgess is a Loser</v>
      </c>
      <c r="E1711" s="33" t="s">
        <v>1327</v>
      </c>
      <c r="F1711" s="33">
        <v>6.0</v>
      </c>
      <c r="G1711" s="36">
        <v>2019.0</v>
      </c>
      <c r="H1711" s="33" t="s">
        <v>58</v>
      </c>
      <c r="I1711" s="33" t="s">
        <v>77</v>
      </c>
      <c r="J1711" s="57">
        <v>2019.0</v>
      </c>
      <c r="K1711" s="58">
        <v>0.61</v>
      </c>
      <c r="L1711" s="37">
        <v>100.0</v>
      </c>
      <c r="M1711" s="16">
        <f t="shared" si="308"/>
        <v>0.61</v>
      </c>
      <c r="N1711" s="17"/>
    </row>
    <row r="1712">
      <c r="A1712" s="9"/>
      <c r="B1712" s="38">
        <f t="shared" si="233"/>
        <v>1708</v>
      </c>
      <c r="C1712" s="70"/>
      <c r="D1712" s="48" t="s">
        <v>1353</v>
      </c>
      <c r="E1712" s="13" t="s">
        <v>1327</v>
      </c>
      <c r="F1712" s="13">
        <v>6.0</v>
      </c>
      <c r="G1712" s="35" t="str">
        <f t="shared" ref="G1712:G1715" si="316">IF(C1712&gt;40908,"2012",IF(C1712&gt;40543,"2011",IF(C1712&gt;40178,"2010",IF(C1712&gt;=39814,"2009",IF(C1712&gt;=39448,"2008",IF(C1712&gt;39082,"2007",IF(C1712&lt;38717,"Pre-2006","2006")))))))</f>
        <v>Pre-2006</v>
      </c>
      <c r="H1712" s="13" t="s">
        <v>66</v>
      </c>
      <c r="I1712" s="13" t="s">
        <v>26</v>
      </c>
      <c r="J1712" s="61"/>
      <c r="K1712" s="62"/>
      <c r="L1712" s="63"/>
      <c r="M1712" s="59" t="str">
        <f t="shared" si="308"/>
        <v>NA</v>
      </c>
      <c r="N1712" s="17"/>
    </row>
    <row r="1713">
      <c r="A1713" s="9"/>
      <c r="B1713" s="38">
        <f t="shared" si="233"/>
        <v>1709</v>
      </c>
      <c r="C1713" s="34">
        <v>40483.0</v>
      </c>
      <c r="D1713" s="48" t="s">
        <v>1354</v>
      </c>
      <c r="E1713" s="13" t="s">
        <v>1327</v>
      </c>
      <c r="F1713" s="13">
        <v>6.0</v>
      </c>
      <c r="G1713" s="35" t="str">
        <f t="shared" si="316"/>
        <v>2010</v>
      </c>
      <c r="H1713" s="13" t="s">
        <v>58</v>
      </c>
      <c r="I1713" s="13" t="s">
        <v>47</v>
      </c>
      <c r="J1713" s="14">
        <v>2010.0</v>
      </c>
      <c r="K1713" s="15">
        <v>0.18</v>
      </c>
      <c r="L1713" s="14">
        <v>123.0</v>
      </c>
      <c r="M1713" s="16">
        <f t="shared" si="308"/>
        <v>0.1463414634</v>
      </c>
      <c r="N1713" s="17"/>
    </row>
    <row r="1714">
      <c r="A1714" s="9"/>
      <c r="B1714" s="38">
        <f t="shared" si="233"/>
        <v>1710</v>
      </c>
      <c r="C1714" s="70"/>
      <c r="D1714" s="48" t="s">
        <v>1355</v>
      </c>
      <c r="E1714" s="13" t="s">
        <v>1327</v>
      </c>
      <c r="F1714" s="13">
        <v>6.0</v>
      </c>
      <c r="G1714" s="35" t="str">
        <f t="shared" si="316"/>
        <v>Pre-2006</v>
      </c>
      <c r="H1714" s="13" t="s">
        <v>15</v>
      </c>
      <c r="I1714" s="13" t="s">
        <v>16</v>
      </c>
      <c r="J1714" s="61"/>
      <c r="K1714" s="62"/>
      <c r="L1714" s="63"/>
      <c r="M1714" s="59" t="str">
        <f t="shared" si="308"/>
        <v>NA</v>
      </c>
      <c r="N1714" s="17"/>
    </row>
    <row r="1715">
      <c r="A1715" s="9"/>
      <c r="B1715" s="38">
        <f t="shared" si="233"/>
        <v>1711</v>
      </c>
      <c r="C1715" s="34">
        <v>39116.0</v>
      </c>
      <c r="D1715" s="48" t="s">
        <v>1356</v>
      </c>
      <c r="E1715" s="13" t="s">
        <v>1327</v>
      </c>
      <c r="F1715" s="13">
        <v>6.0</v>
      </c>
      <c r="G1715" s="35" t="str">
        <f t="shared" si="316"/>
        <v>2007</v>
      </c>
      <c r="H1715" s="13" t="s">
        <v>17</v>
      </c>
      <c r="I1715" s="13" t="s">
        <v>47</v>
      </c>
      <c r="J1715" s="61"/>
      <c r="K1715" s="62"/>
      <c r="L1715" s="63"/>
      <c r="M1715" s="59" t="str">
        <f t="shared" si="308"/>
        <v>NA</v>
      </c>
      <c r="N1715" s="17"/>
    </row>
    <row r="1716">
      <c r="A1716" s="9"/>
      <c r="B1716" s="38">
        <f t="shared" si="233"/>
        <v>1712</v>
      </c>
      <c r="C1716" s="34">
        <v>41447.0</v>
      </c>
      <c r="D1716" s="48" t="s">
        <v>1357</v>
      </c>
      <c r="E1716" s="13" t="s">
        <v>1327</v>
      </c>
      <c r="F1716" s="13">
        <v>6.0</v>
      </c>
      <c r="G1716" s="13">
        <v>2013.0</v>
      </c>
      <c r="H1716" s="79" t="s">
        <v>25</v>
      </c>
      <c r="I1716" s="13" t="s">
        <v>26</v>
      </c>
      <c r="J1716" s="55">
        <v>2013.0</v>
      </c>
      <c r="K1716" s="56">
        <v>0.56</v>
      </c>
      <c r="L1716" s="14">
        <v>148.0</v>
      </c>
      <c r="M1716" s="16">
        <f t="shared" si="308"/>
        <v>0.3783783784</v>
      </c>
      <c r="N1716" s="17"/>
    </row>
    <row r="1717">
      <c r="A1717" s="1"/>
      <c r="B1717" s="105">
        <f t="shared" si="233"/>
        <v>1713</v>
      </c>
      <c r="C1717" s="41">
        <v>42921.0</v>
      </c>
      <c r="D1717" s="104" t="str">
        <f>hyperlink("https://www.rottentomatoes.com/m/baby_driver","Baby Driver")</f>
        <v>Baby Driver</v>
      </c>
      <c r="E1717" s="76" t="s">
        <v>1358</v>
      </c>
      <c r="F1717" s="76">
        <v>5.0</v>
      </c>
      <c r="G1717" s="77">
        <v>2017.0</v>
      </c>
      <c r="H1717" s="106" t="s">
        <v>25</v>
      </c>
      <c r="I1717" s="107" t="s">
        <v>26</v>
      </c>
      <c r="J1717" s="108">
        <v>2017.0</v>
      </c>
      <c r="K1717" s="109">
        <v>0.97</v>
      </c>
      <c r="L1717" s="78">
        <v>113.0</v>
      </c>
      <c r="M1717" s="69">
        <f t="shared" si="308"/>
        <v>0.8584070796</v>
      </c>
      <c r="N1717" s="1"/>
    </row>
    <row r="1718">
      <c r="A1718" s="9"/>
      <c r="B1718" s="38">
        <f t="shared" si="233"/>
        <v>1714</v>
      </c>
      <c r="C1718" s="70"/>
      <c r="D1718" s="48" t="s">
        <v>1359</v>
      </c>
      <c r="E1718" s="13" t="s">
        <v>1358</v>
      </c>
      <c r="F1718" s="13">
        <v>5.0</v>
      </c>
      <c r="G1718" s="35" t="str">
        <f t="shared" ref="G1718:G1721" si="317">IF(C1718&gt;40908,"2012",IF(C1718&gt;40543,"2011",IF(C1718&gt;40178,"2010",IF(C1718&gt;=39814,"2009",IF(C1718&gt;=39448,"2008",IF(C1718&gt;39082,"2007",IF(C1718&lt;38717,"Pre-2006","2006")))))))</f>
        <v>Pre-2006</v>
      </c>
      <c r="H1718" s="98"/>
      <c r="I1718" s="13" t="s">
        <v>47</v>
      </c>
      <c r="J1718" s="61"/>
      <c r="K1718" s="62"/>
      <c r="L1718" s="63"/>
      <c r="M1718" s="59" t="str">
        <f t="shared" si="308"/>
        <v>NA</v>
      </c>
      <c r="N1718" s="17"/>
    </row>
    <row r="1719">
      <c r="A1719" s="9"/>
      <c r="B1719" s="38">
        <f t="shared" si="233"/>
        <v>1715</v>
      </c>
      <c r="C1719" s="34">
        <v>39318.0</v>
      </c>
      <c r="D1719" s="48" t="s">
        <v>1360</v>
      </c>
      <c r="E1719" s="13" t="s">
        <v>1358</v>
      </c>
      <c r="F1719" s="13">
        <v>5.0</v>
      </c>
      <c r="G1719" s="35" t="str">
        <f t="shared" si="317"/>
        <v>2007</v>
      </c>
      <c r="H1719" s="13" t="s">
        <v>15</v>
      </c>
      <c r="I1719" s="13" t="s">
        <v>21</v>
      </c>
      <c r="J1719" s="61"/>
      <c r="K1719" s="62"/>
      <c r="L1719" s="63"/>
      <c r="M1719" s="59" t="str">
        <f t="shared" si="308"/>
        <v>NA</v>
      </c>
      <c r="N1719" s="17"/>
    </row>
    <row r="1720">
      <c r="A1720" s="9"/>
      <c r="B1720" s="38">
        <f t="shared" si="233"/>
        <v>1716</v>
      </c>
      <c r="C1720" s="34">
        <v>39319.0</v>
      </c>
      <c r="D1720" s="48" t="s">
        <v>1361</v>
      </c>
      <c r="E1720" s="13" t="s">
        <v>1358</v>
      </c>
      <c r="F1720" s="13">
        <v>5.0</v>
      </c>
      <c r="G1720" s="35" t="str">
        <f t="shared" si="317"/>
        <v>2007</v>
      </c>
      <c r="H1720" s="13" t="s">
        <v>15</v>
      </c>
      <c r="I1720" s="13" t="s">
        <v>21</v>
      </c>
      <c r="J1720" s="61"/>
      <c r="K1720" s="62"/>
      <c r="L1720" s="63"/>
      <c r="M1720" s="59" t="str">
        <f t="shared" si="308"/>
        <v>NA</v>
      </c>
      <c r="N1720" s="17"/>
    </row>
    <row r="1721">
      <c r="A1721" s="9"/>
      <c r="B1721" s="38">
        <f t="shared" si="233"/>
        <v>1717</v>
      </c>
      <c r="C1721" s="34">
        <v>39617.0</v>
      </c>
      <c r="D1721" s="48" t="s">
        <v>1362</v>
      </c>
      <c r="E1721" s="13" t="s">
        <v>1358</v>
      </c>
      <c r="F1721" s="13">
        <v>5.0</v>
      </c>
      <c r="G1721" s="35" t="str">
        <f t="shared" si="317"/>
        <v>2008</v>
      </c>
      <c r="H1721" s="13" t="s">
        <v>155</v>
      </c>
      <c r="I1721" s="13" t="s">
        <v>511</v>
      </c>
      <c r="J1721" s="14">
        <v>2003.0</v>
      </c>
      <c r="K1721" s="15">
        <v>0.29</v>
      </c>
      <c r="L1721" s="14">
        <v>116.0</v>
      </c>
      <c r="M1721" s="16">
        <f t="shared" si="308"/>
        <v>0.25</v>
      </c>
      <c r="N1721" s="17"/>
    </row>
    <row r="1722" ht="12.75" customHeight="1">
      <c r="A1722" s="9"/>
      <c r="B1722" s="38">
        <f t="shared" si="233"/>
        <v>1718</v>
      </c>
      <c r="C1722" s="34">
        <v>43827.0</v>
      </c>
      <c r="D1722" s="12" t="str">
        <f>hyperlink("https://www.rottentomatoes.com/m/shazam","Shazam")</f>
        <v>Shazam</v>
      </c>
      <c r="E1722" s="33" t="s">
        <v>1358</v>
      </c>
      <c r="F1722" s="33">
        <v>5.0</v>
      </c>
      <c r="G1722" s="36">
        <v>2019.0</v>
      </c>
      <c r="H1722" s="99" t="s">
        <v>58</v>
      </c>
      <c r="I1722" s="33" t="s">
        <v>1363</v>
      </c>
      <c r="J1722" s="57">
        <v>2019.0</v>
      </c>
      <c r="K1722" s="58">
        <v>0.9</v>
      </c>
      <c r="L1722" s="37">
        <v>130.0</v>
      </c>
      <c r="M1722" s="16">
        <f t="shared" si="308"/>
        <v>0.6923076923</v>
      </c>
      <c r="N1722" s="17"/>
    </row>
    <row r="1723">
      <c r="A1723" s="9"/>
      <c r="B1723" s="38">
        <f t="shared" si="233"/>
        <v>1719</v>
      </c>
      <c r="C1723" s="34">
        <v>44760.0</v>
      </c>
      <c r="D1723" s="12" t="str">
        <f>hyperlink("https://www.rottentomatoes.com/m/spiderhead","Spiderhead")</f>
        <v>Spiderhead</v>
      </c>
      <c r="E1723" s="33" t="s">
        <v>1358</v>
      </c>
      <c r="F1723" s="33">
        <v>5.0</v>
      </c>
      <c r="G1723" s="36">
        <v>2022.0</v>
      </c>
      <c r="H1723" s="99" t="s">
        <v>58</v>
      </c>
      <c r="I1723" s="33" t="s">
        <v>77</v>
      </c>
      <c r="J1723" s="57">
        <v>2022.0</v>
      </c>
      <c r="K1723" s="58">
        <v>0.38</v>
      </c>
      <c r="L1723" s="37">
        <v>107.0</v>
      </c>
      <c r="M1723" s="16">
        <f t="shared" si="308"/>
        <v>0.3551401869</v>
      </c>
      <c r="N1723" s="17"/>
    </row>
    <row r="1724">
      <c r="A1724" s="9"/>
      <c r="B1724" s="38">
        <f t="shared" si="233"/>
        <v>1720</v>
      </c>
      <c r="C1724" s="70"/>
      <c r="D1724" s="48" t="s">
        <v>1364</v>
      </c>
      <c r="E1724" s="13" t="s">
        <v>1358</v>
      </c>
      <c r="F1724" s="13">
        <v>5.0</v>
      </c>
      <c r="G1724" s="35" t="str">
        <f t="shared" ref="G1724:G1732" si="318">IF(C1724&gt;40908,"2012",IF(C1724&gt;40543,"2011",IF(C1724&gt;40178,"2010",IF(C1724&gt;=39814,"2009",IF(C1724&gt;=39448,"2008",IF(C1724&gt;39082,"2007",IF(C1724&lt;38717,"Pre-2006","2006")))))))</f>
        <v>Pre-2006</v>
      </c>
      <c r="H1724" s="98"/>
      <c r="I1724" s="13" t="s">
        <v>21</v>
      </c>
      <c r="J1724" s="61"/>
      <c r="K1724" s="62"/>
      <c r="L1724" s="63"/>
      <c r="M1724" s="59" t="str">
        <f t="shared" si="308"/>
        <v>NA</v>
      </c>
      <c r="N1724" s="17"/>
    </row>
    <row r="1725">
      <c r="A1725" s="9"/>
      <c r="B1725" s="38">
        <f t="shared" si="233"/>
        <v>1721</v>
      </c>
      <c r="C1725" s="70"/>
      <c r="D1725" s="48" t="s">
        <v>1365</v>
      </c>
      <c r="E1725" s="13" t="s">
        <v>1358</v>
      </c>
      <c r="F1725" s="13">
        <v>5.0</v>
      </c>
      <c r="G1725" s="35" t="str">
        <f t="shared" si="318"/>
        <v>Pre-2006</v>
      </c>
      <c r="H1725" s="98"/>
      <c r="I1725" s="71"/>
      <c r="J1725" s="61"/>
      <c r="K1725" s="62"/>
      <c r="L1725" s="63"/>
      <c r="M1725" s="59" t="str">
        <f t="shared" si="308"/>
        <v>NA</v>
      </c>
      <c r="N1725" s="17"/>
    </row>
    <row r="1726">
      <c r="A1726" s="9"/>
      <c r="B1726" s="38">
        <f t="shared" si="233"/>
        <v>1722</v>
      </c>
      <c r="C1726" s="34">
        <v>40632.0</v>
      </c>
      <c r="D1726" s="48" t="s">
        <v>1366</v>
      </c>
      <c r="E1726" s="13" t="s">
        <v>1358</v>
      </c>
      <c r="F1726" s="13">
        <v>5.0</v>
      </c>
      <c r="G1726" s="35" t="str">
        <f t="shared" si="318"/>
        <v>2011</v>
      </c>
      <c r="H1726" s="13" t="s">
        <v>25</v>
      </c>
      <c r="I1726" s="13" t="s">
        <v>47</v>
      </c>
      <c r="J1726" s="14">
        <v>2010.0</v>
      </c>
      <c r="K1726" s="15">
        <v>0.86</v>
      </c>
      <c r="L1726" s="14">
        <v>98.0</v>
      </c>
      <c r="M1726" s="16">
        <f t="shared" si="308"/>
        <v>0.8775510204</v>
      </c>
      <c r="N1726" s="17"/>
    </row>
    <row r="1727">
      <c r="A1727" s="9"/>
      <c r="B1727" s="25">
        <f t="shared" si="233"/>
        <v>1723</v>
      </c>
      <c r="C1727" s="110">
        <v>39128.0</v>
      </c>
      <c r="D1727" s="111" t="s">
        <v>1367</v>
      </c>
      <c r="E1727" s="28" t="s">
        <v>1368</v>
      </c>
      <c r="F1727" s="28">
        <v>4.0</v>
      </c>
      <c r="G1727" s="112" t="str">
        <f t="shared" si="318"/>
        <v>2007</v>
      </c>
      <c r="H1727" s="28" t="s">
        <v>17</v>
      </c>
      <c r="I1727" s="28" t="s">
        <v>21</v>
      </c>
      <c r="J1727" s="113"/>
      <c r="K1727" s="114"/>
      <c r="L1727" s="115"/>
      <c r="M1727" s="116" t="str">
        <f t="shared" si="308"/>
        <v>NA</v>
      </c>
      <c r="N1727" s="17"/>
    </row>
    <row r="1728">
      <c r="A1728" s="9"/>
      <c r="B1728" s="38">
        <f t="shared" si="233"/>
        <v>1724</v>
      </c>
      <c r="C1728" s="34">
        <v>37495.0</v>
      </c>
      <c r="D1728" s="48" t="s">
        <v>1369</v>
      </c>
      <c r="E1728" s="13" t="s">
        <v>1370</v>
      </c>
      <c r="F1728" s="13">
        <v>3.0</v>
      </c>
      <c r="G1728" s="35" t="str">
        <f t="shared" si="318"/>
        <v>Pre-2006</v>
      </c>
      <c r="H1728" s="13" t="s">
        <v>66</v>
      </c>
      <c r="I1728" s="13" t="s">
        <v>47</v>
      </c>
      <c r="J1728" s="61"/>
      <c r="K1728" s="62"/>
      <c r="L1728" s="63"/>
      <c r="M1728" s="59" t="str">
        <f t="shared" si="308"/>
        <v>NA</v>
      </c>
      <c r="N1728" s="17"/>
    </row>
    <row r="1729">
      <c r="A1729" s="9"/>
      <c r="B1729" s="38">
        <f t="shared" si="233"/>
        <v>1725</v>
      </c>
      <c r="C1729" s="34">
        <v>39045.0</v>
      </c>
      <c r="D1729" s="48" t="s">
        <v>1371</v>
      </c>
      <c r="E1729" s="13" t="s">
        <v>1370</v>
      </c>
      <c r="F1729" s="13">
        <v>3.0</v>
      </c>
      <c r="G1729" s="35" t="str">
        <f t="shared" si="318"/>
        <v>2006</v>
      </c>
      <c r="H1729" s="98"/>
      <c r="I1729" s="13" t="s">
        <v>21</v>
      </c>
      <c r="J1729" s="61"/>
      <c r="K1729" s="62"/>
      <c r="L1729" s="63"/>
      <c r="M1729" s="59" t="str">
        <f t="shared" si="308"/>
        <v>NA</v>
      </c>
      <c r="N1729" s="17"/>
    </row>
    <row r="1730">
      <c r="A1730" s="9"/>
      <c r="B1730" s="38">
        <f t="shared" si="233"/>
        <v>1726</v>
      </c>
      <c r="C1730" s="34">
        <v>40009.0</v>
      </c>
      <c r="D1730" s="48" t="s">
        <v>1372</v>
      </c>
      <c r="E1730" s="13" t="s">
        <v>1370</v>
      </c>
      <c r="F1730" s="13">
        <v>3.0</v>
      </c>
      <c r="G1730" s="35" t="str">
        <f t="shared" si="318"/>
        <v>2009</v>
      </c>
      <c r="H1730" s="13" t="s">
        <v>27</v>
      </c>
      <c r="I1730" s="13" t="s">
        <v>47</v>
      </c>
      <c r="J1730" s="14">
        <v>2009.0</v>
      </c>
      <c r="K1730" s="15">
        <v>0.4</v>
      </c>
      <c r="L1730" s="14">
        <v>102.0</v>
      </c>
      <c r="M1730" s="16">
        <f t="shared" si="308"/>
        <v>0.3921568627</v>
      </c>
      <c r="N1730" s="17"/>
    </row>
    <row r="1731">
      <c r="A1731" s="9"/>
      <c r="B1731" s="38">
        <f t="shared" si="233"/>
        <v>1727</v>
      </c>
      <c r="C1731" s="70"/>
      <c r="D1731" s="48" t="s">
        <v>1373</v>
      </c>
      <c r="E1731" s="13" t="s">
        <v>1370</v>
      </c>
      <c r="F1731" s="13">
        <v>3.0</v>
      </c>
      <c r="G1731" s="35" t="str">
        <f t="shared" si="318"/>
        <v>Pre-2006</v>
      </c>
      <c r="H1731" s="98"/>
      <c r="I1731" s="71"/>
      <c r="J1731" s="61"/>
      <c r="K1731" s="62"/>
      <c r="L1731" s="63"/>
      <c r="M1731" s="59" t="str">
        <f t="shared" si="308"/>
        <v>NA</v>
      </c>
      <c r="N1731" s="17"/>
    </row>
    <row r="1732">
      <c r="A1732" s="9"/>
      <c r="B1732" s="38">
        <f t="shared" si="233"/>
        <v>1728</v>
      </c>
      <c r="C1732" s="49">
        <v>39091.0</v>
      </c>
      <c r="D1732" s="50" t="s">
        <v>1374</v>
      </c>
      <c r="E1732" s="21" t="s">
        <v>1370</v>
      </c>
      <c r="F1732" s="21">
        <v>3.0</v>
      </c>
      <c r="G1732" s="51" t="str">
        <f t="shared" si="318"/>
        <v>2007</v>
      </c>
      <c r="H1732" s="21" t="s">
        <v>1375</v>
      </c>
      <c r="I1732" s="21" t="s">
        <v>47</v>
      </c>
      <c r="J1732" s="117"/>
      <c r="K1732" s="118"/>
      <c r="L1732" s="119"/>
      <c r="M1732" s="120" t="str">
        <f t="shared" si="308"/>
        <v>NA</v>
      </c>
      <c r="N1732" s="17"/>
    </row>
    <row r="1733">
      <c r="A1733" s="1"/>
      <c r="B1733" s="1"/>
      <c r="C1733" s="121"/>
      <c r="D1733" s="122"/>
      <c r="E1733" s="122"/>
      <c r="F1733" s="122"/>
      <c r="G1733" s="122"/>
      <c r="H1733" s="122"/>
      <c r="I1733" s="123"/>
      <c r="J1733" s="122"/>
      <c r="K1733" s="122"/>
      <c r="L1733" s="123"/>
      <c r="M1733" s="124"/>
      <c r="N1733" s="17"/>
    </row>
    <row r="1734">
      <c r="A1734" s="1"/>
      <c r="B1734" s="1"/>
      <c r="C1734" s="125"/>
      <c r="D1734" s="126"/>
      <c r="E1734" s="1"/>
      <c r="F1734" s="1"/>
      <c r="G1734" s="1"/>
      <c r="H1734" s="1"/>
      <c r="I1734" s="127"/>
      <c r="J1734" s="1"/>
      <c r="K1734" s="1"/>
      <c r="L1734" s="127"/>
      <c r="M1734" s="128"/>
      <c r="N1734" s="17"/>
    </row>
    <row r="1735">
      <c r="A1735" s="1"/>
      <c r="B1735" s="9"/>
      <c r="C1735" s="129" t="s">
        <v>1376</v>
      </c>
      <c r="D1735" s="130">
        <f>AVERAGE(F3:F1732)</f>
        <v>11.89190751</v>
      </c>
      <c r="E1735" s="17"/>
      <c r="F1735" s="1"/>
      <c r="G1735" s="1"/>
      <c r="H1735" s="1"/>
      <c r="I1735" s="127"/>
      <c r="J1735" s="1"/>
      <c r="K1735" s="1"/>
      <c r="L1735" s="127"/>
      <c r="M1735" s="128"/>
      <c r="N1735" s="17"/>
    </row>
    <row r="1736">
      <c r="A1736" s="1"/>
      <c r="B1736" s="9"/>
      <c r="C1736" s="131" t="s">
        <v>1377</v>
      </c>
      <c r="D1736" s="132">
        <f>SUM(D1737:D1756)</f>
        <v>1725</v>
      </c>
      <c r="E1736" s="17"/>
      <c r="F1736" s="1"/>
      <c r="G1736" s="1"/>
      <c r="H1736" s="1"/>
      <c r="I1736" s="127"/>
      <c r="J1736" s="1"/>
      <c r="K1736" s="1"/>
      <c r="L1736" s="127"/>
      <c r="M1736" s="128"/>
      <c r="N1736" s="17"/>
    </row>
    <row r="1737">
      <c r="A1737" s="1"/>
      <c r="B1737" s="9"/>
      <c r="C1737" s="131" t="s">
        <v>1378</v>
      </c>
      <c r="D1737" s="133">
        <f>COUNTIF($G$3:$G$1765,"pre-2006")</f>
        <v>876</v>
      </c>
      <c r="E1737" s="17"/>
      <c r="F1737" s="1"/>
      <c r="G1737" s="1"/>
      <c r="H1737" s="1"/>
      <c r="I1737" s="127"/>
      <c r="J1737" s="1"/>
      <c r="K1737" s="1"/>
      <c r="L1737" s="127"/>
      <c r="M1737" s="128"/>
      <c r="N1737" s="17"/>
    </row>
    <row r="1738">
      <c r="A1738" s="1"/>
      <c r="B1738" s="9"/>
      <c r="C1738" s="131">
        <v>2006.0</v>
      </c>
      <c r="D1738" s="134">
        <f>COUNTIF($G$3:$G$1765,"2006")</f>
        <v>44</v>
      </c>
      <c r="E1738" s="17"/>
      <c r="F1738" s="1"/>
      <c r="G1738" s="1"/>
      <c r="H1738" s="1"/>
      <c r="I1738" s="127"/>
      <c r="J1738" s="1"/>
      <c r="K1738" s="1"/>
      <c r="L1738" s="127"/>
      <c r="M1738" s="128"/>
      <c r="N1738" s="17"/>
    </row>
    <row r="1739">
      <c r="A1739" s="1"/>
      <c r="B1739" s="9"/>
      <c r="C1739" s="131">
        <f t="shared" ref="C1739:C1749" si="319">C1738+1</f>
        <v>2007</v>
      </c>
      <c r="D1739" s="134">
        <f>COUNTIF($G$3:$G$1765,"2007")</f>
        <v>105</v>
      </c>
      <c r="E1739" s="17"/>
      <c r="F1739" s="1"/>
      <c r="G1739" s="1"/>
      <c r="H1739" s="1"/>
      <c r="I1739" s="127"/>
      <c r="J1739" s="1"/>
      <c r="K1739" s="1"/>
      <c r="L1739" s="127"/>
      <c r="M1739" s="128"/>
      <c r="N1739" s="17"/>
    </row>
    <row r="1740">
      <c r="A1740" s="1"/>
      <c r="B1740" s="9"/>
      <c r="C1740" s="131">
        <f t="shared" si="319"/>
        <v>2008</v>
      </c>
      <c r="D1740" s="134">
        <f>COUNTIF($G$3:$G$1765,"2008")</f>
        <v>88</v>
      </c>
      <c r="E1740" s="17"/>
      <c r="F1740" s="1"/>
      <c r="G1740" s="1"/>
      <c r="H1740" s="1"/>
      <c r="I1740" s="127"/>
      <c r="J1740" s="1"/>
      <c r="K1740" s="1"/>
      <c r="L1740" s="127"/>
      <c r="M1740" s="128"/>
      <c r="N1740" s="17"/>
    </row>
    <row r="1741">
      <c r="A1741" s="1"/>
      <c r="B1741" s="9"/>
      <c r="C1741" s="131">
        <f t="shared" si="319"/>
        <v>2009</v>
      </c>
      <c r="D1741" s="134">
        <f>COUNTIF($G$3:$G$1765,"2009")</f>
        <v>38</v>
      </c>
      <c r="E1741" s="17"/>
      <c r="F1741" s="1"/>
      <c r="G1741" s="1"/>
      <c r="H1741" s="1"/>
      <c r="I1741" s="127"/>
      <c r="J1741" s="1"/>
      <c r="K1741" s="1"/>
      <c r="L1741" s="127"/>
      <c r="M1741" s="128"/>
      <c r="N1741" s="17"/>
    </row>
    <row r="1742">
      <c r="A1742" s="1"/>
      <c r="B1742" s="9"/>
      <c r="C1742" s="131">
        <f t="shared" si="319"/>
        <v>2010</v>
      </c>
      <c r="D1742" s="134">
        <f>COUNTIF($G$3:$G$1765,"2010")</f>
        <v>16</v>
      </c>
      <c r="E1742" s="17"/>
      <c r="F1742" s="1"/>
      <c r="G1742" s="1"/>
      <c r="H1742" s="1"/>
      <c r="I1742" s="127"/>
      <c r="J1742" s="1"/>
      <c r="K1742" s="1"/>
      <c r="L1742" s="127"/>
      <c r="M1742" s="128"/>
      <c r="N1742" s="17"/>
    </row>
    <row r="1743">
      <c r="A1743" s="1"/>
      <c r="B1743" s="9"/>
      <c r="C1743" s="131">
        <f t="shared" si="319"/>
        <v>2011</v>
      </c>
      <c r="D1743" s="134">
        <f>COUNTIF($G$3:$G$1765,"2011")</f>
        <v>35</v>
      </c>
      <c r="E1743" s="17"/>
      <c r="F1743" s="1"/>
      <c r="G1743" s="1"/>
      <c r="H1743" s="1"/>
      <c r="I1743" s="127"/>
      <c r="J1743" s="1"/>
      <c r="K1743" s="1"/>
      <c r="L1743" s="127"/>
      <c r="M1743" s="128"/>
      <c r="N1743" s="17"/>
    </row>
    <row r="1744">
      <c r="A1744" s="1"/>
      <c r="B1744" s="9"/>
      <c r="C1744" s="131">
        <f t="shared" si="319"/>
        <v>2012</v>
      </c>
      <c r="D1744" s="134">
        <f>COUNTIF($G$3:$G$1765,"2012")</f>
        <v>27</v>
      </c>
      <c r="E1744" s="17"/>
      <c r="F1744" s="1"/>
      <c r="G1744" s="1"/>
      <c r="H1744" s="1"/>
      <c r="I1744" s="127"/>
      <c r="J1744" s="1"/>
      <c r="K1744" s="1"/>
      <c r="L1744" s="127"/>
      <c r="M1744" s="128"/>
      <c r="N1744" s="17"/>
    </row>
    <row r="1745">
      <c r="A1745" s="1"/>
      <c r="B1745" s="9"/>
      <c r="C1745" s="131">
        <f t="shared" si="319"/>
        <v>2013</v>
      </c>
      <c r="D1745" s="134">
        <f>COUNTIF($G$3:$G$1765,"2013")</f>
        <v>31</v>
      </c>
      <c r="E1745" s="17"/>
      <c r="F1745" s="1"/>
      <c r="G1745" s="1"/>
      <c r="H1745" s="1"/>
      <c r="I1745" s="127"/>
      <c r="J1745" s="1"/>
      <c r="K1745" s="1"/>
      <c r="L1745" s="127"/>
      <c r="M1745" s="128"/>
      <c r="N1745" s="17"/>
    </row>
    <row r="1746">
      <c r="A1746" s="1"/>
      <c r="B1746" s="9"/>
      <c r="C1746" s="131">
        <f t="shared" si="319"/>
        <v>2014</v>
      </c>
      <c r="D1746" s="134">
        <f>COUNTIF($G$3:$G$1765,"2014")</f>
        <v>49</v>
      </c>
      <c r="E1746" s="17"/>
      <c r="F1746" s="1"/>
      <c r="G1746" s="1"/>
      <c r="H1746" s="1"/>
      <c r="I1746" s="127"/>
      <c r="J1746" s="1"/>
      <c r="K1746" s="1"/>
      <c r="L1746" s="127"/>
      <c r="M1746" s="128"/>
      <c r="N1746" s="17"/>
    </row>
    <row r="1747">
      <c r="A1747" s="1"/>
      <c r="B1747" s="1"/>
      <c r="C1747" s="131">
        <f t="shared" si="319"/>
        <v>2015</v>
      </c>
      <c r="D1747" s="135">
        <f>COUNTIF($G$3:$G$1765,"2015")</f>
        <v>51</v>
      </c>
      <c r="E1747" s="1"/>
      <c r="F1747" s="1"/>
      <c r="G1747" s="1"/>
      <c r="H1747" s="1"/>
      <c r="I1747" s="127"/>
      <c r="J1747" s="1"/>
      <c r="K1747" s="1"/>
      <c r="L1747" s="127"/>
      <c r="M1747" s="128"/>
      <c r="N1747" s="17"/>
    </row>
    <row r="1748">
      <c r="A1748" s="1"/>
      <c r="B1748" s="1"/>
      <c r="C1748" s="131">
        <f t="shared" si="319"/>
        <v>2016</v>
      </c>
      <c r="D1748" s="134">
        <f>COUNTIF($G$3:$G$1765,"2016")</f>
        <v>60</v>
      </c>
      <c r="E1748" s="1"/>
      <c r="F1748" s="1"/>
      <c r="G1748" s="1"/>
      <c r="H1748" s="1"/>
      <c r="I1748" s="127"/>
      <c r="J1748" s="1"/>
      <c r="K1748" s="1"/>
      <c r="L1748" s="127"/>
      <c r="M1748" s="128"/>
      <c r="N1748" s="17"/>
    </row>
    <row r="1749">
      <c r="A1749" s="1"/>
      <c r="B1749" s="1"/>
      <c r="C1749" s="131">
        <f t="shared" si="319"/>
        <v>2017</v>
      </c>
      <c r="D1749" s="134">
        <f>COUNTIF($G$3:$G$1765,"2017")</f>
        <v>33</v>
      </c>
      <c r="E1749" s="1"/>
      <c r="F1749" s="1"/>
      <c r="G1749" s="1"/>
      <c r="H1749" s="1"/>
      <c r="I1749" s="127"/>
      <c r="J1749" s="1"/>
      <c r="K1749" s="1"/>
      <c r="L1749" s="127"/>
      <c r="M1749" s="128"/>
      <c r="N1749" s="17"/>
    </row>
    <row r="1750">
      <c r="A1750" s="1"/>
      <c r="B1750" s="1"/>
      <c r="C1750" s="136">
        <v>2018.0</v>
      </c>
      <c r="D1750" s="134">
        <f>COUNTIF($G$3:$G$1765,"2018")</f>
        <v>45</v>
      </c>
      <c r="E1750" s="1"/>
      <c r="F1750" s="1"/>
      <c r="G1750" s="1"/>
      <c r="H1750" s="1"/>
      <c r="I1750" s="127"/>
      <c r="J1750" s="1"/>
      <c r="K1750" s="1"/>
      <c r="L1750" s="127"/>
      <c r="M1750" s="128"/>
      <c r="N1750" s="17"/>
    </row>
    <row r="1751">
      <c r="A1751" s="1"/>
      <c r="B1751" s="1"/>
      <c r="C1751" s="131">
        <v>2019.0</v>
      </c>
      <c r="D1751" s="134">
        <f>COUNTIF($G$3:$G$1765,"2019")</f>
        <v>30</v>
      </c>
      <c r="E1751" s="1"/>
      <c r="F1751" s="1"/>
      <c r="G1751" s="1"/>
      <c r="H1751" s="1"/>
      <c r="I1751" s="127"/>
      <c r="J1751" s="1"/>
      <c r="K1751" s="1"/>
      <c r="L1751" s="127"/>
      <c r="M1751" s="128"/>
      <c r="N1751" s="17"/>
    </row>
    <row r="1752">
      <c r="A1752" s="1"/>
      <c r="B1752" s="1"/>
      <c r="C1752" s="131">
        <v>2020.0</v>
      </c>
      <c r="D1752" s="134">
        <f>COUNTIF($G$3:$G$1765,"2020")</f>
        <v>24</v>
      </c>
      <c r="E1752" s="1"/>
      <c r="F1752" s="1"/>
      <c r="G1752" s="1"/>
      <c r="H1752" s="1"/>
      <c r="I1752" s="127"/>
      <c r="J1752" s="1"/>
      <c r="K1752" s="1"/>
      <c r="L1752" s="127"/>
      <c r="M1752" s="128"/>
      <c r="N1752" s="17"/>
    </row>
    <row r="1753">
      <c r="A1753" s="1"/>
      <c r="B1753" s="1"/>
      <c r="C1753" s="131">
        <v>2021.0</v>
      </c>
      <c r="D1753" s="134">
        <f>COUNTIF($G$3:$G$1765,"2021")</f>
        <v>15</v>
      </c>
      <c r="E1753" s="1"/>
      <c r="F1753" s="1"/>
      <c r="G1753" s="1"/>
      <c r="H1753" s="1"/>
      <c r="I1753" s="127"/>
      <c r="J1753" s="1"/>
      <c r="K1753" s="1"/>
      <c r="L1753" s="127"/>
      <c r="M1753" s="128"/>
      <c r="N1753" s="17"/>
    </row>
    <row r="1754">
      <c r="A1754" s="1"/>
      <c r="B1754" s="1"/>
      <c r="C1754" s="131">
        <v>2022.0</v>
      </c>
      <c r="D1754" s="134">
        <f>COUNTIF($G$3:$G$1765,"2022")</f>
        <v>94</v>
      </c>
      <c r="E1754" s="1"/>
      <c r="F1754" s="1"/>
      <c r="G1754" s="1"/>
      <c r="H1754" s="1"/>
      <c r="I1754" s="127"/>
      <c r="J1754" s="1"/>
      <c r="K1754" s="1"/>
      <c r="L1754" s="127"/>
      <c r="M1754" s="128"/>
      <c r="N1754" s="17"/>
    </row>
    <row r="1755">
      <c r="A1755" s="1"/>
      <c r="B1755" s="1"/>
      <c r="C1755" s="131">
        <v>2023.0</v>
      </c>
      <c r="D1755" s="137">
        <f>COUNTIF($G$3:$G$1765,"2023")</f>
        <v>37</v>
      </c>
      <c r="E1755" s="1"/>
      <c r="F1755" s="1"/>
      <c r="G1755" s="1"/>
      <c r="H1755" s="1"/>
      <c r="I1755" s="127"/>
      <c r="J1755" s="1"/>
      <c r="K1755" s="1"/>
      <c r="L1755" s="127"/>
      <c r="M1755" s="128"/>
      <c r="N1755" s="17"/>
    </row>
    <row r="1756">
      <c r="A1756" s="1"/>
      <c r="B1756" s="1"/>
      <c r="C1756" s="138">
        <v>2024.0</v>
      </c>
      <c r="D1756" s="139">
        <f>COUNTIF($G$3:$G$1765,"2024")</f>
        <v>27</v>
      </c>
      <c r="E1756" s="1"/>
      <c r="F1756" s="1"/>
      <c r="G1756" s="1"/>
      <c r="H1756" s="1"/>
      <c r="I1756" s="127"/>
      <c r="J1756" s="1"/>
      <c r="K1756" s="1"/>
      <c r="L1756" s="127"/>
      <c r="M1756" s="128"/>
      <c r="N1756" s="17"/>
    </row>
    <row r="1757">
      <c r="A1757" s="1"/>
      <c r="B1757" s="1"/>
      <c r="C1757" s="127"/>
      <c r="D1757" s="1"/>
      <c r="E1757" s="1"/>
      <c r="F1757" s="1"/>
      <c r="G1757" s="1"/>
      <c r="H1757" s="1"/>
      <c r="I1757" s="127"/>
      <c r="J1757" s="1"/>
      <c r="K1757" s="1"/>
      <c r="L1757" s="127"/>
      <c r="M1757" s="128"/>
      <c r="N1757" s="17"/>
    </row>
    <row r="1758" ht="15.0" customHeight="1">
      <c r="A1758" s="1"/>
      <c r="B1758" s="1"/>
      <c r="C1758" s="140"/>
      <c r="D1758" s="126"/>
      <c r="E1758" s="126"/>
      <c r="F1758" s="126"/>
      <c r="G1758" s="1"/>
      <c r="H1758" s="1"/>
      <c r="I1758" s="127"/>
      <c r="J1758" s="1"/>
      <c r="K1758" s="1"/>
      <c r="L1758" s="127"/>
      <c r="M1758" s="128"/>
      <c r="N1758" s="17"/>
    </row>
    <row r="1759">
      <c r="A1759" s="1"/>
      <c r="B1759" s="1"/>
      <c r="C1759" s="9"/>
      <c r="D1759" s="141" t="s">
        <v>1379</v>
      </c>
      <c r="E1759" s="142">
        <f>COUNTIF(E1764:E1863,"Yes")</f>
        <v>77</v>
      </c>
      <c r="F1759" s="143"/>
      <c r="G1759" s="17"/>
      <c r="H1759" s="1"/>
      <c r="I1759" s="127"/>
      <c r="J1759" s="1"/>
      <c r="K1759" s="1"/>
      <c r="L1759" s="127"/>
      <c r="M1759" s="128"/>
      <c r="N1759" s="17"/>
    </row>
    <row r="1760" ht="5.25" customHeight="1">
      <c r="A1760" s="1"/>
      <c r="B1760" s="1"/>
      <c r="C1760" s="144"/>
      <c r="D1760" s="145"/>
      <c r="E1760" s="146"/>
      <c r="F1760" s="147"/>
      <c r="G1760" s="17"/>
      <c r="H1760" s="1"/>
      <c r="I1760" s="127"/>
      <c r="J1760" s="1"/>
      <c r="K1760" s="1"/>
      <c r="L1760" s="127"/>
      <c r="M1760" s="128"/>
      <c r="N1760" s="17"/>
    </row>
    <row r="1761">
      <c r="A1761" s="1"/>
      <c r="B1761" s="1"/>
      <c r="C1761" s="144"/>
      <c r="D1761" s="148" t="s">
        <v>1380</v>
      </c>
      <c r="F1761" s="147"/>
      <c r="G1761" s="17"/>
      <c r="H1761" s="1"/>
      <c r="I1761" s="127"/>
      <c r="J1761" s="1"/>
      <c r="K1761" s="1"/>
      <c r="L1761" s="127"/>
      <c r="M1761" s="128"/>
      <c r="N1761" s="17"/>
    </row>
    <row r="1762" ht="5.25" customHeight="1">
      <c r="A1762" s="1"/>
      <c r="B1762" s="1"/>
      <c r="C1762" s="144"/>
      <c r="D1762" s="145"/>
      <c r="F1762" s="147"/>
      <c r="G1762" s="17"/>
      <c r="H1762" s="1"/>
      <c r="I1762" s="127"/>
      <c r="J1762" s="1"/>
      <c r="K1762" s="1"/>
      <c r="L1762" s="127"/>
      <c r="M1762" s="128"/>
      <c r="N1762" s="17"/>
    </row>
    <row r="1763" ht="15.0" customHeight="1">
      <c r="A1763" s="1"/>
      <c r="B1763" s="1"/>
      <c r="C1763" s="144"/>
      <c r="D1763" s="148" t="s">
        <v>2</v>
      </c>
      <c r="E1763" s="149" t="s">
        <v>1381</v>
      </c>
      <c r="F1763" s="150" t="s">
        <v>1382</v>
      </c>
      <c r="G1763" s="17"/>
      <c r="H1763" s="1"/>
      <c r="I1763" s="127"/>
      <c r="J1763" s="1"/>
      <c r="K1763" s="1"/>
      <c r="L1763" s="127"/>
      <c r="M1763" s="128"/>
      <c r="N1763" s="17"/>
    </row>
    <row r="1764">
      <c r="A1764" s="1"/>
      <c r="B1764" s="1"/>
      <c r="C1764" s="144"/>
      <c r="D1764" s="151" t="s">
        <v>1383</v>
      </c>
      <c r="E1764" s="14" t="s">
        <v>1384</v>
      </c>
      <c r="F1764" s="152">
        <v>1.0</v>
      </c>
      <c r="G1764" s="17"/>
      <c r="H1764" s="1"/>
      <c r="I1764" s="127"/>
      <c r="J1764" s="1"/>
      <c r="K1764" s="1"/>
      <c r="L1764" s="127"/>
      <c r="M1764" s="128"/>
      <c r="N1764" s="17"/>
    </row>
    <row r="1765">
      <c r="A1765" s="1"/>
      <c r="B1765" s="1"/>
      <c r="C1765" s="144"/>
      <c r="D1765" s="151" t="s">
        <v>1385</v>
      </c>
      <c r="E1765" s="14" t="s">
        <v>1384</v>
      </c>
      <c r="F1765" s="152">
        <v>2.0</v>
      </c>
      <c r="G1765" s="17"/>
      <c r="H1765" s="1"/>
      <c r="I1765" s="127"/>
      <c r="J1765" s="1"/>
      <c r="K1765" s="1"/>
      <c r="L1765" s="127"/>
      <c r="M1765" s="128"/>
      <c r="N1765" s="17"/>
    </row>
    <row r="1766">
      <c r="A1766" s="1"/>
      <c r="B1766" s="1"/>
      <c r="C1766" s="144"/>
      <c r="D1766" s="151" t="s">
        <v>1386</v>
      </c>
      <c r="E1766" s="14" t="s">
        <v>1384</v>
      </c>
      <c r="F1766" s="152">
        <v>3.0</v>
      </c>
      <c r="G1766" s="17"/>
      <c r="H1766" s="1"/>
      <c r="I1766" s="127"/>
      <c r="J1766" s="1"/>
      <c r="K1766" s="1"/>
      <c r="L1766" s="127"/>
      <c r="M1766" s="128"/>
      <c r="N1766" s="17"/>
    </row>
    <row r="1767">
      <c r="A1767" s="1"/>
      <c r="B1767" s="1"/>
      <c r="C1767" s="144"/>
      <c r="D1767" s="151" t="s">
        <v>1387</v>
      </c>
      <c r="E1767" s="14" t="s">
        <v>1384</v>
      </c>
      <c r="F1767" s="152">
        <v>4.0</v>
      </c>
      <c r="G1767" s="17"/>
      <c r="H1767" s="1"/>
      <c r="I1767" s="127"/>
      <c r="J1767" s="1"/>
      <c r="K1767" s="1"/>
      <c r="L1767" s="127"/>
      <c r="M1767" s="128"/>
      <c r="N1767" s="17"/>
    </row>
    <row r="1768">
      <c r="A1768" s="1"/>
      <c r="B1768" s="1"/>
      <c r="C1768" s="144"/>
      <c r="D1768" s="151" t="s">
        <v>1388</v>
      </c>
      <c r="E1768" s="14" t="s">
        <v>1384</v>
      </c>
      <c r="F1768" s="152">
        <v>5.0</v>
      </c>
      <c r="G1768" s="17"/>
      <c r="H1768" s="1"/>
      <c r="I1768" s="127"/>
      <c r="J1768" s="1"/>
      <c r="K1768" s="1"/>
      <c r="L1768" s="127"/>
      <c r="M1768" s="128"/>
      <c r="N1768" s="17"/>
    </row>
    <row r="1769">
      <c r="A1769" s="1"/>
      <c r="B1769" s="1"/>
      <c r="C1769" s="144"/>
      <c r="D1769" s="151" t="s">
        <v>1389</v>
      </c>
      <c r="E1769" s="14" t="s">
        <v>1384</v>
      </c>
      <c r="F1769" s="152">
        <v>6.0</v>
      </c>
      <c r="G1769" s="17"/>
      <c r="H1769" s="1"/>
      <c r="I1769" s="127"/>
      <c r="J1769" s="1"/>
      <c r="K1769" s="1"/>
      <c r="L1769" s="127"/>
      <c r="M1769" s="128"/>
      <c r="N1769" s="17"/>
    </row>
    <row r="1770">
      <c r="A1770" s="1"/>
      <c r="B1770" s="1"/>
      <c r="C1770" s="144"/>
      <c r="D1770" s="151" t="s">
        <v>1390</v>
      </c>
      <c r="E1770" s="14" t="s">
        <v>1384</v>
      </c>
      <c r="F1770" s="152">
        <v>7.0</v>
      </c>
      <c r="G1770" s="17"/>
      <c r="H1770" s="1"/>
      <c r="I1770" s="127"/>
      <c r="J1770" s="1"/>
      <c r="K1770" s="1"/>
      <c r="L1770" s="127"/>
      <c r="M1770" s="128"/>
      <c r="N1770" s="17"/>
    </row>
    <row r="1771">
      <c r="A1771" s="1"/>
      <c r="B1771" s="1"/>
      <c r="C1771" s="144"/>
      <c r="D1771" s="153" t="s">
        <v>1391</v>
      </c>
      <c r="E1771" s="14" t="s">
        <v>1384</v>
      </c>
      <c r="F1771" s="152">
        <v>8.0</v>
      </c>
      <c r="G1771" s="17"/>
      <c r="H1771" s="1"/>
      <c r="I1771" s="127"/>
      <c r="J1771" s="1"/>
      <c r="K1771" s="1"/>
      <c r="L1771" s="127"/>
      <c r="M1771" s="128"/>
      <c r="N1771" s="17"/>
    </row>
    <row r="1772">
      <c r="A1772" s="1"/>
      <c r="B1772" s="1"/>
      <c r="C1772" s="144"/>
      <c r="D1772" s="151" t="s">
        <v>1392</v>
      </c>
      <c r="E1772" s="14" t="s">
        <v>1384</v>
      </c>
      <c r="F1772" s="152">
        <v>9.0</v>
      </c>
      <c r="G1772" s="17"/>
      <c r="H1772" s="1"/>
      <c r="I1772" s="127"/>
      <c r="J1772" s="1"/>
      <c r="K1772" s="1"/>
      <c r="L1772" s="127"/>
      <c r="M1772" s="128"/>
      <c r="N1772" s="17"/>
    </row>
    <row r="1773">
      <c r="A1773" s="1"/>
      <c r="B1773" s="1"/>
      <c r="C1773" s="144"/>
      <c r="D1773" s="151" t="s">
        <v>1393</v>
      </c>
      <c r="E1773" s="14" t="s">
        <v>1384</v>
      </c>
      <c r="F1773" s="152">
        <v>11.0</v>
      </c>
      <c r="G1773" s="17"/>
      <c r="H1773" s="1"/>
      <c r="I1773" s="127"/>
      <c r="J1773" s="1"/>
      <c r="K1773" s="1"/>
      <c r="L1773" s="127"/>
      <c r="M1773" s="128"/>
      <c r="N1773" s="17"/>
    </row>
    <row r="1774">
      <c r="A1774" s="1"/>
      <c r="B1774" s="1"/>
      <c r="C1774" s="144"/>
      <c r="D1774" s="151" t="s">
        <v>1394</v>
      </c>
      <c r="E1774" s="14" t="s">
        <v>1384</v>
      </c>
      <c r="F1774" s="152">
        <v>12.0</v>
      </c>
      <c r="G1774" s="17"/>
      <c r="H1774" s="1"/>
      <c r="I1774" s="127"/>
      <c r="J1774" s="1"/>
      <c r="K1774" s="1"/>
      <c r="L1774" s="127"/>
      <c r="M1774" s="128"/>
      <c r="N1774" s="17"/>
    </row>
    <row r="1775">
      <c r="A1775" s="1"/>
      <c r="B1775" s="1"/>
      <c r="C1775" s="144"/>
      <c r="D1775" s="151" t="s">
        <v>1395</v>
      </c>
      <c r="E1775" s="37" t="s">
        <v>1384</v>
      </c>
      <c r="F1775" s="152">
        <v>13.0</v>
      </c>
      <c r="G1775" s="17"/>
      <c r="H1775" s="1"/>
      <c r="I1775" s="127"/>
      <c r="J1775" s="1"/>
      <c r="K1775" s="1"/>
      <c r="L1775" s="127"/>
      <c r="M1775" s="128"/>
      <c r="N1775" s="17"/>
    </row>
    <row r="1776">
      <c r="A1776" s="1"/>
      <c r="B1776" s="1"/>
      <c r="C1776" s="144"/>
      <c r="D1776" s="151" t="s">
        <v>1396</v>
      </c>
      <c r="E1776" s="14" t="s">
        <v>1384</v>
      </c>
      <c r="F1776" s="152">
        <v>14.0</v>
      </c>
      <c r="G1776" s="17"/>
      <c r="H1776" s="1"/>
      <c r="I1776" s="127"/>
      <c r="J1776" s="1"/>
      <c r="K1776" s="1"/>
      <c r="L1776" s="127"/>
      <c r="M1776" s="128"/>
      <c r="N1776" s="17"/>
    </row>
    <row r="1777">
      <c r="A1777" s="1"/>
      <c r="B1777" s="1"/>
      <c r="C1777" s="144"/>
      <c r="D1777" s="151" t="s">
        <v>1397</v>
      </c>
      <c r="E1777" s="14" t="s">
        <v>1384</v>
      </c>
      <c r="F1777" s="152">
        <v>15.0</v>
      </c>
      <c r="G1777" s="17"/>
      <c r="H1777" s="1"/>
      <c r="I1777" s="127"/>
      <c r="J1777" s="1"/>
      <c r="K1777" s="1"/>
      <c r="L1777" s="127"/>
      <c r="M1777" s="128"/>
      <c r="N1777" s="17"/>
    </row>
    <row r="1778">
      <c r="A1778" s="1"/>
      <c r="B1778" s="1"/>
      <c r="C1778" s="144"/>
      <c r="D1778" s="151" t="s">
        <v>1398</v>
      </c>
      <c r="E1778" s="14" t="s">
        <v>1384</v>
      </c>
      <c r="F1778" s="152">
        <v>16.0</v>
      </c>
      <c r="G1778" s="17"/>
      <c r="H1778" s="1"/>
      <c r="I1778" s="127"/>
      <c r="J1778" s="1"/>
      <c r="K1778" s="1"/>
      <c r="L1778" s="127"/>
      <c r="M1778" s="128"/>
      <c r="N1778" s="17"/>
    </row>
    <row r="1779">
      <c r="A1779" s="1"/>
      <c r="B1779" s="1"/>
      <c r="C1779" s="144"/>
      <c r="D1779" s="151" t="s">
        <v>1399</v>
      </c>
      <c r="E1779" s="14" t="s">
        <v>1384</v>
      </c>
      <c r="F1779" s="152">
        <v>17.0</v>
      </c>
      <c r="G1779" s="17"/>
      <c r="H1779" s="1"/>
      <c r="I1779" s="127"/>
      <c r="J1779" s="1"/>
      <c r="K1779" s="1"/>
      <c r="L1779" s="127"/>
      <c r="M1779" s="128"/>
      <c r="N1779" s="17"/>
    </row>
    <row r="1780">
      <c r="A1780" s="1"/>
      <c r="B1780" s="1"/>
      <c r="C1780" s="144"/>
      <c r="D1780" s="151" t="s">
        <v>1400</v>
      </c>
      <c r="E1780" s="14" t="s">
        <v>1384</v>
      </c>
      <c r="F1780" s="152">
        <v>18.0</v>
      </c>
      <c r="G1780" s="17"/>
      <c r="H1780" s="1"/>
      <c r="I1780" s="127"/>
      <c r="J1780" s="1"/>
      <c r="K1780" s="1"/>
      <c r="L1780" s="127"/>
      <c r="M1780" s="128"/>
      <c r="N1780" s="17"/>
    </row>
    <row r="1781">
      <c r="A1781" s="1"/>
      <c r="B1781" s="1"/>
      <c r="C1781" s="144"/>
      <c r="D1781" s="151" t="s">
        <v>1401</v>
      </c>
      <c r="E1781" s="14" t="s">
        <v>1384</v>
      </c>
      <c r="F1781" s="152">
        <v>19.0</v>
      </c>
      <c r="G1781" s="17"/>
      <c r="H1781" s="1"/>
      <c r="I1781" s="127"/>
      <c r="J1781" s="1"/>
      <c r="K1781" s="1"/>
      <c r="L1781" s="127"/>
      <c r="M1781" s="128"/>
      <c r="N1781" s="17"/>
    </row>
    <row r="1782">
      <c r="A1782" s="1"/>
      <c r="B1782" s="1"/>
      <c r="C1782" s="144"/>
      <c r="D1782" s="151" t="s">
        <v>1402</v>
      </c>
      <c r="E1782" s="14" t="s">
        <v>1384</v>
      </c>
      <c r="F1782" s="152">
        <v>20.0</v>
      </c>
      <c r="G1782" s="17"/>
      <c r="H1782" s="1"/>
      <c r="I1782" s="127"/>
      <c r="J1782" s="1"/>
      <c r="K1782" s="1"/>
      <c r="L1782" s="127"/>
      <c r="M1782" s="128"/>
      <c r="N1782" s="17"/>
    </row>
    <row r="1783">
      <c r="A1783" s="1"/>
      <c r="B1783" s="1"/>
      <c r="C1783" s="144"/>
      <c r="D1783" s="151" t="s">
        <v>1403</v>
      </c>
      <c r="E1783" s="14" t="s">
        <v>1384</v>
      </c>
      <c r="F1783" s="152">
        <v>21.0</v>
      </c>
      <c r="G1783" s="17"/>
      <c r="H1783" s="1"/>
      <c r="I1783" s="127"/>
      <c r="J1783" s="1"/>
      <c r="K1783" s="1"/>
      <c r="L1783" s="127"/>
      <c r="M1783" s="128"/>
      <c r="N1783" s="17"/>
    </row>
    <row r="1784">
      <c r="A1784" s="1"/>
      <c r="B1784" s="1"/>
      <c r="C1784" s="144"/>
      <c r="D1784" s="151" t="s">
        <v>1404</v>
      </c>
      <c r="E1784" s="14" t="s">
        <v>1384</v>
      </c>
      <c r="F1784" s="152">
        <v>22.0</v>
      </c>
      <c r="G1784" s="17"/>
      <c r="H1784" s="1"/>
      <c r="I1784" s="127"/>
      <c r="J1784" s="1"/>
      <c r="K1784" s="1"/>
      <c r="L1784" s="127"/>
      <c r="M1784" s="128"/>
      <c r="N1784" s="17"/>
    </row>
    <row r="1785">
      <c r="A1785" s="1"/>
      <c r="B1785" s="1"/>
      <c r="C1785" s="144"/>
      <c r="D1785" s="151" t="s">
        <v>1405</v>
      </c>
      <c r="E1785" s="14" t="s">
        <v>1384</v>
      </c>
      <c r="F1785" s="152">
        <v>23.0</v>
      </c>
      <c r="G1785" s="17"/>
      <c r="H1785" s="1"/>
      <c r="I1785" s="127"/>
      <c r="J1785" s="1"/>
      <c r="K1785" s="1"/>
      <c r="L1785" s="127"/>
      <c r="M1785" s="128"/>
      <c r="N1785" s="17"/>
    </row>
    <row r="1786">
      <c r="A1786" s="1"/>
      <c r="B1786" s="1"/>
      <c r="C1786" s="144"/>
      <c r="D1786" s="151" t="s">
        <v>1406</v>
      </c>
      <c r="E1786" s="14" t="s">
        <v>1384</v>
      </c>
      <c r="F1786" s="152">
        <v>24.0</v>
      </c>
      <c r="G1786" s="17"/>
      <c r="H1786" s="1"/>
      <c r="I1786" s="127"/>
      <c r="J1786" s="1"/>
      <c r="K1786" s="1"/>
      <c r="L1786" s="127"/>
      <c r="M1786" s="128"/>
      <c r="N1786" s="17"/>
    </row>
    <row r="1787">
      <c r="A1787" s="1"/>
      <c r="B1787" s="1"/>
      <c r="C1787" s="144"/>
      <c r="D1787" s="151" t="s">
        <v>1407</v>
      </c>
      <c r="E1787" s="14" t="s">
        <v>1384</v>
      </c>
      <c r="F1787" s="152">
        <v>25.0</v>
      </c>
      <c r="G1787" s="17"/>
      <c r="H1787" s="1"/>
      <c r="I1787" s="127"/>
      <c r="J1787" s="1"/>
      <c r="K1787" s="1"/>
      <c r="L1787" s="127"/>
      <c r="M1787" s="128"/>
      <c r="N1787" s="17"/>
    </row>
    <row r="1788">
      <c r="A1788" s="1"/>
      <c r="B1788" s="1"/>
      <c r="C1788" s="144"/>
      <c r="D1788" s="151" t="s">
        <v>1408</v>
      </c>
      <c r="E1788" s="14" t="s">
        <v>1384</v>
      </c>
      <c r="F1788" s="152">
        <v>26.0</v>
      </c>
      <c r="G1788" s="17"/>
      <c r="H1788" s="1"/>
      <c r="I1788" s="127"/>
      <c r="J1788" s="1"/>
      <c r="K1788" s="1"/>
      <c r="L1788" s="127"/>
      <c r="M1788" s="128"/>
      <c r="N1788" s="17"/>
    </row>
    <row r="1789">
      <c r="A1789" s="1"/>
      <c r="B1789" s="1"/>
      <c r="C1789" s="144"/>
      <c r="D1789" s="151" t="s">
        <v>1409</v>
      </c>
      <c r="E1789" s="14" t="s">
        <v>1384</v>
      </c>
      <c r="F1789" s="152">
        <v>27.0</v>
      </c>
      <c r="G1789" s="17"/>
      <c r="H1789" s="1"/>
      <c r="I1789" s="127"/>
      <c r="J1789" s="1"/>
      <c r="K1789" s="1"/>
      <c r="L1789" s="127"/>
      <c r="M1789" s="128"/>
      <c r="N1789" s="17"/>
    </row>
    <row r="1790">
      <c r="A1790" s="1"/>
      <c r="B1790" s="1"/>
      <c r="C1790" s="144"/>
      <c r="D1790" s="151" t="s">
        <v>1410</v>
      </c>
      <c r="E1790" s="14" t="s">
        <v>1384</v>
      </c>
      <c r="F1790" s="152">
        <v>28.0</v>
      </c>
      <c r="G1790" s="17"/>
      <c r="H1790" s="1"/>
      <c r="I1790" s="127"/>
      <c r="J1790" s="1"/>
      <c r="K1790" s="1"/>
      <c r="L1790" s="127"/>
      <c r="M1790" s="128"/>
      <c r="N1790" s="17"/>
    </row>
    <row r="1791">
      <c r="A1791" s="1"/>
      <c r="B1791" s="1"/>
      <c r="C1791" s="144"/>
      <c r="D1791" s="151" t="s">
        <v>1411</v>
      </c>
      <c r="E1791" s="14" t="s">
        <v>1384</v>
      </c>
      <c r="F1791" s="152">
        <v>29.0</v>
      </c>
      <c r="G1791" s="17"/>
      <c r="H1791" s="1"/>
      <c r="I1791" s="127"/>
      <c r="J1791" s="1"/>
      <c r="K1791" s="1"/>
      <c r="L1791" s="127"/>
      <c r="M1791" s="128"/>
      <c r="N1791" s="17"/>
    </row>
    <row r="1792">
      <c r="A1792" s="1"/>
      <c r="B1792" s="1"/>
      <c r="C1792" s="144"/>
      <c r="D1792" s="151" t="s">
        <v>1412</v>
      </c>
      <c r="E1792" s="14" t="s">
        <v>1384</v>
      </c>
      <c r="F1792" s="152">
        <v>31.0</v>
      </c>
      <c r="G1792" s="17"/>
      <c r="H1792" s="1"/>
      <c r="I1792" s="127"/>
      <c r="J1792" s="1"/>
      <c r="K1792" s="1"/>
      <c r="L1792" s="127"/>
      <c r="M1792" s="128"/>
      <c r="N1792" s="17"/>
    </row>
    <row r="1793">
      <c r="A1793" s="1"/>
      <c r="B1793" s="1"/>
      <c r="C1793" s="144"/>
      <c r="D1793" s="151" t="s">
        <v>1413</v>
      </c>
      <c r="E1793" s="14" t="s">
        <v>1384</v>
      </c>
      <c r="F1793" s="152">
        <v>32.0</v>
      </c>
      <c r="G1793" s="17"/>
      <c r="H1793" s="1"/>
      <c r="I1793" s="127"/>
      <c r="J1793" s="1"/>
      <c r="K1793" s="1"/>
      <c r="L1793" s="127"/>
      <c r="M1793" s="128"/>
      <c r="N1793" s="17"/>
    </row>
    <row r="1794">
      <c r="A1794" s="1"/>
      <c r="B1794" s="1"/>
      <c r="C1794" s="144"/>
      <c r="D1794" s="151" t="s">
        <v>1414</v>
      </c>
      <c r="E1794" s="14" t="s">
        <v>1384</v>
      </c>
      <c r="F1794" s="152">
        <v>33.0</v>
      </c>
      <c r="G1794" s="17"/>
      <c r="H1794" s="1"/>
      <c r="I1794" s="127"/>
      <c r="J1794" s="1"/>
      <c r="K1794" s="1"/>
      <c r="L1794" s="127"/>
      <c r="M1794" s="128"/>
      <c r="N1794" s="17"/>
    </row>
    <row r="1795">
      <c r="A1795" s="1"/>
      <c r="B1795" s="1"/>
      <c r="C1795" s="144"/>
      <c r="D1795" s="151" t="s">
        <v>1415</v>
      </c>
      <c r="E1795" s="14" t="s">
        <v>1384</v>
      </c>
      <c r="F1795" s="152">
        <v>34.0</v>
      </c>
      <c r="G1795" s="17"/>
      <c r="H1795" s="1"/>
      <c r="I1795" s="127"/>
      <c r="J1795" s="1"/>
      <c r="K1795" s="1"/>
      <c r="L1795" s="127"/>
      <c r="M1795" s="128"/>
      <c r="N1795" s="17"/>
    </row>
    <row r="1796">
      <c r="A1796" s="1"/>
      <c r="B1796" s="1"/>
      <c r="C1796" s="144"/>
      <c r="D1796" s="151" t="s">
        <v>1416</v>
      </c>
      <c r="E1796" s="14" t="s">
        <v>1384</v>
      </c>
      <c r="F1796" s="152">
        <v>35.0</v>
      </c>
      <c r="G1796" s="17"/>
      <c r="H1796" s="1"/>
      <c r="I1796" s="127"/>
      <c r="J1796" s="1"/>
      <c r="K1796" s="1"/>
      <c r="L1796" s="127"/>
      <c r="M1796" s="128"/>
      <c r="N1796" s="17"/>
    </row>
    <row r="1797">
      <c r="A1797" s="1"/>
      <c r="B1797" s="1"/>
      <c r="C1797" s="144"/>
      <c r="D1797" s="151" t="s">
        <v>1417</v>
      </c>
      <c r="E1797" s="14" t="s">
        <v>1384</v>
      </c>
      <c r="F1797" s="152">
        <v>36.0</v>
      </c>
      <c r="G1797" s="17"/>
      <c r="H1797" s="1"/>
      <c r="I1797" s="127"/>
      <c r="J1797" s="1"/>
      <c r="K1797" s="1"/>
      <c r="L1797" s="127"/>
      <c r="M1797" s="128"/>
      <c r="N1797" s="17"/>
    </row>
    <row r="1798">
      <c r="A1798" s="1"/>
      <c r="B1798" s="1"/>
      <c r="C1798" s="144"/>
      <c r="D1798" s="151" t="s">
        <v>1418</v>
      </c>
      <c r="E1798" s="14" t="s">
        <v>1384</v>
      </c>
      <c r="F1798" s="152">
        <v>38.0</v>
      </c>
      <c r="G1798" s="17"/>
      <c r="H1798" s="1"/>
      <c r="I1798" s="127"/>
      <c r="J1798" s="1"/>
      <c r="K1798" s="1"/>
      <c r="L1798" s="127"/>
      <c r="M1798" s="128"/>
      <c r="N1798" s="17"/>
    </row>
    <row r="1799">
      <c r="A1799" s="1"/>
      <c r="B1799" s="1"/>
      <c r="C1799" s="144"/>
      <c r="D1799" s="151" t="s">
        <v>1419</v>
      </c>
      <c r="E1799" s="14" t="s">
        <v>1384</v>
      </c>
      <c r="F1799" s="152">
        <v>39.0</v>
      </c>
      <c r="G1799" s="17"/>
      <c r="H1799" s="1"/>
      <c r="I1799" s="127"/>
      <c r="J1799" s="1"/>
      <c r="K1799" s="1"/>
      <c r="L1799" s="127"/>
      <c r="M1799" s="128"/>
      <c r="N1799" s="17"/>
    </row>
    <row r="1800">
      <c r="A1800" s="1"/>
      <c r="B1800" s="1"/>
      <c r="C1800" s="144"/>
      <c r="D1800" s="151" t="s">
        <v>1420</v>
      </c>
      <c r="E1800" s="14" t="s">
        <v>1384</v>
      </c>
      <c r="F1800" s="152">
        <v>40.0</v>
      </c>
      <c r="G1800" s="17"/>
      <c r="H1800" s="1"/>
      <c r="I1800" s="127"/>
      <c r="J1800" s="1"/>
      <c r="K1800" s="1"/>
      <c r="L1800" s="127"/>
      <c r="M1800" s="128"/>
      <c r="N1800" s="17"/>
    </row>
    <row r="1801">
      <c r="A1801" s="1"/>
      <c r="B1801" s="1"/>
      <c r="C1801" s="144"/>
      <c r="D1801" s="151" t="s">
        <v>1421</v>
      </c>
      <c r="E1801" s="14" t="s">
        <v>1384</v>
      </c>
      <c r="F1801" s="152">
        <v>41.0</v>
      </c>
      <c r="G1801" s="17"/>
      <c r="H1801" s="1"/>
      <c r="I1801" s="127"/>
      <c r="J1801" s="1"/>
      <c r="K1801" s="1"/>
      <c r="L1801" s="127"/>
      <c r="M1801" s="128"/>
      <c r="N1801" s="17"/>
    </row>
    <row r="1802">
      <c r="A1802" s="1"/>
      <c r="B1802" s="1"/>
      <c r="C1802" s="144"/>
      <c r="D1802" s="153" t="s">
        <v>1422</v>
      </c>
      <c r="E1802" s="14" t="s">
        <v>1384</v>
      </c>
      <c r="F1802" s="152">
        <v>42.0</v>
      </c>
      <c r="G1802" s="17"/>
      <c r="H1802" s="1"/>
      <c r="I1802" s="127"/>
      <c r="J1802" s="1"/>
      <c r="K1802" s="1"/>
      <c r="L1802" s="127"/>
      <c r="M1802" s="128"/>
      <c r="N1802" s="17"/>
    </row>
    <row r="1803">
      <c r="A1803" s="1"/>
      <c r="B1803" s="1"/>
      <c r="C1803" s="144"/>
      <c r="D1803" s="153" t="s">
        <v>1423</v>
      </c>
      <c r="E1803" s="14" t="s">
        <v>1384</v>
      </c>
      <c r="F1803" s="152">
        <v>45.0</v>
      </c>
      <c r="G1803" s="17"/>
      <c r="H1803" s="1"/>
      <c r="I1803" s="127"/>
      <c r="J1803" s="1"/>
      <c r="K1803" s="1"/>
      <c r="L1803" s="127"/>
      <c r="M1803" s="128"/>
      <c r="N1803" s="17"/>
    </row>
    <row r="1804">
      <c r="A1804" s="1"/>
      <c r="B1804" s="1"/>
      <c r="C1804" s="144"/>
      <c r="D1804" s="151" t="s">
        <v>1424</v>
      </c>
      <c r="E1804" s="14" t="s">
        <v>1384</v>
      </c>
      <c r="F1804" s="152">
        <v>46.0</v>
      </c>
      <c r="G1804" s="17"/>
      <c r="H1804" s="1"/>
      <c r="I1804" s="127"/>
      <c r="J1804" s="1"/>
      <c r="K1804" s="1"/>
      <c r="L1804" s="127"/>
      <c r="M1804" s="128"/>
      <c r="N1804" s="17"/>
    </row>
    <row r="1805">
      <c r="A1805" s="1"/>
      <c r="B1805" s="1"/>
      <c r="C1805" s="144"/>
      <c r="D1805" s="151" t="s">
        <v>1425</v>
      </c>
      <c r="E1805" s="14" t="s">
        <v>1384</v>
      </c>
      <c r="F1805" s="152">
        <v>47.0</v>
      </c>
      <c r="G1805" s="17"/>
      <c r="H1805" s="1"/>
      <c r="I1805" s="127"/>
      <c r="J1805" s="1"/>
      <c r="K1805" s="1"/>
      <c r="L1805" s="127"/>
      <c r="M1805" s="128"/>
      <c r="N1805" s="17"/>
    </row>
    <row r="1806">
      <c r="A1806" s="1"/>
      <c r="B1806" s="1"/>
      <c r="C1806" s="144"/>
      <c r="D1806" s="151" t="s">
        <v>1426</v>
      </c>
      <c r="E1806" s="14" t="s">
        <v>1384</v>
      </c>
      <c r="F1806" s="152">
        <v>48.0</v>
      </c>
      <c r="G1806" s="17"/>
      <c r="H1806" s="1"/>
      <c r="I1806" s="127"/>
      <c r="J1806" s="1"/>
      <c r="K1806" s="1"/>
      <c r="L1806" s="127"/>
      <c r="M1806" s="128"/>
      <c r="N1806" s="17"/>
    </row>
    <row r="1807">
      <c r="A1807" s="1"/>
      <c r="B1807" s="1"/>
      <c r="C1807" s="144"/>
      <c r="D1807" s="151" t="s">
        <v>1427</v>
      </c>
      <c r="E1807" s="14" t="s">
        <v>1384</v>
      </c>
      <c r="F1807" s="152">
        <v>49.0</v>
      </c>
      <c r="G1807" s="17"/>
      <c r="H1807" s="1"/>
      <c r="I1807" s="127"/>
      <c r="J1807" s="1"/>
      <c r="K1807" s="1"/>
      <c r="L1807" s="127"/>
      <c r="M1807" s="128"/>
      <c r="N1807" s="17"/>
    </row>
    <row r="1808">
      <c r="A1808" s="1"/>
      <c r="B1808" s="1"/>
      <c r="C1808" s="144"/>
      <c r="D1808" s="151" t="s">
        <v>1428</v>
      </c>
      <c r="E1808" s="14" t="s">
        <v>1384</v>
      </c>
      <c r="F1808" s="152">
        <v>50.0</v>
      </c>
      <c r="G1808" s="17"/>
      <c r="H1808" s="1"/>
      <c r="I1808" s="127"/>
      <c r="J1808" s="1"/>
      <c r="K1808" s="1"/>
      <c r="L1808" s="127"/>
      <c r="M1808" s="128"/>
      <c r="N1808" s="17"/>
    </row>
    <row r="1809">
      <c r="A1809" s="1"/>
      <c r="B1809" s="1"/>
      <c r="C1809" s="144"/>
      <c r="D1809" s="151" t="s">
        <v>1429</v>
      </c>
      <c r="E1809" s="14" t="s">
        <v>1384</v>
      </c>
      <c r="F1809" s="152">
        <v>51.0</v>
      </c>
      <c r="G1809" s="17"/>
      <c r="H1809" s="1"/>
      <c r="I1809" s="127"/>
      <c r="J1809" s="1"/>
      <c r="K1809" s="1"/>
      <c r="L1809" s="127"/>
      <c r="M1809" s="128"/>
      <c r="N1809" s="17"/>
    </row>
    <row r="1810">
      <c r="A1810" s="1"/>
      <c r="B1810" s="1"/>
      <c r="C1810" s="144"/>
      <c r="D1810" s="151" t="s">
        <v>1430</v>
      </c>
      <c r="E1810" s="14" t="s">
        <v>1384</v>
      </c>
      <c r="F1810" s="152">
        <v>52.0</v>
      </c>
      <c r="G1810" s="17"/>
      <c r="H1810" s="1"/>
      <c r="I1810" s="127"/>
      <c r="J1810" s="1"/>
      <c r="K1810" s="1"/>
      <c r="L1810" s="127"/>
      <c r="M1810" s="128"/>
      <c r="N1810" s="17"/>
    </row>
    <row r="1811">
      <c r="A1811" s="1"/>
      <c r="B1811" s="1"/>
      <c r="C1811" s="144"/>
      <c r="D1811" s="151" t="s">
        <v>1431</v>
      </c>
      <c r="E1811" s="14" t="s">
        <v>1384</v>
      </c>
      <c r="F1811" s="152">
        <v>53.0</v>
      </c>
      <c r="G1811" s="17"/>
      <c r="H1811" s="1"/>
      <c r="I1811" s="127"/>
      <c r="J1811" s="1"/>
      <c r="K1811" s="1"/>
      <c r="L1811" s="127"/>
      <c r="M1811" s="128"/>
      <c r="N1811" s="17"/>
    </row>
    <row r="1812">
      <c r="A1812" s="1"/>
      <c r="B1812" s="1"/>
      <c r="C1812" s="144"/>
      <c r="D1812" s="151" t="s">
        <v>1432</v>
      </c>
      <c r="E1812" s="37" t="s">
        <v>1384</v>
      </c>
      <c r="F1812" s="152">
        <v>55.0</v>
      </c>
      <c r="G1812" s="17"/>
      <c r="H1812" s="1"/>
      <c r="I1812" s="127"/>
      <c r="J1812" s="1"/>
      <c r="K1812" s="1"/>
      <c r="L1812" s="127"/>
      <c r="M1812" s="128"/>
      <c r="N1812" s="17"/>
    </row>
    <row r="1813">
      <c r="A1813" s="1"/>
      <c r="B1813" s="1"/>
      <c r="C1813" s="144"/>
      <c r="D1813" s="151" t="s">
        <v>1433</v>
      </c>
      <c r="E1813" s="14" t="s">
        <v>1384</v>
      </c>
      <c r="F1813" s="152">
        <v>56.0</v>
      </c>
      <c r="G1813" s="17"/>
      <c r="H1813" s="1"/>
      <c r="I1813" s="127"/>
      <c r="J1813" s="1"/>
      <c r="K1813" s="1"/>
      <c r="L1813" s="127"/>
      <c r="M1813" s="128"/>
      <c r="N1813" s="17"/>
    </row>
    <row r="1814">
      <c r="A1814" s="1"/>
      <c r="B1814" s="1"/>
      <c r="C1814" s="144"/>
      <c r="D1814" s="151" t="s">
        <v>1434</v>
      </c>
      <c r="E1814" s="37" t="s">
        <v>1384</v>
      </c>
      <c r="F1814" s="152">
        <v>57.0</v>
      </c>
      <c r="G1814" s="17"/>
      <c r="H1814" s="1"/>
      <c r="I1814" s="127"/>
      <c r="J1814" s="1"/>
      <c r="K1814" s="1"/>
      <c r="L1814" s="127"/>
      <c r="M1814" s="128"/>
      <c r="N1814" s="17"/>
    </row>
    <row r="1815">
      <c r="A1815" s="1"/>
      <c r="B1815" s="1"/>
      <c r="C1815" s="144"/>
      <c r="D1815" s="151" t="s">
        <v>1435</v>
      </c>
      <c r="E1815" s="14" t="s">
        <v>1384</v>
      </c>
      <c r="F1815" s="152">
        <v>58.0</v>
      </c>
      <c r="G1815" s="17"/>
      <c r="H1815" s="1"/>
      <c r="I1815" s="127"/>
      <c r="J1815" s="1"/>
      <c r="K1815" s="1"/>
      <c r="L1815" s="127"/>
      <c r="M1815" s="128"/>
      <c r="N1815" s="17"/>
    </row>
    <row r="1816">
      <c r="A1816" s="1"/>
      <c r="B1816" s="1"/>
      <c r="C1816" s="144"/>
      <c r="D1816" s="151" t="s">
        <v>1436</v>
      </c>
      <c r="E1816" s="14" t="s">
        <v>1384</v>
      </c>
      <c r="F1816" s="152">
        <v>59.0</v>
      </c>
      <c r="G1816" s="17"/>
      <c r="H1816" s="1"/>
      <c r="I1816" s="127"/>
      <c r="J1816" s="1"/>
      <c r="K1816" s="1"/>
      <c r="L1816" s="127"/>
      <c r="M1816" s="128"/>
      <c r="N1816" s="17"/>
    </row>
    <row r="1817">
      <c r="A1817" s="1"/>
      <c r="B1817" s="1"/>
      <c r="C1817" s="144"/>
      <c r="D1817" s="151" t="s">
        <v>1437</v>
      </c>
      <c r="E1817" s="14" t="s">
        <v>1384</v>
      </c>
      <c r="F1817" s="152">
        <v>60.0</v>
      </c>
      <c r="G1817" s="17"/>
      <c r="H1817" s="1"/>
      <c r="I1817" s="127"/>
      <c r="J1817" s="1"/>
      <c r="K1817" s="1"/>
      <c r="L1817" s="127"/>
      <c r="M1817" s="128"/>
      <c r="N1817" s="17"/>
    </row>
    <row r="1818">
      <c r="A1818" s="1"/>
      <c r="B1818" s="1"/>
      <c r="C1818" s="144"/>
      <c r="D1818" s="151" t="s">
        <v>1438</v>
      </c>
      <c r="E1818" s="14" t="s">
        <v>1384</v>
      </c>
      <c r="F1818" s="152">
        <v>61.0</v>
      </c>
      <c r="G1818" s="17"/>
      <c r="H1818" s="1"/>
      <c r="I1818" s="127"/>
      <c r="J1818" s="1"/>
      <c r="K1818" s="1"/>
      <c r="L1818" s="127"/>
      <c r="M1818" s="128"/>
      <c r="N1818" s="17"/>
    </row>
    <row r="1819">
      <c r="A1819" s="1"/>
      <c r="B1819" s="1"/>
      <c r="C1819" s="144"/>
      <c r="D1819" s="151" t="s">
        <v>1439</v>
      </c>
      <c r="E1819" s="14" t="s">
        <v>1384</v>
      </c>
      <c r="F1819" s="152">
        <v>62.0</v>
      </c>
      <c r="G1819" s="17"/>
      <c r="H1819" s="1"/>
      <c r="I1819" s="127"/>
      <c r="J1819" s="1"/>
      <c r="K1819" s="1"/>
      <c r="L1819" s="127"/>
      <c r="M1819" s="128"/>
      <c r="N1819" s="17"/>
    </row>
    <row r="1820">
      <c r="A1820" s="1"/>
      <c r="B1820" s="1"/>
      <c r="C1820" s="144"/>
      <c r="D1820" s="151" t="s">
        <v>1440</v>
      </c>
      <c r="E1820" s="14" t="s">
        <v>1384</v>
      </c>
      <c r="F1820" s="152">
        <v>64.0</v>
      </c>
      <c r="G1820" s="17"/>
      <c r="H1820" s="1"/>
      <c r="I1820" s="127"/>
      <c r="J1820" s="1"/>
      <c r="K1820" s="1"/>
      <c r="L1820" s="127"/>
      <c r="M1820" s="128"/>
      <c r="N1820" s="17"/>
    </row>
    <row r="1821">
      <c r="A1821" s="1"/>
      <c r="B1821" s="1"/>
      <c r="C1821" s="144"/>
      <c r="D1821" s="151" t="s">
        <v>1441</v>
      </c>
      <c r="E1821" s="14" t="s">
        <v>1384</v>
      </c>
      <c r="F1821" s="152">
        <v>65.0</v>
      </c>
      <c r="G1821" s="17"/>
      <c r="H1821" s="1"/>
      <c r="I1821" s="127"/>
      <c r="J1821" s="1"/>
      <c r="K1821" s="1"/>
      <c r="L1821" s="127"/>
      <c r="M1821" s="128"/>
      <c r="N1821" s="17"/>
    </row>
    <row r="1822">
      <c r="A1822" s="1"/>
      <c r="B1822" s="1"/>
      <c r="C1822" s="144"/>
      <c r="D1822" s="151" t="s">
        <v>1442</v>
      </c>
      <c r="E1822" s="14" t="s">
        <v>1384</v>
      </c>
      <c r="F1822" s="152">
        <v>66.0</v>
      </c>
      <c r="G1822" s="17"/>
      <c r="H1822" s="1"/>
      <c r="I1822" s="127"/>
      <c r="J1822" s="1"/>
      <c r="K1822" s="1"/>
      <c r="L1822" s="127"/>
      <c r="M1822" s="128"/>
      <c r="N1822" s="17"/>
    </row>
    <row r="1823">
      <c r="A1823" s="1"/>
      <c r="B1823" s="1"/>
      <c r="C1823" s="144"/>
      <c r="D1823" s="151" t="s">
        <v>1443</v>
      </c>
      <c r="E1823" s="14" t="s">
        <v>1384</v>
      </c>
      <c r="F1823" s="152">
        <v>67.0</v>
      </c>
      <c r="G1823" s="17"/>
      <c r="H1823" s="1"/>
      <c r="I1823" s="127"/>
      <c r="J1823" s="1"/>
      <c r="K1823" s="1"/>
      <c r="L1823" s="127"/>
      <c r="M1823" s="128"/>
      <c r="N1823" s="17"/>
    </row>
    <row r="1824">
      <c r="A1824" s="1"/>
      <c r="B1824" s="1"/>
      <c r="C1824" s="144"/>
      <c r="D1824" s="151" t="s">
        <v>1444</v>
      </c>
      <c r="E1824" s="14" t="s">
        <v>1384</v>
      </c>
      <c r="F1824" s="152">
        <v>70.0</v>
      </c>
      <c r="G1824" s="17"/>
      <c r="H1824" s="1"/>
      <c r="I1824" s="127"/>
      <c r="J1824" s="1"/>
      <c r="K1824" s="1"/>
      <c r="L1824" s="127"/>
      <c r="M1824" s="128"/>
      <c r="N1824" s="17"/>
    </row>
    <row r="1825">
      <c r="A1825" s="1"/>
      <c r="B1825" s="1"/>
      <c r="C1825" s="144"/>
      <c r="D1825" s="151" t="s">
        <v>1445</v>
      </c>
      <c r="E1825" s="14" t="s">
        <v>1384</v>
      </c>
      <c r="F1825" s="152">
        <v>71.0</v>
      </c>
      <c r="G1825" s="17"/>
      <c r="H1825" s="1"/>
      <c r="I1825" s="127"/>
      <c r="J1825" s="1"/>
      <c r="K1825" s="1"/>
      <c r="L1825" s="127"/>
      <c r="M1825" s="128"/>
      <c r="N1825" s="17"/>
    </row>
    <row r="1826">
      <c r="A1826" s="1"/>
      <c r="B1826" s="1"/>
      <c r="C1826" s="144"/>
      <c r="D1826" s="151" t="s">
        <v>1446</v>
      </c>
      <c r="E1826" s="14" t="s">
        <v>1384</v>
      </c>
      <c r="F1826" s="152">
        <v>75.0</v>
      </c>
      <c r="G1826" s="17"/>
      <c r="H1826" s="1"/>
      <c r="I1826" s="127"/>
      <c r="J1826" s="1"/>
      <c r="K1826" s="1"/>
      <c r="L1826" s="127"/>
      <c r="M1826" s="128"/>
      <c r="N1826" s="17"/>
    </row>
    <row r="1827">
      <c r="A1827" s="1"/>
      <c r="B1827" s="1"/>
      <c r="C1827" s="144"/>
      <c r="D1827" s="151" t="s">
        <v>1447</v>
      </c>
      <c r="E1827" s="14" t="s">
        <v>1384</v>
      </c>
      <c r="F1827" s="152">
        <v>77.0</v>
      </c>
      <c r="G1827" s="17"/>
      <c r="H1827" s="1"/>
      <c r="I1827" s="127"/>
      <c r="J1827" s="1"/>
      <c r="K1827" s="1"/>
      <c r="L1827" s="127"/>
      <c r="M1827" s="128"/>
      <c r="N1827" s="17"/>
    </row>
    <row r="1828">
      <c r="A1828" s="1"/>
      <c r="B1828" s="1"/>
      <c r="C1828" s="144"/>
      <c r="D1828" s="151" t="s">
        <v>1448</v>
      </c>
      <c r="E1828" s="14" t="s">
        <v>1384</v>
      </c>
      <c r="F1828" s="152">
        <v>78.0</v>
      </c>
      <c r="G1828" s="17"/>
      <c r="H1828" s="1"/>
      <c r="I1828" s="127"/>
      <c r="J1828" s="1"/>
      <c r="K1828" s="1"/>
      <c r="L1828" s="127"/>
      <c r="M1828" s="128"/>
      <c r="N1828" s="17"/>
    </row>
    <row r="1829">
      <c r="A1829" s="1"/>
      <c r="B1829" s="1"/>
      <c r="C1829" s="144"/>
      <c r="D1829" s="151" t="s">
        <v>1449</v>
      </c>
      <c r="E1829" s="14" t="s">
        <v>1384</v>
      </c>
      <c r="F1829" s="152">
        <v>79.0</v>
      </c>
      <c r="G1829" s="17"/>
      <c r="H1829" s="1"/>
      <c r="I1829" s="127"/>
      <c r="J1829" s="1"/>
      <c r="K1829" s="1"/>
      <c r="L1829" s="127"/>
      <c r="M1829" s="128"/>
      <c r="N1829" s="17"/>
    </row>
    <row r="1830">
      <c r="A1830" s="1"/>
      <c r="B1830" s="1"/>
      <c r="C1830" s="144"/>
      <c r="D1830" s="151" t="s">
        <v>1450</v>
      </c>
      <c r="E1830" s="14" t="s">
        <v>1384</v>
      </c>
      <c r="F1830" s="152">
        <v>80.0</v>
      </c>
      <c r="G1830" s="17"/>
      <c r="H1830" s="1"/>
      <c r="I1830" s="127"/>
      <c r="J1830" s="1"/>
      <c r="K1830" s="1"/>
      <c r="L1830" s="127"/>
      <c r="M1830" s="128"/>
      <c r="N1830" s="17"/>
    </row>
    <row r="1831">
      <c r="A1831" s="1"/>
      <c r="B1831" s="1"/>
      <c r="C1831" s="144"/>
      <c r="D1831" s="151" t="s">
        <v>1451</v>
      </c>
      <c r="E1831" s="14" t="s">
        <v>1384</v>
      </c>
      <c r="F1831" s="152">
        <v>83.0</v>
      </c>
      <c r="G1831" s="17"/>
      <c r="H1831" s="1"/>
      <c r="I1831" s="127"/>
      <c r="J1831" s="1"/>
      <c r="K1831" s="1"/>
      <c r="L1831" s="127"/>
      <c r="M1831" s="128"/>
      <c r="N1831" s="17"/>
    </row>
    <row r="1832">
      <c r="A1832" s="1"/>
      <c r="B1832" s="1"/>
      <c r="C1832" s="144"/>
      <c r="D1832" s="151" t="s">
        <v>1452</v>
      </c>
      <c r="E1832" s="14" t="s">
        <v>1384</v>
      </c>
      <c r="F1832" s="152">
        <v>84.0</v>
      </c>
      <c r="G1832" s="17"/>
      <c r="H1832" s="1"/>
      <c r="I1832" s="127"/>
      <c r="J1832" s="1"/>
      <c r="K1832" s="1"/>
      <c r="L1832" s="127"/>
      <c r="M1832" s="128"/>
      <c r="N1832" s="17"/>
    </row>
    <row r="1833">
      <c r="A1833" s="1"/>
      <c r="B1833" s="1"/>
      <c r="C1833" s="144"/>
      <c r="D1833" s="151" t="s">
        <v>1453</v>
      </c>
      <c r="E1833" s="14" t="s">
        <v>1384</v>
      </c>
      <c r="F1833" s="152">
        <v>88.0</v>
      </c>
      <c r="G1833" s="17"/>
      <c r="H1833" s="1"/>
      <c r="I1833" s="127"/>
      <c r="J1833" s="1"/>
      <c r="K1833" s="1"/>
      <c r="L1833" s="127"/>
      <c r="M1833" s="128"/>
      <c r="N1833" s="17"/>
    </row>
    <row r="1834">
      <c r="A1834" s="1"/>
      <c r="B1834" s="1"/>
      <c r="C1834" s="144"/>
      <c r="D1834" s="151" t="s">
        <v>1454</v>
      </c>
      <c r="E1834" s="14" t="s">
        <v>1384</v>
      </c>
      <c r="F1834" s="152">
        <v>89.0</v>
      </c>
      <c r="G1834" s="17"/>
      <c r="H1834" s="1"/>
      <c r="I1834" s="127"/>
      <c r="J1834" s="1"/>
      <c r="K1834" s="1"/>
      <c r="L1834" s="127"/>
      <c r="M1834" s="128"/>
      <c r="N1834" s="17"/>
    </row>
    <row r="1835">
      <c r="A1835" s="1"/>
      <c r="B1835" s="1"/>
      <c r="C1835" s="144"/>
      <c r="D1835" s="151" t="s">
        <v>1455</v>
      </c>
      <c r="E1835" s="14" t="s">
        <v>1384</v>
      </c>
      <c r="F1835" s="152">
        <v>91.0</v>
      </c>
      <c r="G1835" s="17"/>
      <c r="H1835" s="1"/>
      <c r="I1835" s="127"/>
      <c r="J1835" s="1"/>
      <c r="K1835" s="1"/>
      <c r="L1835" s="127"/>
      <c r="M1835" s="128"/>
      <c r="N1835" s="17"/>
    </row>
    <row r="1836">
      <c r="A1836" s="1"/>
      <c r="B1836" s="1"/>
      <c r="C1836" s="144"/>
      <c r="D1836" s="151" t="s">
        <v>1456</v>
      </c>
      <c r="E1836" s="14" t="s">
        <v>1384</v>
      </c>
      <c r="F1836" s="152">
        <v>93.0</v>
      </c>
      <c r="G1836" s="17"/>
      <c r="H1836" s="1"/>
      <c r="I1836" s="127"/>
      <c r="J1836" s="1"/>
      <c r="K1836" s="1"/>
      <c r="L1836" s="127"/>
      <c r="M1836" s="128"/>
      <c r="N1836" s="17"/>
    </row>
    <row r="1837">
      <c r="A1837" s="1"/>
      <c r="B1837" s="1"/>
      <c r="C1837" s="144"/>
      <c r="D1837" s="151" t="s">
        <v>1457</v>
      </c>
      <c r="E1837" s="14" t="s">
        <v>1384</v>
      </c>
      <c r="F1837" s="152">
        <v>94.0</v>
      </c>
      <c r="G1837" s="17"/>
      <c r="H1837" s="1"/>
      <c r="I1837" s="127"/>
      <c r="J1837" s="1"/>
      <c r="K1837" s="1"/>
      <c r="L1837" s="127"/>
      <c r="M1837" s="128"/>
      <c r="N1837" s="17"/>
    </row>
    <row r="1838">
      <c r="A1838" s="1"/>
      <c r="B1838" s="1"/>
      <c r="C1838" s="144"/>
      <c r="D1838" s="151" t="s">
        <v>1458</v>
      </c>
      <c r="E1838" s="14" t="s">
        <v>1384</v>
      </c>
      <c r="F1838" s="152">
        <v>95.0</v>
      </c>
      <c r="G1838" s="17"/>
      <c r="H1838" s="1"/>
      <c r="I1838" s="127"/>
      <c r="J1838" s="1"/>
      <c r="K1838" s="1"/>
      <c r="L1838" s="127"/>
      <c r="M1838" s="128"/>
      <c r="N1838" s="17"/>
    </row>
    <row r="1839">
      <c r="A1839" s="1"/>
      <c r="B1839" s="1"/>
      <c r="C1839" s="144"/>
      <c r="D1839" s="151" t="s">
        <v>1459</v>
      </c>
      <c r="E1839" s="14" t="s">
        <v>1384</v>
      </c>
      <c r="F1839" s="152">
        <v>96.0</v>
      </c>
      <c r="G1839" s="17"/>
      <c r="H1839" s="1"/>
      <c r="I1839" s="127"/>
      <c r="J1839" s="1"/>
      <c r="K1839" s="1"/>
      <c r="L1839" s="127"/>
      <c r="M1839" s="128"/>
      <c r="N1839" s="17"/>
    </row>
    <row r="1840">
      <c r="A1840" s="1"/>
      <c r="B1840" s="1"/>
      <c r="C1840" s="144"/>
      <c r="D1840" s="154" t="s">
        <v>1460</v>
      </c>
      <c r="E1840" s="22" t="s">
        <v>1384</v>
      </c>
      <c r="F1840" s="155">
        <v>98.0</v>
      </c>
      <c r="G1840" s="17"/>
      <c r="H1840" s="1"/>
      <c r="I1840" s="127"/>
      <c r="J1840" s="1"/>
      <c r="K1840" s="1"/>
      <c r="L1840" s="127"/>
      <c r="M1840" s="128"/>
      <c r="N1840" s="17"/>
    </row>
    <row r="1841">
      <c r="A1841" s="1"/>
      <c r="B1841" s="1"/>
      <c r="C1841" s="144"/>
      <c r="D1841" s="151" t="s">
        <v>1461</v>
      </c>
      <c r="E1841" s="14" t="s">
        <v>1462</v>
      </c>
      <c r="F1841" s="152">
        <v>10.0</v>
      </c>
      <c r="G1841" s="17"/>
      <c r="H1841" s="1"/>
      <c r="I1841" s="127"/>
      <c r="J1841" s="1"/>
      <c r="K1841" s="1"/>
      <c r="L1841" s="127"/>
      <c r="M1841" s="128"/>
      <c r="N1841" s="17"/>
    </row>
    <row r="1842">
      <c r="A1842" s="1"/>
      <c r="B1842" s="1"/>
      <c r="C1842" s="144"/>
      <c r="D1842" s="151" t="s">
        <v>1463</v>
      </c>
      <c r="E1842" s="14" t="s">
        <v>1462</v>
      </c>
      <c r="F1842" s="152">
        <v>30.0</v>
      </c>
      <c r="G1842" s="17"/>
      <c r="H1842" s="1"/>
      <c r="I1842" s="127"/>
      <c r="J1842" s="1"/>
      <c r="K1842" s="1"/>
      <c r="L1842" s="127"/>
      <c r="M1842" s="128"/>
      <c r="N1842" s="17"/>
    </row>
    <row r="1843">
      <c r="A1843" s="1"/>
      <c r="B1843" s="1"/>
      <c r="C1843" s="144"/>
      <c r="D1843" s="151" t="s">
        <v>1464</v>
      </c>
      <c r="E1843" s="14" t="s">
        <v>1462</v>
      </c>
      <c r="F1843" s="152">
        <v>37.0</v>
      </c>
      <c r="G1843" s="17"/>
      <c r="H1843" s="1"/>
      <c r="I1843" s="127"/>
      <c r="J1843" s="1"/>
      <c r="K1843" s="1"/>
      <c r="L1843" s="127"/>
      <c r="M1843" s="128"/>
      <c r="N1843" s="17"/>
    </row>
    <row r="1844">
      <c r="A1844" s="1"/>
      <c r="B1844" s="1"/>
      <c r="C1844" s="144"/>
      <c r="D1844" s="151" t="s">
        <v>1465</v>
      </c>
      <c r="E1844" s="14" t="s">
        <v>1462</v>
      </c>
      <c r="F1844" s="152">
        <v>43.0</v>
      </c>
      <c r="G1844" s="17"/>
      <c r="H1844" s="1"/>
      <c r="I1844" s="127"/>
      <c r="J1844" s="1"/>
      <c r="K1844" s="1"/>
      <c r="L1844" s="127"/>
      <c r="M1844" s="128"/>
      <c r="N1844" s="17"/>
    </row>
    <row r="1845">
      <c r="A1845" s="1"/>
      <c r="B1845" s="1"/>
      <c r="C1845" s="144"/>
      <c r="D1845" s="151" t="s">
        <v>1466</v>
      </c>
      <c r="E1845" s="14" t="s">
        <v>1462</v>
      </c>
      <c r="F1845" s="152">
        <v>44.0</v>
      </c>
      <c r="G1845" s="17"/>
      <c r="H1845" s="1"/>
      <c r="I1845" s="127"/>
      <c r="J1845" s="1"/>
      <c r="K1845" s="1"/>
      <c r="L1845" s="127"/>
      <c r="M1845" s="128"/>
      <c r="N1845" s="17"/>
    </row>
    <row r="1846">
      <c r="A1846" s="1"/>
      <c r="B1846" s="1"/>
      <c r="C1846" s="144"/>
      <c r="D1846" s="153" t="s">
        <v>1467</v>
      </c>
      <c r="E1846" s="14" t="s">
        <v>1462</v>
      </c>
      <c r="F1846" s="152"/>
      <c r="G1846" s="17"/>
      <c r="H1846" s="1"/>
      <c r="I1846" s="127"/>
      <c r="J1846" s="1"/>
      <c r="K1846" s="1"/>
      <c r="L1846" s="127"/>
      <c r="M1846" s="128"/>
      <c r="N1846" s="17"/>
    </row>
    <row r="1847">
      <c r="A1847" s="1"/>
      <c r="B1847" s="1"/>
      <c r="C1847" s="144"/>
      <c r="D1847" s="151" t="s">
        <v>1468</v>
      </c>
      <c r="E1847" s="14" t="s">
        <v>1462</v>
      </c>
      <c r="F1847" s="152">
        <v>63.0</v>
      </c>
      <c r="G1847" s="17"/>
      <c r="H1847" s="1"/>
      <c r="I1847" s="127"/>
      <c r="J1847" s="1"/>
      <c r="K1847" s="1"/>
      <c r="L1847" s="127"/>
      <c r="M1847" s="128"/>
      <c r="N1847" s="17"/>
    </row>
    <row r="1848">
      <c r="A1848" s="1"/>
      <c r="B1848" s="1"/>
      <c r="C1848" s="144"/>
      <c r="D1848" s="151" t="s">
        <v>1469</v>
      </c>
      <c r="E1848" s="14" t="s">
        <v>1462</v>
      </c>
      <c r="F1848" s="152">
        <v>68.0</v>
      </c>
      <c r="G1848" s="17"/>
      <c r="H1848" s="1"/>
      <c r="I1848" s="127"/>
      <c r="J1848" s="1"/>
      <c r="K1848" s="1"/>
      <c r="L1848" s="127"/>
      <c r="M1848" s="128"/>
      <c r="N1848" s="17"/>
    </row>
    <row r="1849">
      <c r="A1849" s="1"/>
      <c r="B1849" s="1"/>
      <c r="C1849" s="144"/>
      <c r="D1849" s="151" t="s">
        <v>1470</v>
      </c>
      <c r="E1849" s="14" t="s">
        <v>1462</v>
      </c>
      <c r="F1849" s="152">
        <v>69.0</v>
      </c>
      <c r="G1849" s="17"/>
      <c r="H1849" s="1"/>
      <c r="I1849" s="127"/>
      <c r="J1849" s="1"/>
      <c r="K1849" s="1"/>
      <c r="L1849" s="127"/>
      <c r="M1849" s="128"/>
      <c r="N1849" s="17"/>
    </row>
    <row r="1850">
      <c r="A1850" s="1"/>
      <c r="B1850" s="1"/>
      <c r="C1850" s="144"/>
      <c r="D1850" s="151" t="s">
        <v>1471</v>
      </c>
      <c r="E1850" s="14" t="s">
        <v>1462</v>
      </c>
      <c r="F1850" s="152">
        <v>72.0</v>
      </c>
      <c r="G1850" s="17"/>
      <c r="H1850" s="1"/>
      <c r="I1850" s="127"/>
      <c r="J1850" s="1"/>
      <c r="K1850" s="1"/>
      <c r="L1850" s="127"/>
      <c r="M1850" s="128"/>
      <c r="N1850" s="17"/>
    </row>
    <row r="1851">
      <c r="A1851" s="1"/>
      <c r="B1851" s="1"/>
      <c r="C1851" s="144"/>
      <c r="D1851" s="151" t="s">
        <v>1472</v>
      </c>
      <c r="E1851" s="14" t="s">
        <v>1462</v>
      </c>
      <c r="F1851" s="152">
        <v>73.0</v>
      </c>
      <c r="G1851" s="17"/>
      <c r="H1851" s="1"/>
      <c r="I1851" s="127"/>
      <c r="J1851" s="1"/>
      <c r="K1851" s="1"/>
      <c r="L1851" s="127"/>
      <c r="M1851" s="128"/>
      <c r="N1851" s="17"/>
    </row>
    <row r="1852">
      <c r="A1852" s="1"/>
      <c r="B1852" s="1"/>
      <c r="C1852" s="144"/>
      <c r="D1852" s="151" t="s">
        <v>1473</v>
      </c>
      <c r="E1852" s="14" t="s">
        <v>1462</v>
      </c>
      <c r="F1852" s="152">
        <v>74.0</v>
      </c>
      <c r="G1852" s="17"/>
      <c r="H1852" s="1"/>
      <c r="I1852" s="127"/>
      <c r="J1852" s="1"/>
      <c r="K1852" s="1"/>
      <c r="L1852" s="127"/>
      <c r="M1852" s="128"/>
      <c r="N1852" s="17"/>
    </row>
    <row r="1853">
      <c r="A1853" s="1"/>
      <c r="B1853" s="1"/>
      <c r="C1853" s="144"/>
      <c r="D1853" s="151" t="s">
        <v>1474</v>
      </c>
      <c r="E1853" s="14" t="s">
        <v>1462</v>
      </c>
      <c r="F1853" s="152">
        <v>76.0</v>
      </c>
      <c r="G1853" s="17"/>
      <c r="H1853" s="1"/>
      <c r="I1853" s="127"/>
      <c r="J1853" s="1"/>
      <c r="K1853" s="1"/>
      <c r="L1853" s="127"/>
      <c r="M1853" s="128"/>
      <c r="N1853" s="17"/>
    </row>
    <row r="1854">
      <c r="A1854" s="1"/>
      <c r="B1854" s="1"/>
      <c r="C1854" s="144"/>
      <c r="D1854" s="151" t="s">
        <v>1475</v>
      </c>
      <c r="E1854" s="14" t="s">
        <v>1462</v>
      </c>
      <c r="F1854" s="152">
        <v>81.0</v>
      </c>
      <c r="G1854" s="17"/>
      <c r="H1854" s="1"/>
      <c r="I1854" s="127"/>
      <c r="J1854" s="1"/>
      <c r="K1854" s="1"/>
      <c r="L1854" s="127"/>
      <c r="M1854" s="128"/>
      <c r="N1854" s="17"/>
    </row>
    <row r="1855">
      <c r="A1855" s="1"/>
      <c r="B1855" s="1"/>
      <c r="C1855" s="144"/>
      <c r="D1855" s="151" t="s">
        <v>1476</v>
      </c>
      <c r="E1855" s="14" t="s">
        <v>1462</v>
      </c>
      <c r="F1855" s="152">
        <v>82.0</v>
      </c>
      <c r="G1855" s="17"/>
      <c r="H1855" s="1"/>
      <c r="I1855" s="127"/>
      <c r="J1855" s="1"/>
      <c r="K1855" s="1"/>
      <c r="L1855" s="127"/>
      <c r="M1855" s="128"/>
      <c r="N1855" s="17"/>
    </row>
    <row r="1856">
      <c r="A1856" s="1"/>
      <c r="B1856" s="1"/>
      <c r="C1856" s="144"/>
      <c r="D1856" s="151" t="s">
        <v>1477</v>
      </c>
      <c r="E1856" s="14" t="s">
        <v>1462</v>
      </c>
      <c r="F1856" s="152">
        <v>85.0</v>
      </c>
      <c r="G1856" s="17"/>
      <c r="H1856" s="1"/>
      <c r="I1856" s="127"/>
      <c r="J1856" s="1"/>
      <c r="K1856" s="1"/>
      <c r="L1856" s="127"/>
      <c r="M1856" s="128"/>
      <c r="N1856" s="17"/>
    </row>
    <row r="1857">
      <c r="A1857" s="1"/>
      <c r="B1857" s="1"/>
      <c r="C1857" s="144"/>
      <c r="D1857" s="151" t="s">
        <v>1478</v>
      </c>
      <c r="E1857" s="14" t="s">
        <v>1462</v>
      </c>
      <c r="F1857" s="152">
        <v>86.0</v>
      </c>
      <c r="G1857" s="17"/>
      <c r="H1857" s="1"/>
      <c r="I1857" s="127"/>
      <c r="J1857" s="1"/>
      <c r="K1857" s="1"/>
      <c r="L1857" s="127"/>
      <c r="M1857" s="128"/>
      <c r="N1857" s="17"/>
    </row>
    <row r="1858">
      <c r="A1858" s="1"/>
      <c r="B1858" s="1"/>
      <c r="C1858" s="144"/>
      <c r="D1858" s="151" t="s">
        <v>1479</v>
      </c>
      <c r="E1858" s="14" t="s">
        <v>1462</v>
      </c>
      <c r="F1858" s="152">
        <v>87.0</v>
      </c>
      <c r="G1858" s="17"/>
      <c r="H1858" s="1"/>
      <c r="I1858" s="127"/>
      <c r="J1858" s="1"/>
      <c r="K1858" s="1"/>
      <c r="L1858" s="127"/>
      <c r="M1858" s="128"/>
      <c r="N1858" s="17"/>
    </row>
    <row r="1859">
      <c r="A1859" s="1"/>
      <c r="B1859" s="1"/>
      <c r="C1859" s="144"/>
      <c r="D1859" s="151" t="s">
        <v>1480</v>
      </c>
      <c r="E1859" s="14" t="s">
        <v>1462</v>
      </c>
      <c r="F1859" s="152">
        <v>90.0</v>
      </c>
      <c r="G1859" s="17"/>
      <c r="H1859" s="1"/>
      <c r="I1859" s="127"/>
      <c r="J1859" s="1"/>
      <c r="K1859" s="1"/>
      <c r="L1859" s="127"/>
      <c r="M1859" s="128"/>
      <c r="N1859" s="17"/>
    </row>
    <row r="1860">
      <c r="A1860" s="1"/>
      <c r="B1860" s="1"/>
      <c r="C1860" s="144"/>
      <c r="D1860" s="151" t="s">
        <v>1481</v>
      </c>
      <c r="E1860" s="14" t="s">
        <v>1462</v>
      </c>
      <c r="F1860" s="152">
        <v>92.0</v>
      </c>
      <c r="G1860" s="17"/>
      <c r="H1860" s="1"/>
      <c r="I1860" s="127"/>
      <c r="J1860" s="1"/>
      <c r="K1860" s="1"/>
      <c r="L1860" s="127"/>
      <c r="M1860" s="128"/>
      <c r="N1860" s="17"/>
    </row>
    <row r="1861">
      <c r="A1861" s="1"/>
      <c r="B1861" s="1"/>
      <c r="C1861" s="144"/>
      <c r="D1861" s="151" t="s">
        <v>1482</v>
      </c>
      <c r="E1861" s="14" t="s">
        <v>1462</v>
      </c>
      <c r="F1861" s="152">
        <v>97.0</v>
      </c>
      <c r="G1861" s="17"/>
      <c r="H1861" s="1"/>
      <c r="I1861" s="127"/>
      <c r="J1861" s="1"/>
      <c r="K1861" s="1"/>
      <c r="L1861" s="127"/>
      <c r="M1861" s="128"/>
      <c r="N1861" s="17"/>
    </row>
    <row r="1862">
      <c r="A1862" s="1"/>
      <c r="B1862" s="1"/>
      <c r="C1862" s="144"/>
      <c r="D1862" s="151" t="s">
        <v>1483</v>
      </c>
      <c r="E1862" s="14" t="s">
        <v>1462</v>
      </c>
      <c r="F1862" s="152">
        <v>99.0</v>
      </c>
      <c r="G1862" s="17"/>
      <c r="H1862" s="1"/>
      <c r="I1862" s="127"/>
      <c r="J1862" s="1"/>
      <c r="K1862" s="1"/>
      <c r="L1862" s="127"/>
      <c r="M1862" s="128"/>
      <c r="N1862" s="17"/>
    </row>
    <row r="1863">
      <c r="A1863" s="1"/>
      <c r="B1863" s="1"/>
      <c r="C1863" s="144"/>
      <c r="D1863" s="151" t="s">
        <v>1484</v>
      </c>
      <c r="E1863" s="14" t="s">
        <v>1462</v>
      </c>
      <c r="F1863" s="152">
        <v>100.0</v>
      </c>
      <c r="G1863" s="17"/>
      <c r="H1863" s="1"/>
      <c r="I1863" s="127"/>
      <c r="J1863" s="1"/>
      <c r="K1863" s="1"/>
      <c r="L1863" s="127"/>
      <c r="M1863" s="128"/>
      <c r="N1863" s="17"/>
    </row>
    <row r="1864">
      <c r="A1864" s="1"/>
      <c r="B1864" s="1"/>
      <c r="C1864" s="144"/>
      <c r="D1864" s="145"/>
      <c r="E1864" s="156"/>
      <c r="F1864" s="157"/>
      <c r="G1864" s="17"/>
      <c r="H1864" s="1"/>
      <c r="I1864" s="127"/>
      <c r="J1864" s="1"/>
      <c r="K1864" s="1"/>
      <c r="L1864" s="127"/>
      <c r="M1864" s="128"/>
      <c r="N1864" s="17"/>
    </row>
    <row r="1865">
      <c r="A1865" s="1"/>
      <c r="B1865" s="1"/>
      <c r="C1865" s="144"/>
      <c r="D1865" s="158"/>
      <c r="E1865" s="159" t="s">
        <v>1384</v>
      </c>
      <c r="F1865" s="160">
        <f>COUNTIF($E$1763:$E$1863,"yes")</f>
        <v>77</v>
      </c>
      <c r="G1865" s="17"/>
      <c r="H1865" s="1"/>
      <c r="I1865" s="127"/>
      <c r="J1865" s="1"/>
      <c r="K1865" s="1"/>
      <c r="L1865" s="127"/>
      <c r="M1865" s="128"/>
      <c r="N1865" s="17"/>
    </row>
    <row r="1866">
      <c r="A1866" s="1"/>
      <c r="B1866" s="1"/>
      <c r="C1866" s="144"/>
      <c r="D1866" s="158"/>
      <c r="E1866" s="161" t="s">
        <v>1462</v>
      </c>
      <c r="F1866" s="162">
        <f>100-F1865</f>
        <v>23</v>
      </c>
      <c r="G1866" s="17"/>
      <c r="H1866" s="1"/>
      <c r="I1866" s="127"/>
      <c r="J1866" s="1"/>
      <c r="K1866" s="1"/>
      <c r="L1866" s="127"/>
      <c r="M1866" s="128"/>
      <c r="N1866" s="17"/>
    </row>
    <row r="1867">
      <c r="A1867" s="1"/>
      <c r="B1867" s="1"/>
      <c r="C1867" s="144"/>
      <c r="D1867" s="163"/>
      <c r="E1867" s="164"/>
      <c r="F1867" s="165"/>
      <c r="G1867" s="166"/>
      <c r="H1867" s="127"/>
      <c r="I1867" s="127"/>
      <c r="J1867" s="127"/>
      <c r="K1867" s="167"/>
      <c r="L1867" s="127"/>
      <c r="M1867" s="128"/>
      <c r="N1867" s="17"/>
    </row>
    <row r="1868">
      <c r="A1868" s="1"/>
      <c r="B1868" s="1"/>
      <c r="C1868" s="140"/>
      <c r="D1868" s="168"/>
      <c r="E1868" s="168"/>
      <c r="F1868" s="168"/>
      <c r="G1868" s="169"/>
      <c r="H1868" s="127"/>
      <c r="I1868" s="127"/>
      <c r="J1868" s="127"/>
      <c r="K1868" s="167"/>
      <c r="L1868" s="127"/>
      <c r="M1868" s="128"/>
      <c r="N1868" s="17"/>
    </row>
  </sheetData>
  <autoFilter ref="$A$2:$N$1732"/>
  <hyperlinks>
    <hyperlink r:id="rId1" ref="D6"/>
    <hyperlink r:id="rId2" ref="D565"/>
    <hyperlink r:id="rId3" ref="D650"/>
    <hyperlink r:id="rId4" ref="D711"/>
    <hyperlink r:id="rId5" ref="D1090"/>
    <hyperlink r:id="rId6" ref="D1218"/>
    <hyperlink r:id="rId7" ref="D1319"/>
    <hyperlink r:id="rId8" ref="D1567"/>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2.75"/>
  <cols>
    <col customWidth="1" min="1" max="1" width="5.63"/>
    <col customWidth="1" min="2" max="2" width="6.0"/>
    <col customWidth="1" min="3" max="3" width="11.13"/>
    <col customWidth="1" min="4" max="4" width="7.0"/>
    <col customWidth="1" min="5" max="5" width="30.38"/>
    <col customWidth="1" min="6" max="6" width="20.0"/>
    <col customWidth="1" min="7" max="7" width="41.0"/>
    <col customWidth="1" min="8" max="8" width="11.13"/>
    <col customWidth="1" min="9" max="9" width="7.63"/>
    <col customWidth="1" min="10" max="10" width="9.88"/>
    <col customWidth="1" min="11" max="11" width="6.88"/>
    <col customWidth="1" min="12" max="12" width="9.13"/>
    <col customWidth="1" min="13" max="13" width="11.75"/>
    <col customWidth="1" min="14" max="14" width="11.13"/>
  </cols>
  <sheetData>
    <row r="1" ht="22.5" customHeight="1">
      <c r="A1" s="1"/>
      <c r="B1" s="170"/>
      <c r="C1" s="1"/>
      <c r="D1" s="171"/>
      <c r="E1" s="171"/>
      <c r="F1" s="172" t="s">
        <v>1485</v>
      </c>
      <c r="G1" s="1"/>
      <c r="H1" s="1"/>
      <c r="I1" s="1"/>
      <c r="J1" s="1"/>
      <c r="K1" s="1"/>
      <c r="L1" s="173"/>
      <c r="M1" s="173"/>
      <c r="N1" s="1"/>
    </row>
    <row r="2" ht="39.75" customHeight="1">
      <c r="A2" s="1"/>
      <c r="B2" s="174" t="s">
        <v>0</v>
      </c>
      <c r="C2" s="175" t="s">
        <v>1486</v>
      </c>
      <c r="D2" s="176" t="s">
        <v>5</v>
      </c>
      <c r="E2" s="177" t="s">
        <v>1487</v>
      </c>
      <c r="F2" s="178" t="s">
        <v>1488</v>
      </c>
      <c r="G2" s="178" t="s">
        <v>1489</v>
      </c>
      <c r="H2" s="178" t="s">
        <v>3</v>
      </c>
      <c r="I2" s="178" t="s">
        <v>4</v>
      </c>
      <c r="J2" s="178" t="s">
        <v>1490</v>
      </c>
      <c r="K2" s="178" t="s">
        <v>1491</v>
      </c>
      <c r="L2" s="178" t="s">
        <v>1492</v>
      </c>
      <c r="M2" s="179" t="s">
        <v>1493</v>
      </c>
      <c r="N2" s="1"/>
    </row>
    <row r="3" ht="18.0" hidden="1" customHeight="1">
      <c r="A3" s="1"/>
      <c r="B3" s="180">
        <v>1.0</v>
      </c>
      <c r="C3" s="181">
        <v>36206.0</v>
      </c>
      <c r="D3" s="182">
        <f t="shared" ref="D3:D498" si="1">year(C3)</f>
        <v>1999</v>
      </c>
      <c r="E3" s="183" t="str">
        <f>hyperlink("https://www.amazon.com/Right-Stuff-Tom-Wolfe-ebook/dp/B00139XSBA/ref=tmm_kin_swatch_0?_encoding=UTF8&amp;qid=1482603903&amp;sr=1-1","Right Stuff, The")</f>
        <v>Right Stuff, The</v>
      </c>
      <c r="F3" s="184" t="s">
        <v>1494</v>
      </c>
      <c r="G3" s="185" t="s">
        <v>1495</v>
      </c>
      <c r="H3" s="184" t="s">
        <v>19</v>
      </c>
      <c r="I3" s="28">
        <v>19.0</v>
      </c>
      <c r="J3" s="184" t="s">
        <v>1496</v>
      </c>
      <c r="K3" s="184">
        <v>352.0</v>
      </c>
      <c r="L3" s="184" t="s">
        <v>1497</v>
      </c>
      <c r="M3" s="186" t="s">
        <v>1498</v>
      </c>
      <c r="N3" s="1"/>
    </row>
    <row r="4" ht="15.0" hidden="1" customHeight="1">
      <c r="A4" s="1"/>
      <c r="B4" s="187">
        <f t="shared" ref="B4:B392" si="2">B3+1</f>
        <v>2</v>
      </c>
      <c r="C4" s="188">
        <v>35004.0</v>
      </c>
      <c r="D4" s="189">
        <f t="shared" si="1"/>
        <v>1995</v>
      </c>
      <c r="E4" s="190" t="s">
        <v>1499</v>
      </c>
      <c r="F4" s="191" t="s">
        <v>1500</v>
      </c>
      <c r="G4" s="192" t="s">
        <v>1501</v>
      </c>
      <c r="H4" s="191" t="s">
        <v>24</v>
      </c>
      <c r="I4" s="193">
        <v>18.0</v>
      </c>
      <c r="J4" s="191" t="s">
        <v>1502</v>
      </c>
      <c r="K4" s="191">
        <v>224.0</v>
      </c>
      <c r="L4" s="191" t="s">
        <v>1497</v>
      </c>
      <c r="M4" s="194" t="s">
        <v>804</v>
      </c>
      <c r="N4" s="1"/>
    </row>
    <row r="5" ht="15.0" hidden="1" customHeight="1">
      <c r="A5" s="1"/>
      <c r="B5" s="187">
        <f t="shared" si="2"/>
        <v>3</v>
      </c>
      <c r="C5" s="188">
        <v>36157.0</v>
      </c>
      <c r="D5" s="189">
        <f t="shared" si="1"/>
        <v>1998</v>
      </c>
      <c r="E5" s="190" t="s">
        <v>1503</v>
      </c>
      <c r="F5" s="191" t="s">
        <v>1504</v>
      </c>
      <c r="G5" s="192" t="s">
        <v>1505</v>
      </c>
      <c r="H5" s="191" t="s">
        <v>24</v>
      </c>
      <c r="I5" s="193">
        <v>18.0</v>
      </c>
      <c r="J5" s="191" t="s">
        <v>1496</v>
      </c>
      <c r="K5" s="191">
        <v>502.0</v>
      </c>
      <c r="L5" s="191" t="s">
        <v>1497</v>
      </c>
      <c r="M5" s="194" t="s">
        <v>804</v>
      </c>
      <c r="N5" s="195"/>
    </row>
    <row r="6" ht="15.0" hidden="1" customHeight="1">
      <c r="A6" s="1"/>
      <c r="B6" s="187">
        <f t="shared" si="2"/>
        <v>4</v>
      </c>
      <c r="C6" s="188">
        <v>36368.0</v>
      </c>
      <c r="D6" s="189">
        <f t="shared" si="1"/>
        <v>1999</v>
      </c>
      <c r="E6" s="190" t="s">
        <v>1506</v>
      </c>
      <c r="F6" s="191" t="s">
        <v>1507</v>
      </c>
      <c r="G6" s="192" t="s">
        <v>1508</v>
      </c>
      <c r="H6" s="191" t="s">
        <v>24</v>
      </c>
      <c r="I6" s="193">
        <v>18.0</v>
      </c>
      <c r="J6" s="191" t="s">
        <v>1509</v>
      </c>
      <c r="K6" s="191">
        <v>128.0</v>
      </c>
      <c r="L6" s="191" t="s">
        <v>1497</v>
      </c>
      <c r="M6" s="196" t="s">
        <v>804</v>
      </c>
      <c r="N6" s="195"/>
    </row>
    <row r="7" ht="15.0" hidden="1" customHeight="1">
      <c r="A7" s="1"/>
      <c r="B7" s="187">
        <f t="shared" si="2"/>
        <v>5</v>
      </c>
      <c r="C7" s="188">
        <v>36373.0</v>
      </c>
      <c r="D7" s="189">
        <f t="shared" si="1"/>
        <v>1999</v>
      </c>
      <c r="E7" s="190" t="s">
        <v>1510</v>
      </c>
      <c r="F7" s="191" t="s">
        <v>1511</v>
      </c>
      <c r="G7" s="191" t="s">
        <v>1512</v>
      </c>
      <c r="H7" s="191" t="s">
        <v>24</v>
      </c>
      <c r="I7" s="193">
        <v>18.0</v>
      </c>
      <c r="J7" s="191" t="s">
        <v>1509</v>
      </c>
      <c r="K7" s="191">
        <v>77.0</v>
      </c>
      <c r="L7" s="191" t="s">
        <v>1497</v>
      </c>
      <c r="M7" s="196" t="s">
        <v>804</v>
      </c>
      <c r="N7" s="1"/>
    </row>
    <row r="8" ht="15.0" hidden="1" customHeight="1">
      <c r="A8" s="1"/>
      <c r="B8" s="187">
        <f t="shared" si="2"/>
        <v>6</v>
      </c>
      <c r="C8" s="188">
        <v>37140.0</v>
      </c>
      <c r="D8" s="189">
        <f t="shared" si="1"/>
        <v>2001</v>
      </c>
      <c r="E8" s="190" t="s">
        <v>1513</v>
      </c>
      <c r="F8" s="191" t="s">
        <v>1514</v>
      </c>
      <c r="G8" s="192" t="s">
        <v>1515</v>
      </c>
      <c r="H8" s="191" t="s">
        <v>24</v>
      </c>
      <c r="I8" s="193">
        <v>18.0</v>
      </c>
      <c r="J8" s="191" t="s">
        <v>1502</v>
      </c>
      <c r="K8" s="191">
        <v>352.0</v>
      </c>
      <c r="L8" s="191" t="s">
        <v>1497</v>
      </c>
      <c r="M8" s="196" t="s">
        <v>804</v>
      </c>
      <c r="N8" s="1"/>
    </row>
    <row r="9" ht="15.0" hidden="1" customHeight="1">
      <c r="A9" s="1"/>
      <c r="B9" s="187">
        <f t="shared" si="2"/>
        <v>7</v>
      </c>
      <c r="C9" s="188">
        <v>39076.0</v>
      </c>
      <c r="D9" s="189">
        <f t="shared" si="1"/>
        <v>2006</v>
      </c>
      <c r="E9" s="197" t="s">
        <v>1516</v>
      </c>
      <c r="F9" s="191" t="s">
        <v>1517</v>
      </c>
      <c r="G9" s="191" t="s">
        <v>1518</v>
      </c>
      <c r="H9" s="191" t="s">
        <v>24</v>
      </c>
      <c r="I9" s="193">
        <v>18.0</v>
      </c>
      <c r="J9" s="191" t="s">
        <v>1496</v>
      </c>
      <c r="K9" s="191">
        <v>384.0</v>
      </c>
      <c r="L9" s="191" t="s">
        <v>1497</v>
      </c>
      <c r="M9" s="196" t="s">
        <v>1498</v>
      </c>
      <c r="N9" s="1"/>
    </row>
    <row r="10" ht="15.0" hidden="1" customHeight="1">
      <c r="A10" s="1"/>
      <c r="B10" s="187">
        <f t="shared" si="2"/>
        <v>8</v>
      </c>
      <c r="C10" s="188">
        <v>40733.0</v>
      </c>
      <c r="D10" s="189">
        <f t="shared" si="1"/>
        <v>2011</v>
      </c>
      <c r="E10" s="190" t="s">
        <v>1519</v>
      </c>
      <c r="F10" s="192" t="s">
        <v>1520</v>
      </c>
      <c r="G10" s="191" t="s">
        <v>1521</v>
      </c>
      <c r="H10" s="191" t="s">
        <v>24</v>
      </c>
      <c r="I10" s="193">
        <v>18.0</v>
      </c>
      <c r="J10" s="191" t="s">
        <v>1522</v>
      </c>
      <c r="K10" s="191">
        <v>196.0</v>
      </c>
      <c r="L10" s="191" t="s">
        <v>1497</v>
      </c>
      <c r="M10" s="196" t="s">
        <v>1498</v>
      </c>
      <c r="N10" s="198"/>
    </row>
    <row r="11" ht="15.0" hidden="1" customHeight="1">
      <c r="A11" s="1"/>
      <c r="B11" s="187">
        <f t="shared" si="2"/>
        <v>9</v>
      </c>
      <c r="C11" s="188">
        <v>41441.0</v>
      </c>
      <c r="D11" s="189">
        <f t="shared" si="1"/>
        <v>2013</v>
      </c>
      <c r="E11" s="197" t="s">
        <v>1523</v>
      </c>
      <c r="F11" s="192" t="s">
        <v>1524</v>
      </c>
      <c r="G11" s="191" t="s">
        <v>1525</v>
      </c>
      <c r="H11" s="191" t="s">
        <v>24</v>
      </c>
      <c r="I11" s="193">
        <v>18.0</v>
      </c>
      <c r="J11" s="191" t="s">
        <v>1496</v>
      </c>
      <c r="K11" s="191">
        <v>325.0</v>
      </c>
      <c r="L11" s="191" t="s">
        <v>1526</v>
      </c>
      <c r="M11" s="199" t="s">
        <v>1527</v>
      </c>
      <c r="N11" s="1"/>
    </row>
    <row r="12" ht="15.0" hidden="1" customHeight="1">
      <c r="A12" s="1"/>
      <c r="B12" s="187">
        <f t="shared" si="2"/>
        <v>10</v>
      </c>
      <c r="C12" s="188">
        <v>43871.0</v>
      </c>
      <c r="D12" s="189">
        <f t="shared" si="1"/>
        <v>2020</v>
      </c>
      <c r="E12" s="200" t="str">
        <f>hyperlink("https://www.amazon.com/Things-Only-When-Slow-Down/dp/0143130773/ref=sr_1_1?crid=2L577VMT16YKP&amp;keywords=the+things+you+see+only+when+you+slow+down&amp;qid=1583129109&amp;sprefix=the+things+you%2Caps%2C200&amp;sr=8-1","Things You Can See Only When You Slow Down: How to Be Calm in a Busy World, The")
</f>
        <v>Things You Can See Only When You Slow Down: How to Be Calm in a Busy World, The</v>
      </c>
      <c r="F12" s="192" t="s">
        <v>1528</v>
      </c>
      <c r="G12" s="192" t="s">
        <v>1529</v>
      </c>
      <c r="H12" s="192" t="s">
        <v>24</v>
      </c>
      <c r="I12" s="201">
        <v>18.0</v>
      </c>
      <c r="J12" s="192" t="s">
        <v>1496</v>
      </c>
      <c r="K12" s="192">
        <v>288.0</v>
      </c>
      <c r="L12" s="192" t="s">
        <v>1497</v>
      </c>
      <c r="M12" s="200" t="str">
        <f>HYPERLINK("https://www.notion.so/raybould/The-Things-You-Can-Only-See-When-You-Slow-Down-by-Haemin-Sunim-A-Feb-16-2020-bea6d14b640f47f090ff4daba8eac64c","YES")</f>
        <v>YES</v>
      </c>
      <c r="N12" s="1"/>
    </row>
    <row r="13" ht="15.0" hidden="1" customHeight="1">
      <c r="A13" s="1"/>
      <c r="B13" s="202">
        <f t="shared" si="2"/>
        <v>11</v>
      </c>
      <c r="C13" s="181">
        <v>36225.0</v>
      </c>
      <c r="D13" s="182">
        <f t="shared" si="1"/>
        <v>1999</v>
      </c>
      <c r="E13" s="203" t="s">
        <v>1530</v>
      </c>
      <c r="F13" s="184" t="s">
        <v>1494</v>
      </c>
      <c r="G13" s="185" t="s">
        <v>1531</v>
      </c>
      <c r="H13" s="184" t="s">
        <v>34</v>
      </c>
      <c r="I13" s="28">
        <v>17.0</v>
      </c>
      <c r="J13" s="184" t="s">
        <v>1509</v>
      </c>
      <c r="K13" s="184">
        <v>704.0</v>
      </c>
      <c r="L13" s="184" t="s">
        <v>1497</v>
      </c>
      <c r="M13" s="186" t="s">
        <v>804</v>
      </c>
      <c r="N13" s="1"/>
    </row>
    <row r="14" ht="17.25" hidden="1" customHeight="1">
      <c r="A14" s="1"/>
      <c r="B14" s="202">
        <f t="shared" si="2"/>
        <v>12</v>
      </c>
      <c r="C14" s="181">
        <v>36294.0</v>
      </c>
      <c r="D14" s="182">
        <f t="shared" si="1"/>
        <v>1999</v>
      </c>
      <c r="E14" s="203" t="s">
        <v>1532</v>
      </c>
      <c r="F14" s="184" t="s">
        <v>1533</v>
      </c>
      <c r="G14" s="185" t="s">
        <v>1534</v>
      </c>
      <c r="H14" s="184" t="s">
        <v>34</v>
      </c>
      <c r="I14" s="28">
        <v>17.0</v>
      </c>
      <c r="J14" s="184" t="s">
        <v>1509</v>
      </c>
      <c r="K14" s="184">
        <v>144.0</v>
      </c>
      <c r="L14" s="184" t="s">
        <v>1497</v>
      </c>
      <c r="M14" s="186" t="s">
        <v>804</v>
      </c>
      <c r="N14" s="1"/>
    </row>
    <row r="15" ht="15.0" hidden="1" customHeight="1">
      <c r="A15" s="1"/>
      <c r="B15" s="202">
        <f t="shared" si="2"/>
        <v>13</v>
      </c>
      <c r="C15" s="181">
        <v>36394.0</v>
      </c>
      <c r="D15" s="182">
        <f t="shared" si="1"/>
        <v>1999</v>
      </c>
      <c r="E15" s="203" t="s">
        <v>95</v>
      </c>
      <c r="F15" s="184" t="s">
        <v>1535</v>
      </c>
      <c r="G15" s="185" t="s">
        <v>1536</v>
      </c>
      <c r="H15" s="184" t="s">
        <v>34</v>
      </c>
      <c r="I15" s="28">
        <v>17.0</v>
      </c>
      <c r="J15" s="184" t="s">
        <v>1509</v>
      </c>
      <c r="K15" s="184">
        <v>336.0</v>
      </c>
      <c r="L15" s="184" t="s">
        <v>1497</v>
      </c>
      <c r="M15" s="186" t="s">
        <v>804</v>
      </c>
      <c r="N15" s="1"/>
    </row>
    <row r="16" ht="15.0" hidden="1" customHeight="1">
      <c r="A16" s="1"/>
      <c r="B16" s="202">
        <f t="shared" si="2"/>
        <v>14</v>
      </c>
      <c r="C16" s="181">
        <v>36699.0</v>
      </c>
      <c r="D16" s="182">
        <f t="shared" si="1"/>
        <v>2000</v>
      </c>
      <c r="E16" s="203" t="s">
        <v>1537</v>
      </c>
      <c r="F16" s="184" t="s">
        <v>1538</v>
      </c>
      <c r="G16" s="185" t="s">
        <v>1539</v>
      </c>
      <c r="H16" s="184" t="s">
        <v>34</v>
      </c>
      <c r="I16" s="28">
        <v>17.0</v>
      </c>
      <c r="J16" s="184" t="s">
        <v>1509</v>
      </c>
      <c r="K16" s="184">
        <v>352.0</v>
      </c>
      <c r="L16" s="184" t="s">
        <v>1497</v>
      </c>
      <c r="M16" s="186" t="s">
        <v>804</v>
      </c>
      <c r="N16" s="1"/>
    </row>
    <row r="17" ht="15.0" hidden="1" customHeight="1">
      <c r="A17" s="1"/>
      <c r="B17" s="202">
        <f t="shared" si="2"/>
        <v>15</v>
      </c>
      <c r="C17" s="181">
        <v>38530.0</v>
      </c>
      <c r="D17" s="182">
        <f t="shared" si="1"/>
        <v>2005</v>
      </c>
      <c r="E17" s="203" t="s">
        <v>1540</v>
      </c>
      <c r="F17" s="184" t="s">
        <v>1541</v>
      </c>
      <c r="G17" s="185" t="s">
        <v>1542</v>
      </c>
      <c r="H17" s="184" t="s">
        <v>34</v>
      </c>
      <c r="I17" s="28">
        <v>17.0</v>
      </c>
      <c r="J17" s="184" t="s">
        <v>1496</v>
      </c>
      <c r="K17" s="184">
        <v>315.0</v>
      </c>
      <c r="L17" s="184" t="s">
        <v>1497</v>
      </c>
      <c r="M17" s="186" t="s">
        <v>1498</v>
      </c>
      <c r="N17" s="1"/>
    </row>
    <row r="18" ht="15.0" hidden="1" customHeight="1">
      <c r="A18" s="1"/>
      <c r="B18" s="202">
        <f t="shared" si="2"/>
        <v>16</v>
      </c>
      <c r="C18" s="181">
        <v>39277.0</v>
      </c>
      <c r="D18" s="182">
        <f t="shared" si="1"/>
        <v>2007</v>
      </c>
      <c r="E18" s="183" t="str">
        <f>HYPERLINK("marketing","Harry Potter VI: HP &amp; The Half-Blood Prince")</f>
        <v>Harry Potter VI: HP &amp; The Half-Blood Prince</v>
      </c>
      <c r="F18" s="184" t="s">
        <v>1543</v>
      </c>
      <c r="G18" s="185" t="s">
        <v>1544</v>
      </c>
      <c r="H18" s="184" t="s">
        <v>34</v>
      </c>
      <c r="I18" s="28">
        <v>17.0</v>
      </c>
      <c r="J18" s="184" t="s">
        <v>1509</v>
      </c>
      <c r="K18" s="184">
        <v>652.0</v>
      </c>
      <c r="L18" s="184" t="s">
        <v>1497</v>
      </c>
      <c r="M18" s="186" t="s">
        <v>804</v>
      </c>
      <c r="N18" s="1"/>
    </row>
    <row r="19" ht="15.0" hidden="1" customHeight="1">
      <c r="A19" s="1"/>
      <c r="B19" s="202">
        <f t="shared" si="2"/>
        <v>17</v>
      </c>
      <c r="C19" s="181">
        <v>39312.0</v>
      </c>
      <c r="D19" s="182">
        <f t="shared" si="1"/>
        <v>2007</v>
      </c>
      <c r="E19" s="182" t="s">
        <v>1545</v>
      </c>
      <c r="F19" s="184" t="s">
        <v>1546</v>
      </c>
      <c r="G19" s="185" t="s">
        <v>1547</v>
      </c>
      <c r="H19" s="184" t="s">
        <v>34</v>
      </c>
      <c r="I19" s="28">
        <v>17.0</v>
      </c>
      <c r="J19" s="184" t="s">
        <v>1509</v>
      </c>
      <c r="K19" s="184">
        <v>480.0</v>
      </c>
      <c r="L19" s="184" t="s">
        <v>1497</v>
      </c>
      <c r="M19" s="186" t="s">
        <v>804</v>
      </c>
      <c r="N19" s="1"/>
    </row>
    <row r="20" ht="30.0" hidden="1" customHeight="1">
      <c r="A20" s="1"/>
      <c r="B20" s="202">
        <f t="shared" si="2"/>
        <v>18</v>
      </c>
      <c r="C20" s="181">
        <v>39319.0</v>
      </c>
      <c r="D20" s="182">
        <f t="shared" si="1"/>
        <v>2007</v>
      </c>
      <c r="E20" s="203" t="s">
        <v>1548</v>
      </c>
      <c r="F20" s="184" t="s">
        <v>1549</v>
      </c>
      <c r="G20" s="184" t="s">
        <v>1550</v>
      </c>
      <c r="H20" s="184" t="s">
        <v>34</v>
      </c>
      <c r="I20" s="28">
        <v>17.0</v>
      </c>
      <c r="J20" s="184" t="s">
        <v>1509</v>
      </c>
      <c r="K20" s="184">
        <v>304.0</v>
      </c>
      <c r="L20" s="184" t="s">
        <v>1497</v>
      </c>
      <c r="M20" s="186" t="s">
        <v>804</v>
      </c>
      <c r="N20" s="1"/>
    </row>
    <row r="21" ht="30.0" hidden="1" customHeight="1">
      <c r="A21" s="1"/>
      <c r="B21" s="202">
        <f t="shared" si="2"/>
        <v>19</v>
      </c>
      <c r="C21" s="181">
        <v>39382.0</v>
      </c>
      <c r="D21" s="182">
        <f t="shared" si="1"/>
        <v>2007</v>
      </c>
      <c r="E21" s="203" t="s">
        <v>1551</v>
      </c>
      <c r="F21" s="184" t="s">
        <v>1552</v>
      </c>
      <c r="G21" s="184" t="s">
        <v>1553</v>
      </c>
      <c r="H21" s="184" t="s">
        <v>34</v>
      </c>
      <c r="I21" s="28">
        <v>17.0</v>
      </c>
      <c r="J21" s="184" t="s">
        <v>1522</v>
      </c>
      <c r="K21" s="184">
        <v>288.0</v>
      </c>
      <c r="L21" s="184" t="s">
        <v>1497</v>
      </c>
      <c r="M21" s="186" t="s">
        <v>1498</v>
      </c>
      <c r="N21" s="1"/>
    </row>
    <row r="22" ht="15.0" hidden="1" customHeight="1">
      <c r="A22" s="1"/>
      <c r="B22" s="202">
        <f t="shared" si="2"/>
        <v>20</v>
      </c>
      <c r="C22" s="181">
        <v>39394.0</v>
      </c>
      <c r="D22" s="182">
        <f t="shared" si="1"/>
        <v>2007</v>
      </c>
      <c r="E22" s="203" t="s">
        <v>1554</v>
      </c>
      <c r="F22" s="184" t="s">
        <v>1555</v>
      </c>
      <c r="G22" s="185" t="s">
        <v>1556</v>
      </c>
      <c r="H22" s="184" t="s">
        <v>34</v>
      </c>
      <c r="I22" s="28">
        <v>17.0</v>
      </c>
      <c r="J22" s="184" t="s">
        <v>1496</v>
      </c>
      <c r="K22" s="184">
        <v>320.0</v>
      </c>
      <c r="L22" s="184" t="s">
        <v>1497</v>
      </c>
      <c r="M22" s="186" t="s">
        <v>1498</v>
      </c>
      <c r="N22" s="1"/>
    </row>
    <row r="23" ht="15.0" hidden="1" customHeight="1">
      <c r="A23" s="1"/>
      <c r="B23" s="202">
        <f t="shared" si="2"/>
        <v>21</v>
      </c>
      <c r="C23" s="181">
        <v>39636.0</v>
      </c>
      <c r="D23" s="182">
        <f t="shared" si="1"/>
        <v>2008</v>
      </c>
      <c r="E23" s="203" t="s">
        <v>1557</v>
      </c>
      <c r="F23" s="184" t="s">
        <v>1558</v>
      </c>
      <c r="G23" s="185" t="s">
        <v>1559</v>
      </c>
      <c r="H23" s="184" t="s">
        <v>34</v>
      </c>
      <c r="I23" s="28">
        <v>17.0</v>
      </c>
      <c r="J23" s="184" t="s">
        <v>1560</v>
      </c>
      <c r="K23" s="184">
        <v>202.0</v>
      </c>
      <c r="L23" s="184" t="s">
        <v>1497</v>
      </c>
      <c r="M23" s="186" t="s">
        <v>804</v>
      </c>
      <c r="N23" s="1"/>
    </row>
    <row r="24" ht="30.0" hidden="1" customHeight="1">
      <c r="A24" s="1"/>
      <c r="B24" s="202">
        <f t="shared" si="2"/>
        <v>22</v>
      </c>
      <c r="C24" s="181">
        <v>39668.0</v>
      </c>
      <c r="D24" s="182">
        <f t="shared" si="1"/>
        <v>2008</v>
      </c>
      <c r="E24" s="203" t="s">
        <v>1561</v>
      </c>
      <c r="F24" s="184" t="s">
        <v>1562</v>
      </c>
      <c r="G24" s="184" t="s">
        <v>1563</v>
      </c>
      <c r="H24" s="184" t="s">
        <v>34</v>
      </c>
      <c r="I24" s="28">
        <v>17.0</v>
      </c>
      <c r="J24" s="184" t="s">
        <v>1560</v>
      </c>
      <c r="K24" s="184">
        <v>288.0</v>
      </c>
      <c r="L24" s="184" t="s">
        <v>1526</v>
      </c>
      <c r="M24" s="186" t="s">
        <v>1498</v>
      </c>
      <c r="N24" s="1"/>
    </row>
    <row r="25" ht="15.0" hidden="1" customHeight="1">
      <c r="A25" s="1"/>
      <c r="B25" s="202">
        <f t="shared" si="2"/>
        <v>23</v>
      </c>
      <c r="C25" s="181">
        <v>39673.0</v>
      </c>
      <c r="D25" s="182">
        <f t="shared" si="1"/>
        <v>2008</v>
      </c>
      <c r="E25" s="203" t="s">
        <v>1564</v>
      </c>
      <c r="F25" s="184" t="s">
        <v>1549</v>
      </c>
      <c r="G25" s="184" t="s">
        <v>1565</v>
      </c>
      <c r="H25" s="184" t="s">
        <v>34</v>
      </c>
      <c r="I25" s="28">
        <v>17.0</v>
      </c>
      <c r="J25" s="184" t="s">
        <v>1509</v>
      </c>
      <c r="K25" s="184">
        <v>193.0</v>
      </c>
      <c r="L25" s="184" t="s">
        <v>1526</v>
      </c>
      <c r="M25" s="186" t="s">
        <v>1498</v>
      </c>
      <c r="N25" s="1"/>
    </row>
    <row r="26" ht="30.0" hidden="1" customHeight="1">
      <c r="A26" s="1"/>
      <c r="B26" s="204">
        <f t="shared" si="2"/>
        <v>24</v>
      </c>
      <c r="C26" s="205">
        <v>40648.0</v>
      </c>
      <c r="D26" s="182">
        <f t="shared" si="1"/>
        <v>2011</v>
      </c>
      <c r="E26" s="206" t="s">
        <v>1566</v>
      </c>
      <c r="F26" s="207" t="s">
        <v>1567</v>
      </c>
      <c r="G26" s="208" t="s">
        <v>1568</v>
      </c>
      <c r="H26" s="207" t="s">
        <v>34</v>
      </c>
      <c r="I26" s="209">
        <v>16.0</v>
      </c>
      <c r="J26" s="207" t="s">
        <v>1509</v>
      </c>
      <c r="K26" s="207">
        <v>372.0</v>
      </c>
      <c r="L26" s="207" t="s">
        <v>1497</v>
      </c>
      <c r="M26" s="186" t="s">
        <v>1498</v>
      </c>
      <c r="N26" s="1"/>
    </row>
    <row r="27" ht="30.0" hidden="1" customHeight="1">
      <c r="A27" s="1"/>
      <c r="B27" s="202">
        <f t="shared" si="2"/>
        <v>25</v>
      </c>
      <c r="C27" s="181">
        <v>40909.0</v>
      </c>
      <c r="D27" s="182">
        <f t="shared" si="1"/>
        <v>2012</v>
      </c>
      <c r="E27" s="203" t="s">
        <v>1569</v>
      </c>
      <c r="F27" s="184" t="s">
        <v>1570</v>
      </c>
      <c r="G27" s="184" t="s">
        <v>1571</v>
      </c>
      <c r="H27" s="184" t="s">
        <v>34</v>
      </c>
      <c r="I27" s="28">
        <v>17.0</v>
      </c>
      <c r="J27" s="184" t="s">
        <v>1522</v>
      </c>
      <c r="K27" s="184">
        <v>67.0</v>
      </c>
      <c r="L27" s="184" t="s">
        <v>1526</v>
      </c>
      <c r="M27" s="186" t="s">
        <v>1498</v>
      </c>
      <c r="N27" s="1"/>
    </row>
    <row r="28" ht="30.0" hidden="1" customHeight="1">
      <c r="A28" s="1"/>
      <c r="B28" s="202">
        <f t="shared" si="2"/>
        <v>26</v>
      </c>
      <c r="C28" s="181">
        <v>42581.0</v>
      </c>
      <c r="D28" s="182">
        <f t="shared" si="1"/>
        <v>2016</v>
      </c>
      <c r="E28" s="183" t="str">
        <f>hyperlink("https://www.amazon.com/Shoe-Dog-Memoir-Creator-Nike-ebook/dp/B0176M1A44/ref=tmm_kin_swatch_0?_encoding=UTF8&amp;qid=1482452414&amp;sr=8-1","Shoe Dog: A Memoir by the Creator of Nike")</f>
        <v>Shoe Dog: A Memoir by the Creator of Nike</v>
      </c>
      <c r="F28" s="185" t="s">
        <v>1572</v>
      </c>
      <c r="G28" s="185" t="s">
        <v>1573</v>
      </c>
      <c r="H28" s="185" t="s">
        <v>34</v>
      </c>
      <c r="I28" s="210">
        <v>17.0</v>
      </c>
      <c r="J28" s="185" t="s">
        <v>1496</v>
      </c>
      <c r="K28" s="185">
        <v>400.0</v>
      </c>
      <c r="L28" s="185" t="s">
        <v>1574</v>
      </c>
      <c r="M28" s="211" t="s">
        <v>804</v>
      </c>
      <c r="N28" s="1"/>
    </row>
    <row r="29" ht="40.5" hidden="1" customHeight="1">
      <c r="A29" s="1"/>
      <c r="B29" s="202">
        <f t="shared" si="2"/>
        <v>27</v>
      </c>
      <c r="C29" s="181">
        <v>43822.0</v>
      </c>
      <c r="D29" s="182">
        <f t="shared" si="1"/>
        <v>2019</v>
      </c>
      <c r="E29" s="212" t="str">
        <f>hyperlink("https://www.amazon.com/Nonviolent-Communication-Create-Relationships-Harmony/dp/B00TKMBJKE/ref=sr_1_4?crid=1XD52AK02J46Z&amp;keywords=nonviolent+communication&amp;qid=1577748387&amp;s=digital-text&amp;sprefix=nonvio%2Cdigital-text%2C199&amp;sr=1-4","Nonviolent Communication: Create Your Life, Your Relationships, and Your World in Harmony with your Values")
</f>
        <v>Nonviolent Communication: Create Your Life, Your Relationships, and Your World in Harmony with your Values</v>
      </c>
      <c r="F29" s="185" t="s">
        <v>1575</v>
      </c>
      <c r="G29" s="185" t="s">
        <v>1576</v>
      </c>
      <c r="H29" s="185" t="s">
        <v>34</v>
      </c>
      <c r="I29" s="210">
        <v>17.0</v>
      </c>
      <c r="J29" s="185" t="s">
        <v>1496</v>
      </c>
      <c r="K29" s="185">
        <v>200.0</v>
      </c>
      <c r="L29" s="185" t="s">
        <v>1574</v>
      </c>
      <c r="M29" s="212" t="str">
        <f>HYPERLINK("https://www.notion.so/raybould/Nonviolent-communication-by-Marshall-Rosenberg-B-A-Dec-23-2019-6117f0ec1a76493d959e9fd88c959e66","YES")</f>
        <v>YES</v>
      </c>
      <c r="N29" s="1"/>
    </row>
    <row r="30" ht="15.0" hidden="1" customHeight="1">
      <c r="A30" s="1"/>
      <c r="B30" s="187">
        <f t="shared" si="2"/>
        <v>28</v>
      </c>
      <c r="C30" s="188">
        <v>35052.0</v>
      </c>
      <c r="D30" s="189">
        <f t="shared" si="1"/>
        <v>1995</v>
      </c>
      <c r="E30" s="213" t="s">
        <v>1577</v>
      </c>
      <c r="F30" s="191" t="s">
        <v>1578</v>
      </c>
      <c r="G30" s="191" t="s">
        <v>1579</v>
      </c>
      <c r="H30" s="191" t="s">
        <v>49</v>
      </c>
      <c r="I30" s="193">
        <v>16.0</v>
      </c>
      <c r="J30" s="191" t="s">
        <v>1509</v>
      </c>
      <c r="K30" s="214"/>
      <c r="L30" s="191" t="s">
        <v>1497</v>
      </c>
      <c r="M30" s="196" t="s">
        <v>804</v>
      </c>
      <c r="N30" s="1"/>
    </row>
    <row r="31" ht="30.0" hidden="1" customHeight="1">
      <c r="A31" s="1"/>
      <c r="B31" s="187">
        <f t="shared" si="2"/>
        <v>29</v>
      </c>
      <c r="C31" s="188">
        <v>36262.0</v>
      </c>
      <c r="D31" s="189">
        <f t="shared" si="1"/>
        <v>1999</v>
      </c>
      <c r="E31" s="213" t="s">
        <v>1580</v>
      </c>
      <c r="F31" s="191" t="s">
        <v>1581</v>
      </c>
      <c r="G31" s="191" t="s">
        <v>1582</v>
      </c>
      <c r="H31" s="191" t="s">
        <v>49</v>
      </c>
      <c r="I31" s="193">
        <v>16.0</v>
      </c>
      <c r="J31" s="191" t="s">
        <v>1496</v>
      </c>
      <c r="K31" s="214"/>
      <c r="L31" s="191" t="s">
        <v>1497</v>
      </c>
      <c r="M31" s="196" t="s">
        <v>1498</v>
      </c>
      <c r="N31" s="1"/>
    </row>
    <row r="32" ht="15.0" hidden="1" customHeight="1">
      <c r="A32" s="1"/>
      <c r="B32" s="187">
        <f t="shared" si="2"/>
        <v>30</v>
      </c>
      <c r="C32" s="188">
        <v>36288.0</v>
      </c>
      <c r="D32" s="189">
        <f t="shared" si="1"/>
        <v>1999</v>
      </c>
      <c r="E32" s="213" t="s">
        <v>1583</v>
      </c>
      <c r="F32" s="191" t="s">
        <v>1584</v>
      </c>
      <c r="G32" s="191" t="s">
        <v>1585</v>
      </c>
      <c r="H32" s="191" t="s">
        <v>49</v>
      </c>
      <c r="I32" s="193">
        <v>16.0</v>
      </c>
      <c r="J32" s="191" t="s">
        <v>1509</v>
      </c>
      <c r="K32" s="214"/>
      <c r="L32" s="191" t="s">
        <v>1497</v>
      </c>
      <c r="M32" s="196" t="s">
        <v>804</v>
      </c>
      <c r="N32" s="1"/>
    </row>
    <row r="33" ht="15.0" hidden="1" customHeight="1">
      <c r="A33" s="1"/>
      <c r="B33" s="187">
        <f t="shared" si="2"/>
        <v>31</v>
      </c>
      <c r="C33" s="188">
        <v>36328.0</v>
      </c>
      <c r="D33" s="189">
        <f t="shared" si="1"/>
        <v>1999</v>
      </c>
      <c r="E33" s="213" t="s">
        <v>1586</v>
      </c>
      <c r="F33" s="191" t="s">
        <v>1587</v>
      </c>
      <c r="G33" s="191" t="s">
        <v>1588</v>
      </c>
      <c r="H33" s="191" t="s">
        <v>49</v>
      </c>
      <c r="I33" s="193">
        <v>16.0</v>
      </c>
      <c r="J33" s="191" t="s">
        <v>1509</v>
      </c>
      <c r="K33" s="214"/>
      <c r="L33" s="191" t="s">
        <v>1497</v>
      </c>
      <c r="M33" s="196" t="s">
        <v>804</v>
      </c>
      <c r="N33" s="1"/>
    </row>
    <row r="34" ht="15.0" hidden="1" customHeight="1">
      <c r="A34" s="1"/>
      <c r="B34" s="187">
        <f t="shared" si="2"/>
        <v>32</v>
      </c>
      <c r="C34" s="188">
        <v>36339.0</v>
      </c>
      <c r="D34" s="189">
        <f t="shared" si="1"/>
        <v>1999</v>
      </c>
      <c r="E34" s="213" t="s">
        <v>1589</v>
      </c>
      <c r="F34" s="191" t="s">
        <v>1590</v>
      </c>
      <c r="G34" s="191" t="s">
        <v>1591</v>
      </c>
      <c r="H34" s="191" t="s">
        <v>49</v>
      </c>
      <c r="I34" s="193">
        <v>16.0</v>
      </c>
      <c r="J34" s="191" t="s">
        <v>1509</v>
      </c>
      <c r="K34" s="214"/>
      <c r="L34" s="191" t="s">
        <v>1497</v>
      </c>
      <c r="M34" s="196" t="s">
        <v>804</v>
      </c>
      <c r="N34" s="1"/>
    </row>
    <row r="35" ht="15.0" hidden="1" customHeight="1">
      <c r="A35" s="1"/>
      <c r="B35" s="187">
        <f t="shared" si="2"/>
        <v>33</v>
      </c>
      <c r="C35" s="188">
        <v>36342.0</v>
      </c>
      <c r="D35" s="189">
        <f t="shared" si="1"/>
        <v>1999</v>
      </c>
      <c r="E35" s="213" t="s">
        <v>1592</v>
      </c>
      <c r="F35" s="191" t="s">
        <v>1593</v>
      </c>
      <c r="G35" s="191" t="s">
        <v>1594</v>
      </c>
      <c r="H35" s="191" t="s">
        <v>49</v>
      </c>
      <c r="I35" s="193">
        <v>16.0</v>
      </c>
      <c r="J35" s="191" t="s">
        <v>1496</v>
      </c>
      <c r="K35" s="214"/>
      <c r="L35" s="191" t="s">
        <v>1497</v>
      </c>
      <c r="M35" s="196" t="s">
        <v>1498</v>
      </c>
      <c r="N35" s="1"/>
    </row>
    <row r="36" ht="15.0" hidden="1" customHeight="1">
      <c r="A36" s="1"/>
      <c r="B36" s="187">
        <f t="shared" si="2"/>
        <v>34</v>
      </c>
      <c r="C36" s="188">
        <v>36384.0</v>
      </c>
      <c r="D36" s="189">
        <f t="shared" si="1"/>
        <v>1999</v>
      </c>
      <c r="E36" s="213" t="s">
        <v>1595</v>
      </c>
      <c r="F36" s="191" t="s">
        <v>1596</v>
      </c>
      <c r="G36" s="191" t="s">
        <v>1597</v>
      </c>
      <c r="H36" s="191" t="s">
        <v>49</v>
      </c>
      <c r="I36" s="193">
        <v>16.0</v>
      </c>
      <c r="J36" s="191" t="s">
        <v>1509</v>
      </c>
      <c r="K36" s="214"/>
      <c r="L36" s="191" t="s">
        <v>1497</v>
      </c>
      <c r="M36" s="196" t="s">
        <v>804</v>
      </c>
      <c r="N36" s="1"/>
    </row>
    <row r="37" ht="21.0" hidden="1" customHeight="1">
      <c r="A37" s="1"/>
      <c r="B37" s="187">
        <f t="shared" si="2"/>
        <v>35</v>
      </c>
      <c r="C37" s="188">
        <v>36421.0</v>
      </c>
      <c r="D37" s="189">
        <f t="shared" si="1"/>
        <v>1999</v>
      </c>
      <c r="E37" s="213" t="s">
        <v>251</v>
      </c>
      <c r="F37" s="191" t="s">
        <v>1598</v>
      </c>
      <c r="G37" s="191" t="s">
        <v>1599</v>
      </c>
      <c r="H37" s="191" t="s">
        <v>49</v>
      </c>
      <c r="I37" s="193">
        <v>16.0</v>
      </c>
      <c r="J37" s="191" t="s">
        <v>1509</v>
      </c>
      <c r="K37" s="214"/>
      <c r="L37" s="191" t="s">
        <v>1497</v>
      </c>
      <c r="M37" s="196" t="s">
        <v>804</v>
      </c>
      <c r="N37" s="1"/>
    </row>
    <row r="38" ht="18.0" hidden="1" customHeight="1">
      <c r="A38" s="1"/>
      <c r="B38" s="187">
        <f t="shared" si="2"/>
        <v>36</v>
      </c>
      <c r="C38" s="188">
        <v>36511.0</v>
      </c>
      <c r="D38" s="189">
        <f t="shared" si="1"/>
        <v>1999</v>
      </c>
      <c r="E38" s="213" t="s">
        <v>1600</v>
      </c>
      <c r="F38" s="191" t="s">
        <v>1601</v>
      </c>
      <c r="G38" s="191" t="s">
        <v>1602</v>
      </c>
      <c r="H38" s="191" t="s">
        <v>49</v>
      </c>
      <c r="I38" s="193">
        <v>16.0</v>
      </c>
      <c r="J38" s="191" t="s">
        <v>1496</v>
      </c>
      <c r="K38" s="214"/>
      <c r="L38" s="191" t="s">
        <v>1497</v>
      </c>
      <c r="M38" s="196" t="s">
        <v>1498</v>
      </c>
      <c r="N38" s="1"/>
    </row>
    <row r="39" ht="15.0" hidden="1" customHeight="1">
      <c r="A39" s="1"/>
      <c r="B39" s="187">
        <f t="shared" si="2"/>
        <v>37</v>
      </c>
      <c r="C39" s="188">
        <v>36692.0</v>
      </c>
      <c r="D39" s="189">
        <f t="shared" si="1"/>
        <v>2000</v>
      </c>
      <c r="E39" s="213" t="s">
        <v>1603</v>
      </c>
      <c r="F39" s="191" t="s">
        <v>1538</v>
      </c>
      <c r="G39" s="192" t="s">
        <v>1604</v>
      </c>
      <c r="H39" s="191" t="s">
        <v>49</v>
      </c>
      <c r="I39" s="193">
        <v>16.0</v>
      </c>
      <c r="J39" s="191" t="s">
        <v>1509</v>
      </c>
      <c r="K39" s="214"/>
      <c r="L39" s="191" t="s">
        <v>1497</v>
      </c>
      <c r="M39" s="196" t="s">
        <v>804</v>
      </c>
      <c r="N39" s="1"/>
    </row>
    <row r="40" ht="30.0" hidden="1" customHeight="1">
      <c r="A40" s="1"/>
      <c r="B40" s="187">
        <f t="shared" si="2"/>
        <v>38</v>
      </c>
      <c r="C40" s="188">
        <v>36817.0</v>
      </c>
      <c r="D40" s="189">
        <f t="shared" si="1"/>
        <v>2000</v>
      </c>
      <c r="E40" s="213" t="s">
        <v>1605</v>
      </c>
      <c r="F40" s="191" t="s">
        <v>1543</v>
      </c>
      <c r="G40" s="192" t="s">
        <v>1606</v>
      </c>
      <c r="H40" s="191" t="s">
        <v>49</v>
      </c>
      <c r="I40" s="193">
        <v>16.0</v>
      </c>
      <c r="J40" s="191" t="s">
        <v>1509</v>
      </c>
      <c r="K40" s="214"/>
      <c r="L40" s="191" t="s">
        <v>1497</v>
      </c>
      <c r="M40" s="196" t="s">
        <v>804</v>
      </c>
      <c r="N40" s="1"/>
    </row>
    <row r="41" ht="30.0" hidden="1" customHeight="1">
      <c r="A41" s="1"/>
      <c r="B41" s="187">
        <f t="shared" si="2"/>
        <v>39</v>
      </c>
      <c r="C41" s="188">
        <v>36827.0</v>
      </c>
      <c r="D41" s="189">
        <f t="shared" si="1"/>
        <v>2000</v>
      </c>
      <c r="E41" s="213" t="s">
        <v>1607</v>
      </c>
      <c r="F41" s="215" t="s">
        <v>1543</v>
      </c>
      <c r="G41" s="215" t="s">
        <v>1608</v>
      </c>
      <c r="H41" s="191" t="s">
        <v>49</v>
      </c>
      <c r="I41" s="193">
        <v>16.0</v>
      </c>
      <c r="J41" s="191" t="s">
        <v>1509</v>
      </c>
      <c r="K41" s="214"/>
      <c r="L41" s="191" t="s">
        <v>1497</v>
      </c>
      <c r="M41" s="196" t="s">
        <v>804</v>
      </c>
      <c r="N41" s="1"/>
    </row>
    <row r="42" ht="15.0" hidden="1" customHeight="1">
      <c r="A42" s="1"/>
      <c r="B42" s="187">
        <f t="shared" si="2"/>
        <v>40</v>
      </c>
      <c r="C42" s="188">
        <v>37582.0</v>
      </c>
      <c r="D42" s="189">
        <f t="shared" si="1"/>
        <v>2002</v>
      </c>
      <c r="E42" s="213" t="s">
        <v>1609</v>
      </c>
      <c r="F42" s="191" t="s">
        <v>1610</v>
      </c>
      <c r="G42" s="191" t="s">
        <v>1611</v>
      </c>
      <c r="H42" s="191" t="s">
        <v>49</v>
      </c>
      <c r="I42" s="193">
        <v>16.0</v>
      </c>
      <c r="J42" s="191" t="s">
        <v>1496</v>
      </c>
      <c r="K42" s="214"/>
      <c r="L42" s="191" t="s">
        <v>1497</v>
      </c>
      <c r="M42" s="196" t="s">
        <v>1498</v>
      </c>
      <c r="N42" s="1"/>
    </row>
    <row r="43" ht="15.0" hidden="1" customHeight="1">
      <c r="A43" s="1"/>
      <c r="B43" s="187">
        <f t="shared" si="2"/>
        <v>41</v>
      </c>
      <c r="C43" s="188">
        <v>37654.0</v>
      </c>
      <c r="D43" s="189">
        <f t="shared" si="1"/>
        <v>2003</v>
      </c>
      <c r="E43" s="213" t="s">
        <v>1612</v>
      </c>
      <c r="F43" s="191" t="s">
        <v>1613</v>
      </c>
      <c r="G43" s="191" t="s">
        <v>1614</v>
      </c>
      <c r="H43" s="191" t="s">
        <v>49</v>
      </c>
      <c r="I43" s="193">
        <v>16.0</v>
      </c>
      <c r="J43" s="191" t="s">
        <v>1496</v>
      </c>
      <c r="K43" s="214"/>
      <c r="L43" s="191" t="s">
        <v>1497</v>
      </c>
      <c r="M43" s="196" t="s">
        <v>1498</v>
      </c>
      <c r="N43" s="1"/>
    </row>
    <row r="44" ht="30.0" hidden="1" customHeight="1">
      <c r="A44" s="1"/>
      <c r="B44" s="187">
        <f t="shared" si="2"/>
        <v>42</v>
      </c>
      <c r="C44" s="188">
        <v>37888.0</v>
      </c>
      <c r="D44" s="189">
        <f t="shared" si="1"/>
        <v>2003</v>
      </c>
      <c r="E44" s="213" t="s">
        <v>1615</v>
      </c>
      <c r="F44" s="191" t="s">
        <v>1616</v>
      </c>
      <c r="G44" s="192" t="s">
        <v>1617</v>
      </c>
      <c r="H44" s="191" t="s">
        <v>49</v>
      </c>
      <c r="I44" s="193">
        <v>16.0</v>
      </c>
      <c r="J44" s="191" t="s">
        <v>1509</v>
      </c>
      <c r="K44" s="214"/>
      <c r="L44" s="191" t="s">
        <v>1497</v>
      </c>
      <c r="M44" s="196" t="s">
        <v>804</v>
      </c>
      <c r="N44" s="1"/>
    </row>
    <row r="45" ht="30.0" hidden="1" customHeight="1">
      <c r="A45" s="1"/>
      <c r="B45" s="187">
        <f t="shared" si="2"/>
        <v>43</v>
      </c>
      <c r="C45" s="188">
        <v>37991.0</v>
      </c>
      <c r="D45" s="189">
        <f t="shared" si="1"/>
        <v>2004</v>
      </c>
      <c r="E45" s="213" t="s">
        <v>1618</v>
      </c>
      <c r="F45" s="191" t="s">
        <v>1619</v>
      </c>
      <c r="G45" s="191" t="s">
        <v>1620</v>
      </c>
      <c r="H45" s="191" t="s">
        <v>49</v>
      </c>
      <c r="I45" s="193">
        <v>16.0</v>
      </c>
      <c r="J45" s="191" t="s">
        <v>1522</v>
      </c>
      <c r="K45" s="214"/>
      <c r="L45" s="191" t="s">
        <v>1497</v>
      </c>
      <c r="M45" s="196" t="s">
        <v>1498</v>
      </c>
      <c r="N45" s="1"/>
    </row>
    <row r="46" ht="15.0" hidden="1" customHeight="1">
      <c r="A46" s="1"/>
      <c r="B46" s="187">
        <f t="shared" si="2"/>
        <v>44</v>
      </c>
      <c r="C46" s="188">
        <v>38095.0</v>
      </c>
      <c r="D46" s="189">
        <f t="shared" si="1"/>
        <v>2004</v>
      </c>
      <c r="E46" s="213" t="s">
        <v>1621</v>
      </c>
      <c r="F46" s="191" t="s">
        <v>1622</v>
      </c>
      <c r="G46" s="191" t="s">
        <v>1623</v>
      </c>
      <c r="H46" s="191" t="s">
        <v>49</v>
      </c>
      <c r="I46" s="193">
        <v>16.0</v>
      </c>
      <c r="J46" s="191" t="s">
        <v>1522</v>
      </c>
      <c r="K46" s="214"/>
      <c r="L46" s="191" t="s">
        <v>1497</v>
      </c>
      <c r="M46" s="196" t="s">
        <v>1527</v>
      </c>
      <c r="N46" s="1"/>
    </row>
    <row r="47" ht="15.0" hidden="1" customHeight="1">
      <c r="A47" s="1"/>
      <c r="B47" s="187">
        <f t="shared" si="2"/>
        <v>45</v>
      </c>
      <c r="C47" s="188">
        <v>38108.0</v>
      </c>
      <c r="D47" s="189">
        <f t="shared" si="1"/>
        <v>2004</v>
      </c>
      <c r="E47" s="213" t="s">
        <v>1624</v>
      </c>
      <c r="F47" s="191" t="s">
        <v>1625</v>
      </c>
      <c r="G47" s="191" t="s">
        <v>1626</v>
      </c>
      <c r="H47" s="191" t="s">
        <v>49</v>
      </c>
      <c r="I47" s="193">
        <v>16.0</v>
      </c>
      <c r="J47" s="191" t="s">
        <v>1522</v>
      </c>
      <c r="K47" s="214"/>
      <c r="L47" s="191" t="s">
        <v>1497</v>
      </c>
      <c r="M47" s="196" t="s">
        <v>1498</v>
      </c>
      <c r="N47" s="1"/>
    </row>
    <row r="48" ht="15.0" hidden="1" customHeight="1">
      <c r="A48" s="1"/>
      <c r="B48" s="187">
        <f t="shared" si="2"/>
        <v>46</v>
      </c>
      <c r="C48" s="188">
        <v>38177.0</v>
      </c>
      <c r="D48" s="189">
        <f t="shared" si="1"/>
        <v>2004</v>
      </c>
      <c r="E48" s="213" t="s">
        <v>1627</v>
      </c>
      <c r="F48" s="191" t="s">
        <v>1628</v>
      </c>
      <c r="G48" s="191" t="s">
        <v>1629</v>
      </c>
      <c r="H48" s="191" t="s">
        <v>49</v>
      </c>
      <c r="I48" s="193">
        <v>16.0</v>
      </c>
      <c r="J48" s="191" t="s">
        <v>1522</v>
      </c>
      <c r="K48" s="214"/>
      <c r="L48" s="191" t="s">
        <v>1497</v>
      </c>
      <c r="M48" s="196" t="s">
        <v>1498</v>
      </c>
      <c r="N48" s="1"/>
    </row>
    <row r="49" ht="15.0" hidden="1" customHeight="1">
      <c r="A49" s="1"/>
      <c r="B49" s="187">
        <f t="shared" si="2"/>
        <v>47</v>
      </c>
      <c r="C49" s="188">
        <v>38441.0</v>
      </c>
      <c r="D49" s="189">
        <f t="shared" si="1"/>
        <v>2005</v>
      </c>
      <c r="E49" s="213" t="s">
        <v>1630</v>
      </c>
      <c r="F49" s="191" t="s">
        <v>1625</v>
      </c>
      <c r="G49" s="191" t="s">
        <v>1631</v>
      </c>
      <c r="H49" s="191" t="s">
        <v>49</v>
      </c>
      <c r="I49" s="193">
        <v>16.0</v>
      </c>
      <c r="J49" s="191" t="s">
        <v>1522</v>
      </c>
      <c r="K49" s="214"/>
      <c r="L49" s="191" t="s">
        <v>1497</v>
      </c>
      <c r="M49" s="196" t="s">
        <v>1498</v>
      </c>
      <c r="N49" s="1"/>
    </row>
    <row r="50" ht="30.0" hidden="1" customHeight="1">
      <c r="A50" s="1"/>
      <c r="B50" s="187">
        <f t="shared" si="2"/>
        <v>48</v>
      </c>
      <c r="C50" s="188">
        <v>38886.0</v>
      </c>
      <c r="D50" s="189">
        <f t="shared" si="1"/>
        <v>2006</v>
      </c>
      <c r="E50" s="213" t="s">
        <v>1632</v>
      </c>
      <c r="F50" s="191" t="s">
        <v>1633</v>
      </c>
      <c r="G50" s="191" t="s">
        <v>1634</v>
      </c>
      <c r="H50" s="191" t="s">
        <v>49</v>
      </c>
      <c r="I50" s="193">
        <v>16.0</v>
      </c>
      <c r="J50" s="191" t="s">
        <v>1496</v>
      </c>
      <c r="K50" s="214"/>
      <c r="L50" s="191" t="s">
        <v>1497</v>
      </c>
      <c r="M50" s="196" t="s">
        <v>1498</v>
      </c>
      <c r="N50" s="1"/>
    </row>
    <row r="51" ht="15.0" hidden="1" customHeight="1">
      <c r="A51" s="1"/>
      <c r="B51" s="187">
        <f t="shared" si="2"/>
        <v>49</v>
      </c>
      <c r="C51" s="188">
        <v>39086.0</v>
      </c>
      <c r="D51" s="189">
        <f t="shared" si="1"/>
        <v>2007</v>
      </c>
      <c r="E51" s="213" t="s">
        <v>1635</v>
      </c>
      <c r="F51" s="191" t="s">
        <v>1636</v>
      </c>
      <c r="G51" s="191" t="s">
        <v>1637</v>
      </c>
      <c r="H51" s="191" t="s">
        <v>49</v>
      </c>
      <c r="I51" s="193">
        <v>16.0</v>
      </c>
      <c r="J51" s="191" t="s">
        <v>1522</v>
      </c>
      <c r="K51" s="214"/>
      <c r="L51" s="191" t="s">
        <v>1497</v>
      </c>
      <c r="M51" s="196" t="s">
        <v>1498</v>
      </c>
      <c r="N51" s="1"/>
    </row>
    <row r="52" ht="15.0" hidden="1" customHeight="1">
      <c r="A52" s="1"/>
      <c r="B52" s="187">
        <f t="shared" si="2"/>
        <v>50</v>
      </c>
      <c r="C52" s="188">
        <v>39092.0</v>
      </c>
      <c r="D52" s="189">
        <f t="shared" si="1"/>
        <v>2007</v>
      </c>
      <c r="E52" s="213" t="s">
        <v>1638</v>
      </c>
      <c r="F52" s="191" t="s">
        <v>1639</v>
      </c>
      <c r="G52" s="191" t="s">
        <v>1640</v>
      </c>
      <c r="H52" s="191" t="s">
        <v>49</v>
      </c>
      <c r="I52" s="193">
        <v>16.0</v>
      </c>
      <c r="J52" s="191" t="s">
        <v>1522</v>
      </c>
      <c r="K52" s="214"/>
      <c r="L52" s="191" t="s">
        <v>1497</v>
      </c>
      <c r="M52" s="196" t="s">
        <v>1498</v>
      </c>
      <c r="N52" s="1"/>
    </row>
    <row r="53" ht="15.0" hidden="1" customHeight="1">
      <c r="A53" s="1"/>
      <c r="B53" s="187">
        <f t="shared" si="2"/>
        <v>51</v>
      </c>
      <c r="C53" s="188">
        <v>39145.0</v>
      </c>
      <c r="D53" s="189">
        <f t="shared" si="1"/>
        <v>2007</v>
      </c>
      <c r="E53" s="213" t="s">
        <v>1641</v>
      </c>
      <c r="F53" s="191" t="s">
        <v>1642</v>
      </c>
      <c r="G53" s="191" t="s">
        <v>1643</v>
      </c>
      <c r="H53" s="191" t="s">
        <v>49</v>
      </c>
      <c r="I53" s="193">
        <v>16.0</v>
      </c>
      <c r="J53" s="191" t="s">
        <v>1522</v>
      </c>
      <c r="K53" s="214"/>
      <c r="L53" s="191" t="s">
        <v>1497</v>
      </c>
      <c r="M53" s="196" t="s">
        <v>1527</v>
      </c>
      <c r="N53" s="1"/>
    </row>
    <row r="54" ht="30.0" hidden="1" customHeight="1">
      <c r="A54" s="1"/>
      <c r="B54" s="187">
        <f t="shared" si="2"/>
        <v>52</v>
      </c>
      <c r="C54" s="188">
        <v>39227.0</v>
      </c>
      <c r="D54" s="189">
        <f t="shared" si="1"/>
        <v>2007</v>
      </c>
      <c r="E54" s="213" t="s">
        <v>1644</v>
      </c>
      <c r="F54" s="191" t="s">
        <v>1645</v>
      </c>
      <c r="G54" s="191" t="s">
        <v>1646</v>
      </c>
      <c r="H54" s="191" t="s">
        <v>49</v>
      </c>
      <c r="I54" s="193">
        <v>16.0</v>
      </c>
      <c r="J54" s="191" t="s">
        <v>1522</v>
      </c>
      <c r="K54" s="214"/>
      <c r="L54" s="191" t="s">
        <v>1497</v>
      </c>
      <c r="M54" s="196" t="s">
        <v>1498</v>
      </c>
      <c r="N54" s="1"/>
    </row>
    <row r="55" ht="15.0" hidden="1" customHeight="1">
      <c r="A55" s="1"/>
      <c r="B55" s="187">
        <f t="shared" si="2"/>
        <v>53</v>
      </c>
      <c r="C55" s="188">
        <v>39363.0</v>
      </c>
      <c r="D55" s="189">
        <f t="shared" si="1"/>
        <v>2007</v>
      </c>
      <c r="E55" s="213" t="s">
        <v>1647</v>
      </c>
      <c r="F55" s="191" t="s">
        <v>1648</v>
      </c>
      <c r="G55" s="191" t="s">
        <v>1649</v>
      </c>
      <c r="H55" s="191" t="s">
        <v>49</v>
      </c>
      <c r="I55" s="193">
        <v>16.0</v>
      </c>
      <c r="J55" s="191" t="s">
        <v>1522</v>
      </c>
      <c r="K55" s="214"/>
      <c r="L55" s="191" t="s">
        <v>1497</v>
      </c>
      <c r="M55" s="196" t="s">
        <v>1498</v>
      </c>
      <c r="N55" s="1"/>
    </row>
    <row r="56" ht="30.0" hidden="1" customHeight="1">
      <c r="A56" s="1"/>
      <c r="B56" s="187">
        <f t="shared" si="2"/>
        <v>54</v>
      </c>
      <c r="C56" s="188">
        <v>39372.0</v>
      </c>
      <c r="D56" s="189">
        <f t="shared" si="1"/>
        <v>2007</v>
      </c>
      <c r="E56" s="213" t="s">
        <v>88</v>
      </c>
      <c r="F56" s="191" t="s">
        <v>1650</v>
      </c>
      <c r="G56" s="191" t="s">
        <v>1651</v>
      </c>
      <c r="H56" s="191" t="s">
        <v>49</v>
      </c>
      <c r="I56" s="216">
        <v>16.0</v>
      </c>
      <c r="J56" s="191" t="s">
        <v>1509</v>
      </c>
      <c r="K56" s="214"/>
      <c r="L56" s="191" t="s">
        <v>1497</v>
      </c>
      <c r="M56" s="196" t="s">
        <v>804</v>
      </c>
      <c r="N56" s="1"/>
    </row>
    <row r="57" ht="30.0" hidden="1" customHeight="1">
      <c r="A57" s="1"/>
      <c r="B57" s="187">
        <f t="shared" si="2"/>
        <v>55</v>
      </c>
      <c r="C57" s="188">
        <v>39688.0</v>
      </c>
      <c r="D57" s="189">
        <f t="shared" si="1"/>
        <v>2008</v>
      </c>
      <c r="E57" s="213" t="s">
        <v>517</v>
      </c>
      <c r="F57" s="191" t="s">
        <v>1652</v>
      </c>
      <c r="G57" s="191" t="s">
        <v>1653</v>
      </c>
      <c r="H57" s="191" t="s">
        <v>49</v>
      </c>
      <c r="I57" s="193">
        <v>16.0</v>
      </c>
      <c r="J57" s="191" t="s">
        <v>1509</v>
      </c>
      <c r="K57" s="191">
        <v>300.0</v>
      </c>
      <c r="L57" s="191" t="s">
        <v>1526</v>
      </c>
      <c r="M57" s="196" t="s">
        <v>804</v>
      </c>
      <c r="N57" s="1"/>
    </row>
    <row r="58" ht="30.0" hidden="1" customHeight="1">
      <c r="A58" s="1"/>
      <c r="B58" s="187">
        <f t="shared" si="2"/>
        <v>56</v>
      </c>
      <c r="C58" s="188">
        <v>39750.0</v>
      </c>
      <c r="D58" s="189">
        <f t="shared" si="1"/>
        <v>2008</v>
      </c>
      <c r="E58" s="213" t="s">
        <v>1654</v>
      </c>
      <c r="F58" s="191" t="s">
        <v>1655</v>
      </c>
      <c r="G58" s="192" t="s">
        <v>1656</v>
      </c>
      <c r="H58" s="191" t="s">
        <v>49</v>
      </c>
      <c r="I58" s="193">
        <v>16.0</v>
      </c>
      <c r="J58" s="191" t="s">
        <v>1657</v>
      </c>
      <c r="K58" s="191">
        <v>224.0</v>
      </c>
      <c r="L58" s="191" t="s">
        <v>1526</v>
      </c>
      <c r="M58" s="196" t="s">
        <v>1498</v>
      </c>
      <c r="N58" s="1"/>
    </row>
    <row r="59" ht="15.0" hidden="1" customHeight="1">
      <c r="A59" s="1"/>
      <c r="B59" s="187">
        <f t="shared" si="2"/>
        <v>57</v>
      </c>
      <c r="C59" s="188">
        <v>39832.0</v>
      </c>
      <c r="D59" s="189">
        <f t="shared" si="1"/>
        <v>2009</v>
      </c>
      <c r="E59" s="213" t="s">
        <v>89</v>
      </c>
      <c r="F59" s="191" t="s">
        <v>1658</v>
      </c>
      <c r="G59" s="191" t="s">
        <v>1659</v>
      </c>
      <c r="H59" s="191" t="s">
        <v>49</v>
      </c>
      <c r="I59" s="193">
        <v>16.0</v>
      </c>
      <c r="J59" s="191" t="s">
        <v>1509</v>
      </c>
      <c r="K59" s="191">
        <v>368.0</v>
      </c>
      <c r="L59" s="191" t="s">
        <v>1497</v>
      </c>
      <c r="M59" s="196" t="s">
        <v>1498</v>
      </c>
      <c r="N59" s="1"/>
    </row>
    <row r="60" ht="15.0" hidden="1" customHeight="1">
      <c r="A60" s="1"/>
      <c r="B60" s="187">
        <f t="shared" si="2"/>
        <v>58</v>
      </c>
      <c r="C60" s="188">
        <v>40867.0</v>
      </c>
      <c r="D60" s="189">
        <f t="shared" si="1"/>
        <v>2011</v>
      </c>
      <c r="E60" s="213" t="s">
        <v>1660</v>
      </c>
      <c r="F60" s="191" t="s">
        <v>1661</v>
      </c>
      <c r="G60" s="191" t="s">
        <v>1662</v>
      </c>
      <c r="H60" s="191" t="s">
        <v>49</v>
      </c>
      <c r="I60" s="193">
        <v>16.0</v>
      </c>
      <c r="J60" s="191" t="s">
        <v>1522</v>
      </c>
      <c r="K60" s="191">
        <v>304.0</v>
      </c>
      <c r="L60" s="191" t="s">
        <v>1526</v>
      </c>
      <c r="M60" s="196" t="s">
        <v>1498</v>
      </c>
      <c r="N60" s="1"/>
    </row>
    <row r="61" ht="15.0" hidden="1" customHeight="1">
      <c r="A61" s="1"/>
      <c r="B61" s="187">
        <f t="shared" si="2"/>
        <v>59</v>
      </c>
      <c r="C61" s="188">
        <v>41274.0</v>
      </c>
      <c r="D61" s="189">
        <f t="shared" si="1"/>
        <v>2012</v>
      </c>
      <c r="E61" s="213" t="s">
        <v>1663</v>
      </c>
      <c r="F61" s="192" t="s">
        <v>1664</v>
      </c>
      <c r="G61" s="192" t="s">
        <v>1665</v>
      </c>
      <c r="H61" s="191" t="s">
        <v>49</v>
      </c>
      <c r="I61" s="193">
        <v>16.0</v>
      </c>
      <c r="J61" s="191" t="s">
        <v>1509</v>
      </c>
      <c r="K61" s="191">
        <v>432.0</v>
      </c>
      <c r="L61" s="191" t="s">
        <v>1526</v>
      </c>
      <c r="M61" s="196" t="s">
        <v>1498</v>
      </c>
      <c r="N61" s="1"/>
    </row>
    <row r="62" ht="15.0" hidden="1" customHeight="1">
      <c r="A62" s="1"/>
      <c r="B62" s="187">
        <f t="shared" si="2"/>
        <v>60</v>
      </c>
      <c r="C62" s="188">
        <v>41014.0</v>
      </c>
      <c r="D62" s="189">
        <f t="shared" si="1"/>
        <v>2012</v>
      </c>
      <c r="E62" s="213" t="s">
        <v>1666</v>
      </c>
      <c r="F62" s="191" t="s">
        <v>1667</v>
      </c>
      <c r="G62" s="191" t="s">
        <v>1668</v>
      </c>
      <c r="H62" s="191" t="s">
        <v>49</v>
      </c>
      <c r="I62" s="193">
        <v>16.0</v>
      </c>
      <c r="J62" s="191" t="s">
        <v>1522</v>
      </c>
      <c r="K62" s="191">
        <v>400.0</v>
      </c>
      <c r="L62" s="191" t="s">
        <v>1526</v>
      </c>
      <c r="M62" s="196" t="s">
        <v>1527</v>
      </c>
      <c r="N62" s="1"/>
    </row>
    <row r="63" ht="15.0" hidden="1" customHeight="1">
      <c r="A63" s="1"/>
      <c r="B63" s="187">
        <f t="shared" si="2"/>
        <v>61</v>
      </c>
      <c r="C63" s="188">
        <v>41422.0</v>
      </c>
      <c r="D63" s="189">
        <f t="shared" si="1"/>
        <v>2013</v>
      </c>
      <c r="E63" s="213" t="s">
        <v>1669</v>
      </c>
      <c r="F63" s="191" t="s">
        <v>1670</v>
      </c>
      <c r="G63" s="191" t="s">
        <v>1671</v>
      </c>
      <c r="H63" s="191" t="s">
        <v>49</v>
      </c>
      <c r="I63" s="193">
        <v>16.0</v>
      </c>
      <c r="J63" s="191" t="s">
        <v>1522</v>
      </c>
      <c r="K63" s="191">
        <v>272.0</v>
      </c>
      <c r="L63" s="191" t="s">
        <v>1526</v>
      </c>
      <c r="M63" s="196" t="s">
        <v>1498</v>
      </c>
      <c r="N63" s="1"/>
    </row>
    <row r="64" ht="31.5" hidden="1" customHeight="1">
      <c r="A64" s="1"/>
      <c r="B64" s="187">
        <f t="shared" si="2"/>
        <v>62</v>
      </c>
      <c r="C64" s="188">
        <v>41447.0</v>
      </c>
      <c r="D64" s="189">
        <f t="shared" si="1"/>
        <v>2013</v>
      </c>
      <c r="E64" s="213" t="s">
        <v>1672</v>
      </c>
      <c r="F64" s="191" t="s">
        <v>1673</v>
      </c>
      <c r="G64" s="191" t="s">
        <v>1674</v>
      </c>
      <c r="H64" s="191" t="s">
        <v>49</v>
      </c>
      <c r="I64" s="193">
        <v>16.0</v>
      </c>
      <c r="J64" s="191" t="s">
        <v>1509</v>
      </c>
      <c r="K64" s="191">
        <v>106.0</v>
      </c>
      <c r="L64" s="191" t="s">
        <v>1526</v>
      </c>
      <c r="M64" s="196" t="s">
        <v>1527</v>
      </c>
      <c r="N64" s="1"/>
    </row>
    <row r="65" ht="31.5" hidden="1" customHeight="1">
      <c r="A65" s="1"/>
      <c r="B65" s="187">
        <f t="shared" si="2"/>
        <v>63</v>
      </c>
      <c r="C65" s="188">
        <v>41431.0</v>
      </c>
      <c r="D65" s="189">
        <f t="shared" si="1"/>
        <v>2013</v>
      </c>
      <c r="E65" s="213" t="s">
        <v>1675</v>
      </c>
      <c r="F65" s="191" t="s">
        <v>1676</v>
      </c>
      <c r="G65" s="191" t="s">
        <v>1677</v>
      </c>
      <c r="H65" s="191" t="s">
        <v>49</v>
      </c>
      <c r="I65" s="193">
        <v>16.0</v>
      </c>
      <c r="J65" s="191" t="s">
        <v>1509</v>
      </c>
      <c r="K65" s="191">
        <v>288.0</v>
      </c>
      <c r="L65" s="191" t="s">
        <v>1526</v>
      </c>
      <c r="M65" s="196" t="s">
        <v>1498</v>
      </c>
      <c r="N65" s="1"/>
    </row>
    <row r="66" ht="31.5" hidden="1" customHeight="1">
      <c r="A66" s="1"/>
      <c r="B66" s="187">
        <f t="shared" si="2"/>
        <v>64</v>
      </c>
      <c r="C66" s="188">
        <v>41642.0</v>
      </c>
      <c r="D66" s="189">
        <f t="shared" si="1"/>
        <v>2014</v>
      </c>
      <c r="E66" s="200" t="str">
        <f>hyperlink("http://www.amazon.com/Alchemist-10th-Anniversary-Paulo-Coelho-ebook/dp/B000FCKC4C/ref=sr_1_1?s=digital-text&amp;ie=UTF8&amp;qid=1388903298&amp;sr=1-1&amp;keywords=alchemist+kindle", "Alchemist, The")</f>
        <v>Alchemist, The</v>
      </c>
      <c r="F66" s="191" t="s">
        <v>1678</v>
      </c>
      <c r="G66" s="191" t="s">
        <v>1679</v>
      </c>
      <c r="H66" s="191" t="s">
        <v>49</v>
      </c>
      <c r="I66" s="193">
        <v>16.0</v>
      </c>
      <c r="J66" s="191" t="s">
        <v>1509</v>
      </c>
      <c r="K66" s="191">
        <v>192.0</v>
      </c>
      <c r="L66" s="191" t="s">
        <v>1526</v>
      </c>
      <c r="M66" s="196" t="s">
        <v>1527</v>
      </c>
      <c r="N66" s="1"/>
    </row>
    <row r="67" ht="31.5" hidden="1" customHeight="1">
      <c r="A67" s="1"/>
      <c r="B67" s="187">
        <f t="shared" si="2"/>
        <v>65</v>
      </c>
      <c r="C67" s="188">
        <v>41635.0</v>
      </c>
      <c r="D67" s="189">
        <f t="shared" si="1"/>
        <v>2013</v>
      </c>
      <c r="E67" s="200" t="str">
        <f>hyperlink("http://www.amazon.com/Flow-P-S-Mihaly-Csikszentmihalyi-ebook/dp/B000W94FE6/ref=la_B000AQ1KVM_1_1_title_0_main?s=books&amp;ie=UTF8&amp;qid=1388904842&amp;sr=1-1","Flow: The Psychology of Optimal Performance")</f>
        <v>Flow: The Psychology of Optimal Performance</v>
      </c>
      <c r="F67" s="191" t="s">
        <v>1680</v>
      </c>
      <c r="G67" s="191" t="s">
        <v>1681</v>
      </c>
      <c r="H67" s="191" t="s">
        <v>49</v>
      </c>
      <c r="I67" s="193">
        <v>16.0</v>
      </c>
      <c r="J67" s="191" t="s">
        <v>1496</v>
      </c>
      <c r="K67" s="191">
        <v>336.0</v>
      </c>
      <c r="L67" s="191" t="s">
        <v>1526</v>
      </c>
      <c r="M67" s="196" t="s">
        <v>1527</v>
      </c>
      <c r="N67" s="1"/>
    </row>
    <row r="68" ht="31.5" hidden="1" customHeight="1">
      <c r="A68" s="1"/>
      <c r="B68" s="187">
        <f t="shared" si="2"/>
        <v>66</v>
      </c>
      <c r="C68" s="188">
        <v>41641.0</v>
      </c>
      <c r="D68" s="189">
        <f t="shared" si="1"/>
        <v>2014</v>
      </c>
      <c r="E68" s="200" t="str">
        <f>hyperlink("http://www.amazon.com/Power-Full-Engagement-Managing-Performance-ebook/dp/B000FC0SWS/ref=sr_1_1_title_0_main?s=books&amp;ie=UTF8&amp;qid=1388905270&amp;sr=1-1&amp;keywords=the+power+of+full+engagement+by+jim+loehr+and+tony+schwartz","Power of Full Engagement: Managing Energy, Not Time, is the Key to High Performance and Personal Renewal, The")</f>
        <v>Power of Full Engagement: Managing Energy, Not Time, is the Key to High Performance and Personal Renewal, The</v>
      </c>
      <c r="F68" s="191" t="s">
        <v>1682</v>
      </c>
      <c r="G68" s="192" t="s">
        <v>1683</v>
      </c>
      <c r="H68" s="191" t="s">
        <v>49</v>
      </c>
      <c r="I68" s="193">
        <v>16.0</v>
      </c>
      <c r="J68" s="191" t="s">
        <v>1496</v>
      </c>
      <c r="K68" s="191">
        <v>256.0</v>
      </c>
      <c r="L68" s="191" t="s">
        <v>1526</v>
      </c>
      <c r="M68" s="196" t="s">
        <v>1527</v>
      </c>
      <c r="N68" s="1"/>
    </row>
    <row r="69" ht="31.5" hidden="1" customHeight="1">
      <c r="A69" s="1"/>
      <c r="B69" s="187">
        <f t="shared" si="2"/>
        <v>67</v>
      </c>
      <c r="C69" s="188">
        <v>41923.0</v>
      </c>
      <c r="D69" s="189">
        <f t="shared" si="1"/>
        <v>2014</v>
      </c>
      <c r="E69" s="200" t="str">
        <f>hyperlink("http://www.amazon.com/How-Google-Works-Eric-Schmidt-ebook/dp/B00HUU13Y0/ref=sr_1_1_twi_1?ie=UTF8&amp;qid=1413163663&amp;sr=8-1&amp;keywords=how+google+works+eric+schmidt","How Google Works")</f>
        <v>How Google Works</v>
      </c>
      <c r="F69" s="191" t="s">
        <v>1684</v>
      </c>
      <c r="G69" s="191" t="s">
        <v>1685</v>
      </c>
      <c r="H69" s="191" t="s">
        <v>49</v>
      </c>
      <c r="I69" s="193">
        <v>16.0</v>
      </c>
      <c r="J69" s="191" t="s">
        <v>1522</v>
      </c>
      <c r="K69" s="191">
        <v>320.0</v>
      </c>
      <c r="L69" s="191" t="s">
        <v>1526</v>
      </c>
      <c r="M69" s="196" t="s">
        <v>1527</v>
      </c>
      <c r="N69" s="1"/>
    </row>
    <row r="70" ht="31.5" hidden="1" customHeight="1">
      <c r="A70" s="1"/>
      <c r="B70" s="187">
        <f t="shared" si="2"/>
        <v>68</v>
      </c>
      <c r="C70" s="188">
        <v>42366.0</v>
      </c>
      <c r="D70" s="189">
        <f t="shared" si="1"/>
        <v>2015</v>
      </c>
      <c r="E70" s="200" t="str">
        <f>hyperlink("http://www.amazon.com/Just-Kids-Patti-Smith-ebook/dp/B003F1WM2K/ref=tmm_kin_swatch_0?_encoding=UTF8&amp;qid=1451352911&amp;sr=8-1","Just Kids")</f>
        <v>Just Kids</v>
      </c>
      <c r="F70" s="191" t="s">
        <v>1686</v>
      </c>
      <c r="G70" s="192" t="s">
        <v>1687</v>
      </c>
      <c r="H70" s="191" t="s">
        <v>49</v>
      </c>
      <c r="I70" s="193">
        <v>16.0</v>
      </c>
      <c r="J70" s="191" t="s">
        <v>1496</v>
      </c>
      <c r="K70" s="191">
        <v>320.0</v>
      </c>
      <c r="L70" s="192" t="s">
        <v>1574</v>
      </c>
      <c r="M70" s="196" t="s">
        <v>804</v>
      </c>
      <c r="N70" s="1"/>
    </row>
    <row r="71" ht="31.5" hidden="1" customHeight="1">
      <c r="A71" s="1"/>
      <c r="B71" s="187">
        <f t="shared" si="2"/>
        <v>69</v>
      </c>
      <c r="C71" s="188">
        <v>42374.0</v>
      </c>
      <c r="D71" s="189">
        <f t="shared" si="1"/>
        <v>2016</v>
      </c>
      <c r="E71" s="200" t="str">
        <f>hyperlink("http://www.amazon.com/Darkness-at-Noon-A-Novel-ebook/dp/B0030H7UFI","Darkness at Noon")</f>
        <v>Darkness at Noon</v>
      </c>
      <c r="F71" s="192" t="s">
        <v>1688</v>
      </c>
      <c r="G71" s="192" t="s">
        <v>1689</v>
      </c>
      <c r="H71" s="192" t="s">
        <v>49</v>
      </c>
      <c r="I71" s="201">
        <v>16.0</v>
      </c>
      <c r="J71" s="192" t="s">
        <v>1509</v>
      </c>
      <c r="K71" s="192">
        <v>289.0</v>
      </c>
      <c r="L71" s="192" t="s">
        <v>1526</v>
      </c>
      <c r="M71" s="194" t="s">
        <v>804</v>
      </c>
      <c r="N71" s="1"/>
    </row>
    <row r="72" ht="31.5" hidden="1" customHeight="1">
      <c r="A72" s="1"/>
      <c r="B72" s="187">
        <f t="shared" si="2"/>
        <v>70</v>
      </c>
      <c r="C72" s="188">
        <v>42546.0</v>
      </c>
      <c r="D72" s="189">
        <f t="shared" si="1"/>
        <v>2016</v>
      </c>
      <c r="E72" s="200" t="str">
        <f>hyperlink("https://www.amazon.com/Grit-Passion-Perseverance-Angela-Duckworth-ebook/dp/B010MH9V3W/ref=sr_1_1?s=digital-text&amp;ie=UTF8&amp;qid=1468102753&amp;sr=1-1&amp;keywords=grit","Grit: The Power of Passion and Perseverance")</f>
        <v>Grit: The Power of Passion and Perseverance</v>
      </c>
      <c r="F72" s="192" t="s">
        <v>1690</v>
      </c>
      <c r="G72" s="192" t="s">
        <v>1691</v>
      </c>
      <c r="H72" s="192" t="s">
        <v>49</v>
      </c>
      <c r="I72" s="201">
        <v>16.0</v>
      </c>
      <c r="J72" s="192" t="s">
        <v>1496</v>
      </c>
      <c r="K72" s="192">
        <v>354.0</v>
      </c>
      <c r="L72" s="192" t="s">
        <v>1574</v>
      </c>
      <c r="M72" s="194" t="s">
        <v>804</v>
      </c>
      <c r="N72" s="1"/>
    </row>
    <row r="73" ht="31.5" hidden="1" customHeight="1">
      <c r="A73" s="1"/>
      <c r="B73" s="187">
        <f t="shared" si="2"/>
        <v>71</v>
      </c>
      <c r="C73" s="188">
        <v>42780.0</v>
      </c>
      <c r="D73" s="189">
        <f t="shared" si="1"/>
        <v>2017</v>
      </c>
      <c r="E73" s="200" t="str">
        <f>hyperlink("https://www.amazon.com/Breaks-Game-David-Halberstam-ebook/dp/B007SO31SY/ref=tmm_kin_swatch_0?_encoding=UTF8&amp;qid=&amp;sr=","Breaks of the Game, The")</f>
        <v>Breaks of the Game, The</v>
      </c>
      <c r="F73" s="192" t="s">
        <v>1500</v>
      </c>
      <c r="G73" s="192" t="s">
        <v>1692</v>
      </c>
      <c r="H73" s="192" t="s">
        <v>49</v>
      </c>
      <c r="I73" s="201">
        <v>16.0</v>
      </c>
      <c r="J73" s="192" t="s">
        <v>1502</v>
      </c>
      <c r="K73" s="192">
        <v>478.0</v>
      </c>
      <c r="L73" s="192" t="s">
        <v>1574</v>
      </c>
      <c r="M73" s="194" t="s">
        <v>804</v>
      </c>
      <c r="N73" s="1"/>
    </row>
    <row r="74" ht="31.5" hidden="1" customHeight="1">
      <c r="A74" s="1"/>
      <c r="B74" s="187">
        <f t="shared" si="2"/>
        <v>72</v>
      </c>
      <c r="C74" s="188">
        <v>42952.0</v>
      </c>
      <c r="D74" s="189">
        <f t="shared" si="1"/>
        <v>2017</v>
      </c>
      <c r="E74" s="200" t="str">
        <f>hyperlink("https://www.amazon.com/Tribe-Homecoming-Belonging-Sebastian-Junger-ebook/dp/B01BCJDSNI/ref=sr_1_1?s=digital-text&amp;ie=UTF8&amp;qid=1504126785&amp;sr=1-1&amp;keywords=tribe+sebastian+junger","Tribe: On Homecoming and Belonging")</f>
        <v>Tribe: On Homecoming and Belonging</v>
      </c>
      <c r="F74" s="192" t="s">
        <v>1693</v>
      </c>
      <c r="G74" s="192" t="s">
        <v>1694</v>
      </c>
      <c r="H74" s="192" t="s">
        <v>49</v>
      </c>
      <c r="I74" s="201">
        <v>16.0</v>
      </c>
      <c r="J74" s="192" t="s">
        <v>1496</v>
      </c>
      <c r="K74" s="192">
        <v>182.0</v>
      </c>
      <c r="L74" s="192" t="s">
        <v>1574</v>
      </c>
      <c r="M74" s="194" t="s">
        <v>804</v>
      </c>
      <c r="N74" s="1"/>
    </row>
    <row r="75" ht="31.5" hidden="1" customHeight="1">
      <c r="A75" s="1"/>
      <c r="B75" s="187">
        <f t="shared" si="2"/>
        <v>73</v>
      </c>
      <c r="C75" s="188">
        <v>43099.0</v>
      </c>
      <c r="D75" s="189">
        <f t="shared" si="1"/>
        <v>2017</v>
      </c>
      <c r="E75" s="200" t="str">
        <f>hyperlink("https://www.amazon.com/Living-SEAL-Training-Toughest-Planet/dp/B0176MAG1M/ref=tmm_aud_swatch_0?_encoding=UTF8&amp;qid=1514756199&amp;sr=1-1","Living with a SEAL: 31 Days Training with the Toughest Man on the Planet")</f>
        <v>Living with a SEAL: 31 Days Training with the Toughest Man on the Planet</v>
      </c>
      <c r="F75" s="192" t="s">
        <v>1695</v>
      </c>
      <c r="G75" s="192" t="s">
        <v>1696</v>
      </c>
      <c r="H75" s="192" t="s">
        <v>49</v>
      </c>
      <c r="I75" s="201">
        <v>16.0</v>
      </c>
      <c r="J75" s="192" t="s">
        <v>1496</v>
      </c>
      <c r="K75" s="192">
        <v>262.0</v>
      </c>
      <c r="L75" s="192" t="s">
        <v>1574</v>
      </c>
      <c r="M75" s="194" t="s">
        <v>804</v>
      </c>
      <c r="N75" s="1"/>
    </row>
    <row r="76" ht="31.5" hidden="1" customHeight="1">
      <c r="A76" s="1"/>
      <c r="B76" s="187">
        <f t="shared" si="2"/>
        <v>74</v>
      </c>
      <c r="C76" s="188">
        <v>43284.0</v>
      </c>
      <c r="D76" s="189">
        <f t="shared" si="1"/>
        <v>2018</v>
      </c>
      <c r="E76" s="200" t="str">
        <f>hyperlink("https://www.amazon.com/City-Thieves-Novel-David-Benioff-ebook/dp/B0018QSNYK/ref=sr_1_1?s=digital-text&amp;ie=UTF8&amp;qid=1546910175&amp;sr=1-1&amp;keywords=city+of+thieves+by+david+benioff","City of Thieves")</f>
        <v>City of Thieves</v>
      </c>
      <c r="F76" s="192" t="s">
        <v>1697</v>
      </c>
      <c r="G76" s="192" t="s">
        <v>1698</v>
      </c>
      <c r="H76" s="192" t="s">
        <v>49</v>
      </c>
      <c r="I76" s="201">
        <v>16.0</v>
      </c>
      <c r="J76" s="192" t="s">
        <v>1509</v>
      </c>
      <c r="K76" s="192">
        <v>284.0</v>
      </c>
      <c r="L76" s="192" t="s">
        <v>1574</v>
      </c>
      <c r="M76" s="194" t="s">
        <v>804</v>
      </c>
      <c r="N76" s="1"/>
    </row>
    <row r="77" ht="31.5" hidden="1" customHeight="1">
      <c r="A77" s="1"/>
      <c r="B77" s="187">
        <f t="shared" si="2"/>
        <v>75</v>
      </c>
      <c r="C77" s="188">
        <v>43458.0</v>
      </c>
      <c r="D77" s="189">
        <f t="shared" si="1"/>
        <v>2018</v>
      </c>
      <c r="E77" s="200" t="str">
        <f>hyperlink("https://www.amazon.com/Bad-Blood-Secrets-Silicon-Startup-ebook/dp/B078VW3VM7/ref=sr_1_1?s=digital-text&amp;ie=UTF8&amp;qid=1546907302&amp;sr=1-1&amp;keywords=bad+blood+secrets+and+lies+in+a+silicon+valley+startup","Bad Blood: Secrets and Lies in a Silicon Valley Startup")</f>
        <v>Bad Blood: Secrets and Lies in a Silicon Valley Startup</v>
      </c>
      <c r="F77" s="192" t="s">
        <v>1699</v>
      </c>
      <c r="G77" s="192" t="s">
        <v>1700</v>
      </c>
      <c r="H77" s="192" t="s">
        <v>49</v>
      </c>
      <c r="I77" s="201">
        <v>16.0</v>
      </c>
      <c r="J77" s="192" t="s">
        <v>1522</v>
      </c>
      <c r="K77" s="192">
        <v>320.0</v>
      </c>
      <c r="L77" s="192" t="s">
        <v>1574</v>
      </c>
      <c r="M77" s="194" t="s">
        <v>804</v>
      </c>
      <c r="N77" s="1"/>
    </row>
    <row r="78" ht="31.5" hidden="1" customHeight="1">
      <c r="A78" s="1"/>
      <c r="B78" s="187">
        <f t="shared" si="2"/>
        <v>76</v>
      </c>
      <c r="C78" s="188">
        <v>43471.0</v>
      </c>
      <c r="D78" s="189">
        <f t="shared" si="1"/>
        <v>2019</v>
      </c>
      <c r="E78" s="200" t="str">
        <f>hyperlink("https://www.amazon.com/Educated-Memoir-Tara-Westover-ebook/dp/B072BLVM83/ref=sr_1_1?crid=32WYJF7YOLEL0&amp;keywords=educated&amp;qid=1550437750&amp;s=gateway&amp;sprefix=digital+min%2Caps%2C210&amp;sr=8-1","Educated: A Memoir")</f>
        <v>Educated: A Memoir</v>
      </c>
      <c r="F78" s="192" t="s">
        <v>1701</v>
      </c>
      <c r="G78" s="192" t="s">
        <v>1702</v>
      </c>
      <c r="H78" s="192" t="s">
        <v>49</v>
      </c>
      <c r="I78" s="201">
        <v>16.0</v>
      </c>
      <c r="J78" s="192" t="s">
        <v>1657</v>
      </c>
      <c r="K78" s="192">
        <v>336.0</v>
      </c>
      <c r="L78" s="192" t="s">
        <v>1574</v>
      </c>
      <c r="M78" s="194" t="s">
        <v>804</v>
      </c>
      <c r="N78" s="1"/>
    </row>
    <row r="79" ht="31.5" hidden="1" customHeight="1">
      <c r="A79" s="1"/>
      <c r="B79" s="187">
        <f t="shared" si="2"/>
        <v>77</v>
      </c>
      <c r="C79" s="188">
        <v>43485.0</v>
      </c>
      <c r="D79" s="189">
        <f t="shared" si="1"/>
        <v>2019</v>
      </c>
      <c r="E79" s="200" t="str">
        <f>hyperlink("https://www.amazon.com/Becoming-Michelle-Obama-ebook/dp/B079ZYWJJ8/ref=sr_1_2?crid=2JWG2ANEF5HVI&amp;keywords=becoming+michelle+obama&amp;qid=1550438050&amp;s=books&amp;sprefix=becoming%2Caps%2C225&amp;sr=1-2","Becoming")</f>
        <v>Becoming</v>
      </c>
      <c r="F79" s="192" t="s">
        <v>1703</v>
      </c>
      <c r="G79" s="192" t="s">
        <v>1704</v>
      </c>
      <c r="H79" s="192" t="s">
        <v>49</v>
      </c>
      <c r="I79" s="201">
        <v>16.0</v>
      </c>
      <c r="J79" s="192" t="s">
        <v>1657</v>
      </c>
      <c r="K79" s="192">
        <v>428.0</v>
      </c>
      <c r="L79" s="192" t="s">
        <v>1574</v>
      </c>
      <c r="M79" s="194" t="s">
        <v>804</v>
      </c>
      <c r="N79" s="1"/>
    </row>
    <row r="80" ht="31.5" hidden="1" customHeight="1">
      <c r="A80" s="1"/>
      <c r="B80" s="187">
        <f t="shared" si="2"/>
        <v>78</v>
      </c>
      <c r="C80" s="188">
        <v>43496.0</v>
      </c>
      <c r="D80" s="189">
        <f t="shared" si="1"/>
        <v>2019</v>
      </c>
      <c r="E80" s="200" t="str">
        <f>hyperlink("https://www.amazon.com/Atomic-Habits-Proven-Build-Break-ebook/dp/B07D23CFGR/ref=sr_1_1?crid=ULUG317T4XVB&amp;keywords=atomic+habits&amp;qid=1550434602&amp;s=digital-text&amp;sprefix=atomic+hab%2Caps%2C210&amp;sr=1-1","Atomic Habits: An Easy &amp; Proven Way to Build Good Habits &amp; Break Bad Ones")</f>
        <v>Atomic Habits: An Easy &amp; Proven Way to Build Good Habits &amp; Break Bad Ones</v>
      </c>
      <c r="F80" s="192" t="s">
        <v>1705</v>
      </c>
      <c r="G80" s="192" t="s">
        <v>1706</v>
      </c>
      <c r="H80" s="192" t="s">
        <v>49</v>
      </c>
      <c r="I80" s="201">
        <v>16.0</v>
      </c>
      <c r="J80" s="192" t="s">
        <v>1522</v>
      </c>
      <c r="K80" s="192">
        <v>319.0</v>
      </c>
      <c r="L80" s="192" t="s">
        <v>1526</v>
      </c>
      <c r="M80" s="217" t="s">
        <v>1527</v>
      </c>
      <c r="N80" s="1"/>
    </row>
    <row r="81" ht="31.5" hidden="1" customHeight="1">
      <c r="A81" s="1"/>
      <c r="B81" s="187">
        <f t="shared" si="2"/>
        <v>79</v>
      </c>
      <c r="C81" s="188">
        <v>43816.0</v>
      </c>
      <c r="D81" s="189">
        <f t="shared" si="1"/>
        <v>2019</v>
      </c>
      <c r="E81" s="200" t="str">
        <f>hyperlink("https://www.amazon.com/Maybe-You-Should-Talk-Someone/dp/1328662055/ref=sr_1_2?crid=DQXS18PBHTSP&amp;keywords=you+should+talk+to+someone&amp;qid=1576778324&amp;sprefix=you+shoul%2Caps%2C203&amp;sr=8-2","Maybe You Should Talk to Someone: A Therapist, her Therapist, and Our Lives Revealed ")</f>
        <v>Maybe You Should Talk to Someone: A Therapist, her Therapist, and Our Lives Revealed </v>
      </c>
      <c r="F81" s="192" t="s">
        <v>1707</v>
      </c>
      <c r="G81" s="192" t="s">
        <v>1708</v>
      </c>
      <c r="H81" s="192" t="s">
        <v>49</v>
      </c>
      <c r="I81" s="201">
        <v>16.0</v>
      </c>
      <c r="J81" s="192" t="s">
        <v>1496</v>
      </c>
      <c r="K81" s="192">
        <v>432.0</v>
      </c>
      <c r="L81" s="192" t="s">
        <v>1526</v>
      </c>
      <c r="M81" s="217" t="s">
        <v>1527</v>
      </c>
      <c r="N81" s="1"/>
    </row>
    <row r="82" ht="31.5" hidden="1" customHeight="1">
      <c r="A82" s="1"/>
      <c r="B82" s="187">
        <f t="shared" si="2"/>
        <v>80</v>
      </c>
      <c r="C82" s="188">
        <v>44002.0</v>
      </c>
      <c r="D82" s="189">
        <f t="shared" si="1"/>
        <v>2020</v>
      </c>
      <c r="E82" s="200" t="str">
        <f>hyperlink("https://www.amazon.com/Never-Split-Difference-audiobook/dp/B01COR1GM2/ref=sr_1_1?crid=3U948I0N6Q2O5&amp;dchild=1&amp;keywords=never+split+the+difference&amp;qid=1600490339&amp;sprefix=never+split+the+%2Caps%2C213&amp;sr=8-1","Never Split The Difference: Negotiating as if your life depended on it")</f>
        <v>Never Split The Difference: Negotiating as if your life depended on it</v>
      </c>
      <c r="F82" s="192" t="s">
        <v>1709</v>
      </c>
      <c r="G82" s="192" t="s">
        <v>1710</v>
      </c>
      <c r="H82" s="192" t="s">
        <v>49</v>
      </c>
      <c r="I82" s="201">
        <v>16.0</v>
      </c>
      <c r="J82" s="192" t="s">
        <v>1496</v>
      </c>
      <c r="K82" s="192">
        <v>260.0</v>
      </c>
      <c r="L82" s="192" t="s">
        <v>1526</v>
      </c>
      <c r="M82" s="217" t="s">
        <v>1527</v>
      </c>
      <c r="N82" s="1"/>
    </row>
    <row r="83" ht="31.5" hidden="1" customHeight="1">
      <c r="A83" s="1"/>
      <c r="B83" s="187">
        <f t="shared" si="2"/>
        <v>81</v>
      </c>
      <c r="C83" s="188">
        <v>44057.0</v>
      </c>
      <c r="D83" s="189">
        <f t="shared" si="1"/>
        <v>2020</v>
      </c>
      <c r="E83" s="200" t="str">
        <f>hyperlink("https://www.amazon.com/s?k=the+nickel+boys&amp;i=digital-text&amp;crid=2KB5VQCKNXDR&amp;sprefix=the+nickel+boys%2Cdigital-text%2C207&amp;ref=nb_sb_ss_i_1_15","Nickel Boys, The")</f>
        <v>Nickel Boys, The</v>
      </c>
      <c r="F83" s="192" t="s">
        <v>1711</v>
      </c>
      <c r="G83" s="192" t="s">
        <v>1712</v>
      </c>
      <c r="H83" s="192" t="s">
        <v>49</v>
      </c>
      <c r="I83" s="201">
        <v>16.0</v>
      </c>
      <c r="J83" s="192" t="s">
        <v>1509</v>
      </c>
      <c r="K83" s="192">
        <v>210.0</v>
      </c>
      <c r="L83" s="192" t="s">
        <v>1497</v>
      </c>
      <c r="M83" s="217" t="s">
        <v>1498</v>
      </c>
      <c r="N83" s="1"/>
    </row>
    <row r="84" ht="31.5" hidden="1" customHeight="1">
      <c r="A84" s="1"/>
      <c r="B84" s="187">
        <f t="shared" si="2"/>
        <v>82</v>
      </c>
      <c r="C84" s="188">
        <v>44086.0</v>
      </c>
      <c r="D84" s="189">
        <f t="shared" si="1"/>
        <v>2020</v>
      </c>
      <c r="E84" s="200" t="str">
        <f>hyperlink("https://www.amazon.com/No-Drama-Discipline-Whole-Brain-Nurture-Developing-ebook/dp/B00JCS4NMC/ref=sr_1_2?crid=1H9CFQMJFSO5Q&amp;dchild=1&amp;keywords=no+drama+discipline&amp;qid=1600488317&amp;s=digital-text&amp;sprefix=no+drama+di%2Cdigital-text%2C208&amp;sr=1-2","No Drama Discipline: The Whole-Brain Way to Calm the Chaos and Nurture Your Child's Developing Mind")</f>
        <v>No Drama Discipline: The Whole-Brain Way to Calm the Chaos and Nurture Your Child's Developing Mind</v>
      </c>
      <c r="F84" s="192" t="s">
        <v>1713</v>
      </c>
      <c r="G84" s="192" t="s">
        <v>1714</v>
      </c>
      <c r="H84" s="192" t="s">
        <v>49</v>
      </c>
      <c r="I84" s="201">
        <v>16.0</v>
      </c>
      <c r="J84" s="192" t="s">
        <v>1496</v>
      </c>
      <c r="K84" s="192">
        <v>290.0</v>
      </c>
      <c r="L84" s="192" t="s">
        <v>1497</v>
      </c>
      <c r="M84" s="194" t="s">
        <v>1498</v>
      </c>
      <c r="N84" s="1"/>
    </row>
    <row r="85" ht="31.5" hidden="1" customHeight="1">
      <c r="A85" s="1"/>
      <c r="B85" s="187">
        <f t="shared" si="2"/>
        <v>83</v>
      </c>
      <c r="C85" s="188">
        <v>44209.0</v>
      </c>
      <c r="D85" s="189">
        <f t="shared" si="1"/>
        <v>2021</v>
      </c>
      <c r="E85" s="200" t="str">
        <f>hyperlink("https://www.amazon.com/Promised-Land-Barack-Obama-ebook/dp/B08GJZFBYV/ref=tmm_kin_swatch_0?_encoding=UTF8&amp;qid=1613452673&amp;sr=8-1","Promised Land, A")</f>
        <v>Promised Land, A</v>
      </c>
      <c r="F85" s="192" t="s">
        <v>1715</v>
      </c>
      <c r="G85" s="192" t="s">
        <v>1716</v>
      </c>
      <c r="H85" s="192" t="s">
        <v>49</v>
      </c>
      <c r="I85" s="201">
        <v>16.0</v>
      </c>
      <c r="J85" s="192" t="s">
        <v>1496</v>
      </c>
      <c r="K85" s="192">
        <v>753.0</v>
      </c>
      <c r="L85" s="192" t="s">
        <v>1497</v>
      </c>
      <c r="M85" s="194" t="s">
        <v>1498</v>
      </c>
      <c r="N85" s="1"/>
    </row>
    <row r="86" ht="31.5" hidden="1" customHeight="1">
      <c r="A86" s="1"/>
      <c r="B86" s="187">
        <f t="shared" si="2"/>
        <v>84</v>
      </c>
      <c r="C86" s="188">
        <v>44241.0</v>
      </c>
      <c r="D86" s="189">
        <f t="shared" si="1"/>
        <v>2021</v>
      </c>
      <c r="E86" s="200" t="str">
        <f>hyperlink("https://www.amazon.com/Think-Again-Power-Knowing-What/dp/1984878107/ref=sr_1_1?crid=1P2B1KWVQ5UCH&amp;dchild=1&amp;keywords=think+again+adam+grant&amp;qid=1613453003&amp;sprefix=think+again%2Caps%2C228&amp;sr=8-1","Think Again: The Power of Knowing What You Don't Know")</f>
        <v>Think Again: The Power of Knowing What You Don't Know</v>
      </c>
      <c r="F86" s="192" t="s">
        <v>1717</v>
      </c>
      <c r="G86" s="192" t="s">
        <v>1718</v>
      </c>
      <c r="H86" s="192" t="s">
        <v>49</v>
      </c>
      <c r="I86" s="201">
        <v>16.0</v>
      </c>
      <c r="J86" s="192" t="s">
        <v>1496</v>
      </c>
      <c r="K86" s="192">
        <v>320.0</v>
      </c>
      <c r="L86" s="192" t="s">
        <v>1526</v>
      </c>
      <c r="M86" s="194" t="s">
        <v>1498</v>
      </c>
      <c r="N86" s="1"/>
    </row>
    <row r="87" ht="31.5" hidden="1" customHeight="1">
      <c r="A87" s="1"/>
      <c r="B87" s="187">
        <f t="shared" si="2"/>
        <v>85</v>
      </c>
      <c r="C87" s="188">
        <v>44294.0</v>
      </c>
      <c r="D87" s="189">
        <f t="shared" si="1"/>
        <v>2021</v>
      </c>
      <c r="E87" s="200" t="str">
        <f>hyperlink("https://www.amazon.com/Bird-Some-Instructions-Writing-Life-ebook/dp/B000SEGI8Q/ref=sr_1_1?crid=TR3T3NV3FCPG&amp;keywords=bird+by+bird+anne+lamott&amp;qid=1618199069&amp;sprefix=bird+by+bird%2Caps%2C259&amp;sr=8-1","Bird by Bird: Some Instructions on Writing and Life")</f>
        <v>Bird by Bird: Some Instructions on Writing and Life</v>
      </c>
      <c r="F87" s="192" t="s">
        <v>1719</v>
      </c>
      <c r="G87" s="192" t="s">
        <v>1720</v>
      </c>
      <c r="H87" s="192" t="s">
        <v>49</v>
      </c>
      <c r="I87" s="201">
        <v>16.0</v>
      </c>
      <c r="J87" s="192" t="s">
        <v>1496</v>
      </c>
      <c r="K87" s="192">
        <v>220.0</v>
      </c>
      <c r="L87" s="192" t="s">
        <v>1497</v>
      </c>
      <c r="M87" s="217" t="s">
        <v>1527</v>
      </c>
      <c r="N87" s="1"/>
    </row>
    <row r="88" ht="31.5" hidden="1" customHeight="1">
      <c r="A88" s="1"/>
      <c r="B88" s="187">
        <f t="shared" si="2"/>
        <v>86</v>
      </c>
      <c r="C88" s="188">
        <v>44296.0</v>
      </c>
      <c r="D88" s="189">
        <f t="shared" si="1"/>
        <v>2021</v>
      </c>
      <c r="E88" s="200" t="str">
        <f>hyperlink("https://www.amazon.com/Writing-Well-30th-Anniversary-Nonfiction-ebook/dp/B0090RVGW0/ref=sr_1_1?crid=UL6IZTT5KHY0&amp;keywords=on+writing+well+william+zinsser&amp;qid=1618199323&amp;sprefix=on+writing+well%2Caps%2C216&amp;sr=8-1","On Writing Well: The Classic Guide to Writing Nonfiction")</f>
        <v>On Writing Well: The Classic Guide to Writing Nonfiction</v>
      </c>
      <c r="F88" s="192" t="s">
        <v>1721</v>
      </c>
      <c r="G88" s="192" t="s">
        <v>1722</v>
      </c>
      <c r="H88" s="192" t="s">
        <v>49</v>
      </c>
      <c r="I88" s="201">
        <v>16.0</v>
      </c>
      <c r="J88" s="192" t="s">
        <v>1496</v>
      </c>
      <c r="K88" s="192">
        <v>335.0</v>
      </c>
      <c r="L88" s="192" t="s">
        <v>1497</v>
      </c>
      <c r="M88" s="194" t="s">
        <v>1498</v>
      </c>
      <c r="N88" s="1"/>
    </row>
    <row r="89" ht="31.5" hidden="1" customHeight="1">
      <c r="A89" s="1"/>
      <c r="B89" s="187">
        <f t="shared" si="2"/>
        <v>87</v>
      </c>
      <c r="C89" s="188">
        <v>44742.0</v>
      </c>
      <c r="D89" s="189">
        <f t="shared" si="1"/>
        <v>2022</v>
      </c>
      <c r="E89" s="200" t="str">
        <f>hyperlink("https://www.amazon.com/A-Gentleman-in-Moscow-audiobook/dp/B01E0CCSXA/ref=sr_1_1?crid=2C2VZOIOH0BOV&amp;keywords=a+gentleman+in+moscow&amp;qid=1657335708&amp;sprefix=a+gentleman+in+mo%2Caps%2C257&amp;sr=8-1","Gentleman in Moscow, A")</f>
        <v>Gentleman in Moscow, A</v>
      </c>
      <c r="F89" s="192" t="s">
        <v>1723</v>
      </c>
      <c r="G89" s="192" t="s">
        <v>1724</v>
      </c>
      <c r="H89" s="192" t="s">
        <v>49</v>
      </c>
      <c r="I89" s="201">
        <v>16.0</v>
      </c>
      <c r="J89" s="192" t="s">
        <v>1509</v>
      </c>
      <c r="K89" s="192">
        <v>465.0</v>
      </c>
      <c r="L89" s="192" t="s">
        <v>1526</v>
      </c>
      <c r="M89" s="217" t="s">
        <v>1527</v>
      </c>
      <c r="N89" s="1"/>
    </row>
    <row r="90" ht="31.5" hidden="1" customHeight="1">
      <c r="A90" s="1"/>
      <c r="B90" s="187">
        <f t="shared" si="2"/>
        <v>88</v>
      </c>
      <c r="C90" s="188">
        <v>45092.0</v>
      </c>
      <c r="D90" s="189">
        <f t="shared" si="1"/>
        <v>2023</v>
      </c>
      <c r="E90" s="200" t="str">
        <f>hyperlink("https://www.amazon.com/Outlive-Science-Longevity-Peter-Attia-ebook/dp/B0B1BTJLJN/ref=tmm_kin_swatch_0?_encoding=UTF8&amp;qid=1687141808&amp;sr=8-1","Outlive: The Science and Art of Longevity")</f>
        <v>Outlive: The Science and Art of Longevity</v>
      </c>
      <c r="F90" s="192" t="s">
        <v>1725</v>
      </c>
      <c r="G90" s="192" t="s">
        <v>1726</v>
      </c>
      <c r="H90" s="192" t="s">
        <v>49</v>
      </c>
      <c r="I90" s="201">
        <v>16.0</v>
      </c>
      <c r="J90" s="192" t="s">
        <v>1496</v>
      </c>
      <c r="K90" s="192">
        <v>478.0</v>
      </c>
      <c r="L90" s="192" t="s">
        <v>1526</v>
      </c>
      <c r="M90" s="199" t="s">
        <v>1527</v>
      </c>
      <c r="N90" s="1"/>
    </row>
    <row r="91" ht="31.5" hidden="1" customHeight="1">
      <c r="A91" s="1"/>
      <c r="B91" s="187">
        <f t="shared" si="2"/>
        <v>89</v>
      </c>
      <c r="C91" s="188">
        <v>45627.0</v>
      </c>
      <c r="D91" s="189">
        <f t="shared" si="1"/>
        <v>2024</v>
      </c>
      <c r="E91" s="200" t="str">
        <f>hyperlink("#cfe2f3","Little Life, A")</f>
        <v>Little Life, A</v>
      </c>
      <c r="F91" s="192" t="s">
        <v>1727</v>
      </c>
      <c r="G91" s="192" t="s">
        <v>1728</v>
      </c>
      <c r="H91" s="192" t="s">
        <v>49</v>
      </c>
      <c r="I91" s="201">
        <v>16.0</v>
      </c>
      <c r="J91" s="192" t="s">
        <v>1509</v>
      </c>
      <c r="K91" s="192">
        <v>833.0</v>
      </c>
      <c r="L91" s="192" t="s">
        <v>1526</v>
      </c>
      <c r="M91" s="199" t="s">
        <v>1527</v>
      </c>
      <c r="N91" s="1"/>
    </row>
    <row r="92" ht="31.5" customHeight="1">
      <c r="A92" s="1"/>
      <c r="B92" s="187">
        <f t="shared" si="2"/>
        <v>90</v>
      </c>
      <c r="C92" s="188">
        <v>45892.0</v>
      </c>
      <c r="D92" s="189">
        <f t="shared" si="1"/>
        <v>2025</v>
      </c>
      <c r="E92" s="200" t="str">
        <f>hyperlink("https://a.co/d/eUEtXQ0","James")</f>
        <v>James</v>
      </c>
      <c r="F92" s="192" t="s">
        <v>1729</v>
      </c>
      <c r="G92" s="192" t="s">
        <v>1730</v>
      </c>
      <c r="H92" s="192" t="s">
        <v>49</v>
      </c>
      <c r="I92" s="201">
        <v>16.0</v>
      </c>
      <c r="J92" s="192" t="s">
        <v>1509</v>
      </c>
      <c r="K92" s="192">
        <v>304.0</v>
      </c>
      <c r="L92" s="192" t="s">
        <v>1526</v>
      </c>
      <c r="M92" s="199" t="s">
        <v>1527</v>
      </c>
      <c r="N92" s="1"/>
    </row>
    <row r="93" ht="31.5" customHeight="1">
      <c r="A93" s="1"/>
      <c r="B93" s="187">
        <f t="shared" si="2"/>
        <v>91</v>
      </c>
      <c r="C93" s="188">
        <v>45919.0</v>
      </c>
      <c r="D93" s="189">
        <f t="shared" si="1"/>
        <v>2025</v>
      </c>
      <c r="E93" s="200" t="str">
        <f>hyperlink("https://a.co/d/9gv2VfZ","Small Things Like These")</f>
        <v>Small Things Like These</v>
      </c>
      <c r="F93" s="192" t="s">
        <v>1731</v>
      </c>
      <c r="G93" s="192" t="s">
        <v>1732</v>
      </c>
      <c r="H93" s="192" t="s">
        <v>49</v>
      </c>
      <c r="I93" s="201">
        <v>16.0</v>
      </c>
      <c r="J93" s="192" t="s">
        <v>1509</v>
      </c>
      <c r="K93" s="192">
        <v>70.0</v>
      </c>
      <c r="L93" s="192" t="s">
        <v>1526</v>
      </c>
      <c r="M93" s="199" t="s">
        <v>1527</v>
      </c>
      <c r="N93" s="1"/>
    </row>
    <row r="94" ht="31.5" hidden="1" customHeight="1">
      <c r="A94" s="1"/>
      <c r="B94" s="202">
        <f t="shared" si="2"/>
        <v>92</v>
      </c>
      <c r="C94" s="181">
        <v>36153.0</v>
      </c>
      <c r="D94" s="182">
        <f t="shared" si="1"/>
        <v>1998</v>
      </c>
      <c r="E94" s="203" t="s">
        <v>431</v>
      </c>
      <c r="F94" s="184" t="s">
        <v>1733</v>
      </c>
      <c r="G94" s="185" t="s">
        <v>1734</v>
      </c>
      <c r="H94" s="184" t="s">
        <v>106</v>
      </c>
      <c r="I94" s="28">
        <v>15.0</v>
      </c>
      <c r="J94" s="184" t="s">
        <v>1509</v>
      </c>
      <c r="K94" s="218"/>
      <c r="L94" s="184" t="s">
        <v>1497</v>
      </c>
      <c r="M94" s="186" t="s">
        <v>804</v>
      </c>
      <c r="N94" s="1"/>
    </row>
    <row r="95" ht="27.75" hidden="1" customHeight="1">
      <c r="A95" s="1"/>
      <c r="B95" s="202">
        <f t="shared" si="2"/>
        <v>93</v>
      </c>
      <c r="C95" s="181">
        <v>36170.0</v>
      </c>
      <c r="D95" s="182">
        <f t="shared" si="1"/>
        <v>1999</v>
      </c>
      <c r="E95" s="203" t="s">
        <v>1735</v>
      </c>
      <c r="F95" s="184" t="s">
        <v>1494</v>
      </c>
      <c r="G95" s="185" t="s">
        <v>1736</v>
      </c>
      <c r="H95" s="184" t="s">
        <v>106</v>
      </c>
      <c r="I95" s="28">
        <v>15.0</v>
      </c>
      <c r="J95" s="184" t="s">
        <v>1509</v>
      </c>
      <c r="K95" s="218"/>
      <c r="L95" s="184" t="s">
        <v>1497</v>
      </c>
      <c r="M95" s="186" t="s">
        <v>804</v>
      </c>
      <c r="N95" s="1"/>
    </row>
    <row r="96" ht="15.0" hidden="1" customHeight="1">
      <c r="A96" s="1"/>
      <c r="B96" s="202">
        <f t="shared" si="2"/>
        <v>94</v>
      </c>
      <c r="C96" s="181">
        <v>36345.0</v>
      </c>
      <c r="D96" s="182">
        <f t="shared" si="1"/>
        <v>1999</v>
      </c>
      <c r="E96" s="203" t="s">
        <v>1737</v>
      </c>
      <c r="F96" s="184" t="s">
        <v>1738</v>
      </c>
      <c r="G96" s="184" t="s">
        <v>1739</v>
      </c>
      <c r="H96" s="184" t="s">
        <v>106</v>
      </c>
      <c r="I96" s="28">
        <v>15.0</v>
      </c>
      <c r="J96" s="184" t="s">
        <v>1509</v>
      </c>
      <c r="K96" s="218"/>
      <c r="L96" s="184" t="s">
        <v>1497</v>
      </c>
      <c r="M96" s="186" t="s">
        <v>804</v>
      </c>
      <c r="N96" s="1"/>
    </row>
    <row r="97" ht="30.0" hidden="1" customHeight="1">
      <c r="A97" s="1"/>
      <c r="B97" s="202">
        <f t="shared" si="2"/>
        <v>95</v>
      </c>
      <c r="C97" s="181">
        <v>36370.0</v>
      </c>
      <c r="D97" s="182">
        <f t="shared" si="1"/>
        <v>1999</v>
      </c>
      <c r="E97" s="203" t="s">
        <v>1740</v>
      </c>
      <c r="F97" s="184" t="s">
        <v>1741</v>
      </c>
      <c r="G97" s="184" t="s">
        <v>1742</v>
      </c>
      <c r="H97" s="184" t="s">
        <v>106</v>
      </c>
      <c r="I97" s="28">
        <v>15.0</v>
      </c>
      <c r="J97" s="184" t="s">
        <v>1509</v>
      </c>
      <c r="K97" s="218"/>
      <c r="L97" s="184" t="s">
        <v>1497</v>
      </c>
      <c r="M97" s="186" t="s">
        <v>804</v>
      </c>
      <c r="N97" s="1"/>
    </row>
    <row r="98" ht="15.0" hidden="1" customHeight="1">
      <c r="A98" s="1"/>
      <c r="B98" s="202">
        <f t="shared" si="2"/>
        <v>96</v>
      </c>
      <c r="C98" s="181">
        <v>36387.0</v>
      </c>
      <c r="D98" s="182">
        <f t="shared" si="1"/>
        <v>1999</v>
      </c>
      <c r="E98" s="203" t="s">
        <v>1743</v>
      </c>
      <c r="F98" s="184" t="s">
        <v>1744</v>
      </c>
      <c r="G98" s="184" t="s">
        <v>1745</v>
      </c>
      <c r="H98" s="184" t="s">
        <v>106</v>
      </c>
      <c r="I98" s="28">
        <v>15.0</v>
      </c>
      <c r="J98" s="184" t="s">
        <v>1509</v>
      </c>
      <c r="K98" s="218"/>
      <c r="L98" s="184" t="s">
        <v>1497</v>
      </c>
      <c r="M98" s="186" t="s">
        <v>804</v>
      </c>
      <c r="N98" s="1"/>
    </row>
    <row r="99" ht="30.0" hidden="1" customHeight="1">
      <c r="A99" s="1"/>
      <c r="B99" s="202">
        <f t="shared" si="2"/>
        <v>97</v>
      </c>
      <c r="C99" s="181">
        <v>36608.0</v>
      </c>
      <c r="D99" s="182">
        <f t="shared" si="1"/>
        <v>2000</v>
      </c>
      <c r="E99" s="203" t="s">
        <v>1746</v>
      </c>
      <c r="F99" s="184" t="s">
        <v>1747</v>
      </c>
      <c r="G99" s="184" t="s">
        <v>1748</v>
      </c>
      <c r="H99" s="184" t="s">
        <v>106</v>
      </c>
      <c r="I99" s="28">
        <v>15.0</v>
      </c>
      <c r="J99" s="184" t="s">
        <v>1496</v>
      </c>
      <c r="K99" s="218"/>
      <c r="L99" s="184" t="s">
        <v>1497</v>
      </c>
      <c r="M99" s="186" t="s">
        <v>1498</v>
      </c>
      <c r="N99" s="1"/>
    </row>
    <row r="100" ht="30.0" hidden="1" customHeight="1">
      <c r="A100" s="1"/>
      <c r="B100" s="202">
        <f t="shared" si="2"/>
        <v>98</v>
      </c>
      <c r="C100" s="181">
        <v>36670.0</v>
      </c>
      <c r="D100" s="182">
        <f t="shared" si="1"/>
        <v>2000</v>
      </c>
      <c r="E100" s="203" t="s">
        <v>1749</v>
      </c>
      <c r="F100" s="184" t="s">
        <v>1750</v>
      </c>
      <c r="G100" s="184" t="s">
        <v>1751</v>
      </c>
      <c r="H100" s="184" t="s">
        <v>106</v>
      </c>
      <c r="I100" s="28">
        <v>15.0</v>
      </c>
      <c r="J100" s="184" t="s">
        <v>1502</v>
      </c>
      <c r="K100" s="218"/>
      <c r="L100" s="184" t="s">
        <v>1497</v>
      </c>
      <c r="M100" s="186" t="s">
        <v>804</v>
      </c>
      <c r="N100" s="1"/>
    </row>
    <row r="101" ht="30.0" hidden="1" customHeight="1">
      <c r="A101" s="1"/>
      <c r="B101" s="202">
        <f t="shared" si="2"/>
        <v>99</v>
      </c>
      <c r="C101" s="181">
        <v>37026.0</v>
      </c>
      <c r="D101" s="182">
        <f t="shared" si="1"/>
        <v>2001</v>
      </c>
      <c r="E101" s="203" t="s">
        <v>1752</v>
      </c>
      <c r="F101" s="219" t="s">
        <v>1500</v>
      </c>
      <c r="G101" s="219" t="s">
        <v>1753</v>
      </c>
      <c r="H101" s="184" t="s">
        <v>106</v>
      </c>
      <c r="I101" s="28">
        <v>15.0</v>
      </c>
      <c r="J101" s="219" t="s">
        <v>1502</v>
      </c>
      <c r="K101" s="218"/>
      <c r="L101" s="185" t="s">
        <v>1497</v>
      </c>
      <c r="M101" s="186" t="s">
        <v>804</v>
      </c>
      <c r="N101" s="1"/>
    </row>
    <row r="102" ht="30.0" hidden="1" customHeight="1">
      <c r="A102" s="1"/>
      <c r="B102" s="202">
        <f t="shared" si="2"/>
        <v>100</v>
      </c>
      <c r="C102" s="181">
        <v>37452.0</v>
      </c>
      <c r="D102" s="182">
        <f t="shared" si="1"/>
        <v>2002</v>
      </c>
      <c r="E102" s="203" t="s">
        <v>1754</v>
      </c>
      <c r="F102" s="185" t="s">
        <v>1755</v>
      </c>
      <c r="G102" s="184" t="s">
        <v>1756</v>
      </c>
      <c r="H102" s="184" t="s">
        <v>106</v>
      </c>
      <c r="I102" s="28">
        <v>15.0</v>
      </c>
      <c r="J102" s="184" t="s">
        <v>1496</v>
      </c>
      <c r="K102" s="218"/>
      <c r="L102" s="184" t="s">
        <v>1497</v>
      </c>
      <c r="M102" s="186" t="s">
        <v>1498</v>
      </c>
      <c r="N102" s="1"/>
    </row>
    <row r="103" ht="30.0" hidden="1" customHeight="1">
      <c r="A103" s="1"/>
      <c r="B103" s="202">
        <f t="shared" si="2"/>
        <v>101</v>
      </c>
      <c r="C103" s="181">
        <v>37616.0</v>
      </c>
      <c r="D103" s="182">
        <f t="shared" si="1"/>
        <v>2002</v>
      </c>
      <c r="E103" s="203" t="s">
        <v>1757</v>
      </c>
      <c r="F103" s="184" t="s">
        <v>1758</v>
      </c>
      <c r="G103" s="184" t="s">
        <v>1759</v>
      </c>
      <c r="H103" s="184" t="s">
        <v>106</v>
      </c>
      <c r="I103" s="28">
        <v>15.0</v>
      </c>
      <c r="J103" s="184" t="s">
        <v>1760</v>
      </c>
      <c r="K103" s="218"/>
      <c r="L103" s="184" t="s">
        <v>1497</v>
      </c>
      <c r="M103" s="186" t="s">
        <v>1498</v>
      </c>
      <c r="N103" s="1"/>
    </row>
    <row r="104" ht="15.0" hidden="1" customHeight="1">
      <c r="A104" s="1"/>
      <c r="B104" s="202">
        <f t="shared" si="2"/>
        <v>102</v>
      </c>
      <c r="C104" s="181">
        <v>37618.0</v>
      </c>
      <c r="D104" s="182">
        <f t="shared" si="1"/>
        <v>2002</v>
      </c>
      <c r="E104" s="203" t="s">
        <v>1761</v>
      </c>
      <c r="F104" s="184" t="s">
        <v>1762</v>
      </c>
      <c r="G104" s="184" t="s">
        <v>1763</v>
      </c>
      <c r="H104" s="184" t="s">
        <v>106</v>
      </c>
      <c r="I104" s="28">
        <v>15.0</v>
      </c>
      <c r="J104" s="184" t="s">
        <v>1760</v>
      </c>
      <c r="K104" s="218"/>
      <c r="L104" s="184" t="s">
        <v>1497</v>
      </c>
      <c r="M104" s="186" t="s">
        <v>1498</v>
      </c>
      <c r="N104" s="1"/>
    </row>
    <row r="105" ht="26.25" hidden="1" customHeight="1">
      <c r="A105" s="1"/>
      <c r="B105" s="202">
        <f t="shared" si="2"/>
        <v>103</v>
      </c>
      <c r="C105" s="181">
        <v>37647.0</v>
      </c>
      <c r="D105" s="182">
        <f t="shared" si="1"/>
        <v>2003</v>
      </c>
      <c r="E105" s="203" t="s">
        <v>425</v>
      </c>
      <c r="F105" s="184" t="s">
        <v>1764</v>
      </c>
      <c r="G105" s="184" t="s">
        <v>1765</v>
      </c>
      <c r="H105" s="184" t="s">
        <v>106</v>
      </c>
      <c r="I105" s="28">
        <v>15.0</v>
      </c>
      <c r="J105" s="184" t="s">
        <v>1760</v>
      </c>
      <c r="K105" s="218"/>
      <c r="L105" s="184" t="s">
        <v>1497</v>
      </c>
      <c r="M105" s="186" t="s">
        <v>1498</v>
      </c>
      <c r="N105" s="1"/>
    </row>
    <row r="106" ht="15.0" hidden="1" customHeight="1">
      <c r="A106" s="1"/>
      <c r="B106" s="202">
        <f t="shared" si="2"/>
        <v>104</v>
      </c>
      <c r="C106" s="181">
        <v>37715.0</v>
      </c>
      <c r="D106" s="182">
        <f t="shared" si="1"/>
        <v>2003</v>
      </c>
      <c r="E106" s="203" t="s">
        <v>1766</v>
      </c>
      <c r="F106" s="184" t="s">
        <v>1767</v>
      </c>
      <c r="G106" s="184" t="s">
        <v>1768</v>
      </c>
      <c r="H106" s="184" t="s">
        <v>106</v>
      </c>
      <c r="I106" s="28">
        <v>15.0</v>
      </c>
      <c r="J106" s="184" t="s">
        <v>1522</v>
      </c>
      <c r="K106" s="218"/>
      <c r="L106" s="184" t="s">
        <v>1497</v>
      </c>
      <c r="M106" s="186" t="s">
        <v>1498</v>
      </c>
      <c r="N106" s="1"/>
    </row>
    <row r="107" ht="29.25" hidden="1" customHeight="1">
      <c r="A107" s="1"/>
      <c r="B107" s="202">
        <f t="shared" si="2"/>
        <v>105</v>
      </c>
      <c r="C107" s="181">
        <v>37980.0</v>
      </c>
      <c r="D107" s="182">
        <f t="shared" si="1"/>
        <v>2003</v>
      </c>
      <c r="E107" s="203" t="s">
        <v>1769</v>
      </c>
      <c r="F107" s="184" t="s">
        <v>1770</v>
      </c>
      <c r="G107" s="184" t="s">
        <v>1771</v>
      </c>
      <c r="H107" s="184" t="s">
        <v>106</v>
      </c>
      <c r="I107" s="28">
        <v>15.0</v>
      </c>
      <c r="J107" s="184" t="s">
        <v>1522</v>
      </c>
      <c r="K107" s="218"/>
      <c r="L107" s="184" t="s">
        <v>1497</v>
      </c>
      <c r="M107" s="186" t="s">
        <v>1527</v>
      </c>
      <c r="N107" s="1"/>
    </row>
    <row r="108" ht="27.0" hidden="1" customHeight="1">
      <c r="A108" s="1"/>
      <c r="B108" s="202">
        <f t="shared" si="2"/>
        <v>106</v>
      </c>
      <c r="C108" s="181">
        <v>38035.0</v>
      </c>
      <c r="D108" s="182">
        <f t="shared" si="1"/>
        <v>2004</v>
      </c>
      <c r="E108" s="203" t="s">
        <v>1772</v>
      </c>
      <c r="F108" s="184" t="s">
        <v>1773</v>
      </c>
      <c r="G108" s="184" t="s">
        <v>1774</v>
      </c>
      <c r="H108" s="184" t="s">
        <v>106</v>
      </c>
      <c r="I108" s="28">
        <v>15.0</v>
      </c>
      <c r="J108" s="184" t="s">
        <v>1522</v>
      </c>
      <c r="K108" s="218"/>
      <c r="L108" s="184" t="s">
        <v>1497</v>
      </c>
      <c r="M108" s="186" t="s">
        <v>1527</v>
      </c>
      <c r="N108" s="1"/>
    </row>
    <row r="109" ht="15.0" hidden="1" customHeight="1">
      <c r="A109" s="1"/>
      <c r="B109" s="202">
        <f t="shared" si="2"/>
        <v>107</v>
      </c>
      <c r="C109" s="181">
        <v>38112.0</v>
      </c>
      <c r="D109" s="182">
        <f t="shared" si="1"/>
        <v>2004</v>
      </c>
      <c r="E109" s="203" t="s">
        <v>1775</v>
      </c>
      <c r="F109" s="184" t="s">
        <v>1767</v>
      </c>
      <c r="G109" s="184" t="s">
        <v>1776</v>
      </c>
      <c r="H109" s="184" t="s">
        <v>106</v>
      </c>
      <c r="I109" s="28">
        <v>15.0</v>
      </c>
      <c r="J109" s="184" t="s">
        <v>1522</v>
      </c>
      <c r="K109" s="218"/>
      <c r="L109" s="184" t="s">
        <v>1497</v>
      </c>
      <c r="M109" s="186" t="s">
        <v>1498</v>
      </c>
      <c r="N109" s="1"/>
    </row>
    <row r="110" ht="30.0" hidden="1" customHeight="1">
      <c r="A110" s="1"/>
      <c r="B110" s="202">
        <f t="shared" si="2"/>
        <v>108</v>
      </c>
      <c r="C110" s="181">
        <v>38210.0</v>
      </c>
      <c r="D110" s="182">
        <f t="shared" si="1"/>
        <v>2004</v>
      </c>
      <c r="E110" s="203" t="s">
        <v>1777</v>
      </c>
      <c r="F110" s="184" t="s">
        <v>1778</v>
      </c>
      <c r="G110" s="184" t="s">
        <v>1779</v>
      </c>
      <c r="H110" s="184" t="s">
        <v>106</v>
      </c>
      <c r="I110" s="28">
        <v>15.0</v>
      </c>
      <c r="J110" s="184" t="s">
        <v>1509</v>
      </c>
      <c r="K110" s="218"/>
      <c r="L110" s="184" t="s">
        <v>1497</v>
      </c>
      <c r="M110" s="186" t="s">
        <v>804</v>
      </c>
      <c r="N110" s="1"/>
    </row>
    <row r="111" ht="36.75" hidden="1" customHeight="1">
      <c r="A111" s="1"/>
      <c r="B111" s="202">
        <f t="shared" si="2"/>
        <v>109</v>
      </c>
      <c r="C111" s="181">
        <v>38215.0</v>
      </c>
      <c r="D111" s="182">
        <f t="shared" si="1"/>
        <v>2004</v>
      </c>
      <c r="E111" s="203" t="s">
        <v>1780</v>
      </c>
      <c r="F111" s="184" t="s">
        <v>1781</v>
      </c>
      <c r="G111" s="184" t="s">
        <v>1782</v>
      </c>
      <c r="H111" s="184" t="s">
        <v>106</v>
      </c>
      <c r="I111" s="28">
        <v>15.0</v>
      </c>
      <c r="J111" s="184" t="s">
        <v>1496</v>
      </c>
      <c r="K111" s="218"/>
      <c r="L111" s="184" t="s">
        <v>1497</v>
      </c>
      <c r="M111" s="186" t="s">
        <v>804</v>
      </c>
      <c r="N111" s="1"/>
    </row>
    <row r="112" ht="30.0" hidden="1" customHeight="1">
      <c r="A112" s="1"/>
      <c r="B112" s="202">
        <f t="shared" si="2"/>
        <v>110</v>
      </c>
      <c r="C112" s="181">
        <v>38352.0</v>
      </c>
      <c r="D112" s="182">
        <f t="shared" si="1"/>
        <v>2004</v>
      </c>
      <c r="E112" s="203" t="s">
        <v>1783</v>
      </c>
      <c r="F112" s="184" t="s">
        <v>1784</v>
      </c>
      <c r="G112" s="184" t="s">
        <v>1785</v>
      </c>
      <c r="H112" s="184" t="s">
        <v>106</v>
      </c>
      <c r="I112" s="28">
        <v>15.0</v>
      </c>
      <c r="J112" s="184" t="s">
        <v>1496</v>
      </c>
      <c r="K112" s="218"/>
      <c r="L112" s="184" t="s">
        <v>1497</v>
      </c>
      <c r="M112" s="186" t="s">
        <v>1498</v>
      </c>
      <c r="N112" s="1"/>
    </row>
    <row r="113" ht="15.0" hidden="1" customHeight="1">
      <c r="A113" s="1"/>
      <c r="B113" s="202">
        <f t="shared" si="2"/>
        <v>111</v>
      </c>
      <c r="C113" s="181">
        <v>38412.0</v>
      </c>
      <c r="D113" s="182">
        <f t="shared" si="1"/>
        <v>2005</v>
      </c>
      <c r="E113" s="203" t="s">
        <v>1786</v>
      </c>
      <c r="F113" s="184" t="s">
        <v>1787</v>
      </c>
      <c r="G113" s="184" t="s">
        <v>1788</v>
      </c>
      <c r="H113" s="184" t="s">
        <v>106</v>
      </c>
      <c r="I113" s="28">
        <v>15.0</v>
      </c>
      <c r="J113" s="184" t="s">
        <v>1509</v>
      </c>
      <c r="K113" s="218"/>
      <c r="L113" s="184" t="s">
        <v>1497</v>
      </c>
      <c r="M113" s="186" t="s">
        <v>804</v>
      </c>
      <c r="N113" s="1"/>
    </row>
    <row r="114" ht="19.5" hidden="1" customHeight="1">
      <c r="A114" s="1"/>
      <c r="B114" s="202">
        <f t="shared" si="2"/>
        <v>112</v>
      </c>
      <c r="C114" s="181">
        <v>38507.0</v>
      </c>
      <c r="D114" s="182">
        <f t="shared" si="1"/>
        <v>2005</v>
      </c>
      <c r="E114" s="203" t="s">
        <v>1789</v>
      </c>
      <c r="F114" s="184" t="s">
        <v>1790</v>
      </c>
      <c r="G114" s="184" t="s">
        <v>1791</v>
      </c>
      <c r="H114" s="184" t="s">
        <v>106</v>
      </c>
      <c r="I114" s="28">
        <v>15.0</v>
      </c>
      <c r="J114" s="184" t="s">
        <v>1496</v>
      </c>
      <c r="K114" s="218"/>
      <c r="L114" s="184" t="s">
        <v>1497</v>
      </c>
      <c r="M114" s="186" t="s">
        <v>1498</v>
      </c>
      <c r="N114" s="1"/>
    </row>
    <row r="115" ht="30.0" hidden="1" customHeight="1">
      <c r="A115" s="1"/>
      <c r="B115" s="202">
        <f t="shared" si="2"/>
        <v>113</v>
      </c>
      <c r="C115" s="181">
        <v>38802.0</v>
      </c>
      <c r="D115" s="182">
        <f t="shared" si="1"/>
        <v>2006</v>
      </c>
      <c r="E115" s="203" t="s">
        <v>1792</v>
      </c>
      <c r="F115" s="184" t="s">
        <v>1793</v>
      </c>
      <c r="G115" s="184" t="s">
        <v>1794</v>
      </c>
      <c r="H115" s="184" t="s">
        <v>106</v>
      </c>
      <c r="I115" s="28">
        <v>15.0</v>
      </c>
      <c r="J115" s="184" t="s">
        <v>1522</v>
      </c>
      <c r="K115" s="218"/>
      <c r="L115" s="184" t="s">
        <v>1497</v>
      </c>
      <c r="M115" s="186" t="s">
        <v>1498</v>
      </c>
      <c r="N115" s="1"/>
    </row>
    <row r="116" ht="30.0" hidden="1" customHeight="1">
      <c r="A116" s="1"/>
      <c r="B116" s="202">
        <f t="shared" si="2"/>
        <v>114</v>
      </c>
      <c r="C116" s="181">
        <v>39100.0</v>
      </c>
      <c r="D116" s="182">
        <f t="shared" si="1"/>
        <v>2007</v>
      </c>
      <c r="E116" s="203" t="s">
        <v>1795</v>
      </c>
      <c r="F116" s="184" t="s">
        <v>1796</v>
      </c>
      <c r="G116" s="184" t="s">
        <v>1797</v>
      </c>
      <c r="H116" s="184" t="s">
        <v>106</v>
      </c>
      <c r="I116" s="28">
        <v>15.0</v>
      </c>
      <c r="J116" s="184" t="s">
        <v>1522</v>
      </c>
      <c r="K116" s="218"/>
      <c r="L116" s="184" t="s">
        <v>1497</v>
      </c>
      <c r="M116" s="186" t="s">
        <v>1527</v>
      </c>
      <c r="N116" s="1"/>
    </row>
    <row r="117" ht="30.0" hidden="1" customHeight="1">
      <c r="A117" s="1"/>
      <c r="B117" s="202">
        <f t="shared" si="2"/>
        <v>115</v>
      </c>
      <c r="C117" s="181">
        <v>39158.0</v>
      </c>
      <c r="D117" s="182">
        <f t="shared" si="1"/>
        <v>2007</v>
      </c>
      <c r="E117" s="203" t="s">
        <v>1798</v>
      </c>
      <c r="F117" s="184" t="s">
        <v>1799</v>
      </c>
      <c r="G117" s="184" t="s">
        <v>1800</v>
      </c>
      <c r="H117" s="184" t="s">
        <v>106</v>
      </c>
      <c r="I117" s="28">
        <v>15.0</v>
      </c>
      <c r="J117" s="184" t="s">
        <v>1522</v>
      </c>
      <c r="K117" s="218"/>
      <c r="L117" s="184" t="s">
        <v>1497</v>
      </c>
      <c r="M117" s="186" t="s">
        <v>1498</v>
      </c>
      <c r="N117" s="1"/>
    </row>
    <row r="118" ht="15.0" hidden="1" customHeight="1">
      <c r="A118" s="1"/>
      <c r="B118" s="202">
        <f t="shared" si="2"/>
        <v>116</v>
      </c>
      <c r="C118" s="181">
        <v>39232.0</v>
      </c>
      <c r="D118" s="182">
        <f t="shared" si="1"/>
        <v>2007</v>
      </c>
      <c r="E118" s="203" t="s">
        <v>1801</v>
      </c>
      <c r="F118" s="184" t="s">
        <v>1802</v>
      </c>
      <c r="G118" s="184" t="s">
        <v>1803</v>
      </c>
      <c r="H118" s="184" t="s">
        <v>106</v>
      </c>
      <c r="I118" s="28">
        <v>15.0</v>
      </c>
      <c r="J118" s="184" t="s">
        <v>1509</v>
      </c>
      <c r="K118" s="218"/>
      <c r="L118" s="184" t="s">
        <v>1497</v>
      </c>
      <c r="M118" s="186" t="s">
        <v>1498</v>
      </c>
      <c r="N118" s="1"/>
    </row>
    <row r="119" ht="30.0" hidden="1" customHeight="1">
      <c r="A119" s="1"/>
      <c r="B119" s="202">
        <f t="shared" si="2"/>
        <v>117</v>
      </c>
      <c r="C119" s="181">
        <v>39266.0</v>
      </c>
      <c r="D119" s="182">
        <f t="shared" si="1"/>
        <v>2007</v>
      </c>
      <c r="E119" s="203" t="s">
        <v>1804</v>
      </c>
      <c r="F119" s="184" t="s">
        <v>1805</v>
      </c>
      <c r="G119" s="184" t="s">
        <v>1806</v>
      </c>
      <c r="H119" s="184" t="s">
        <v>106</v>
      </c>
      <c r="I119" s="28">
        <v>15.0</v>
      </c>
      <c r="J119" s="184" t="s">
        <v>1496</v>
      </c>
      <c r="K119" s="218"/>
      <c r="L119" s="184" t="s">
        <v>1497</v>
      </c>
      <c r="M119" s="186" t="s">
        <v>1498</v>
      </c>
      <c r="N119" s="1"/>
    </row>
    <row r="120" ht="15.0" hidden="1" customHeight="1">
      <c r="A120" s="1"/>
      <c r="B120" s="202">
        <f t="shared" si="2"/>
        <v>118</v>
      </c>
      <c r="C120" s="181">
        <v>39316.0</v>
      </c>
      <c r="D120" s="182">
        <f t="shared" si="1"/>
        <v>2007</v>
      </c>
      <c r="E120" s="203" t="s">
        <v>1807</v>
      </c>
      <c r="F120" s="184" t="s">
        <v>1808</v>
      </c>
      <c r="G120" s="184" t="s">
        <v>1809</v>
      </c>
      <c r="H120" s="184" t="s">
        <v>106</v>
      </c>
      <c r="I120" s="28">
        <v>15.0</v>
      </c>
      <c r="J120" s="184" t="s">
        <v>1509</v>
      </c>
      <c r="K120" s="218"/>
      <c r="L120" s="184" t="s">
        <v>1497</v>
      </c>
      <c r="M120" s="186" t="s">
        <v>804</v>
      </c>
      <c r="N120" s="1"/>
    </row>
    <row r="121" ht="39.0" hidden="1" customHeight="1">
      <c r="A121" s="1"/>
      <c r="B121" s="202">
        <f t="shared" si="2"/>
        <v>119</v>
      </c>
      <c r="C121" s="181">
        <v>39364.0</v>
      </c>
      <c r="D121" s="182">
        <f t="shared" si="1"/>
        <v>2007</v>
      </c>
      <c r="E121" s="203" t="s">
        <v>1810</v>
      </c>
      <c r="F121" s="184" t="s">
        <v>1811</v>
      </c>
      <c r="G121" s="184" t="s">
        <v>1812</v>
      </c>
      <c r="H121" s="184" t="s">
        <v>106</v>
      </c>
      <c r="I121" s="28">
        <v>15.0</v>
      </c>
      <c r="J121" s="184" t="s">
        <v>1509</v>
      </c>
      <c r="K121" s="218"/>
      <c r="L121" s="184" t="s">
        <v>1497</v>
      </c>
      <c r="M121" s="186" t="s">
        <v>804</v>
      </c>
      <c r="N121" s="1"/>
    </row>
    <row r="122" ht="41.25" hidden="1" customHeight="1">
      <c r="A122" s="1"/>
      <c r="B122" s="202">
        <f t="shared" si="2"/>
        <v>120</v>
      </c>
      <c r="C122" s="181">
        <v>39379.0</v>
      </c>
      <c r="D122" s="182">
        <f t="shared" si="1"/>
        <v>2007</v>
      </c>
      <c r="E122" s="203" t="s">
        <v>1813</v>
      </c>
      <c r="F122" s="184" t="s">
        <v>1814</v>
      </c>
      <c r="G122" s="184" t="s">
        <v>1815</v>
      </c>
      <c r="H122" s="184" t="s">
        <v>106</v>
      </c>
      <c r="I122" s="28">
        <v>15.0</v>
      </c>
      <c r="J122" s="184" t="s">
        <v>1509</v>
      </c>
      <c r="K122" s="218"/>
      <c r="L122" s="184" t="s">
        <v>1497</v>
      </c>
      <c r="M122" s="186" t="s">
        <v>804</v>
      </c>
      <c r="N122" s="1"/>
    </row>
    <row r="123" ht="30.0" hidden="1" customHeight="1">
      <c r="A123" s="1"/>
      <c r="B123" s="202">
        <f t="shared" si="2"/>
        <v>121</v>
      </c>
      <c r="C123" s="181">
        <v>39457.0</v>
      </c>
      <c r="D123" s="182">
        <f t="shared" si="1"/>
        <v>2008</v>
      </c>
      <c r="E123" s="203" t="s">
        <v>1816</v>
      </c>
      <c r="F123" s="184" t="s">
        <v>1817</v>
      </c>
      <c r="G123" s="184" t="s">
        <v>1818</v>
      </c>
      <c r="H123" s="184" t="s">
        <v>106</v>
      </c>
      <c r="I123" s="28">
        <v>15.0</v>
      </c>
      <c r="J123" s="184" t="s">
        <v>1496</v>
      </c>
      <c r="K123" s="184">
        <v>584.0</v>
      </c>
      <c r="L123" s="184" t="s">
        <v>1497</v>
      </c>
      <c r="M123" s="186" t="s">
        <v>1498</v>
      </c>
      <c r="N123" s="1"/>
    </row>
    <row r="124" ht="15.0" hidden="1" customHeight="1">
      <c r="A124" s="1"/>
      <c r="B124" s="202">
        <f t="shared" si="2"/>
        <v>122</v>
      </c>
      <c r="C124" s="181">
        <v>39499.0</v>
      </c>
      <c r="D124" s="182">
        <f t="shared" si="1"/>
        <v>2008</v>
      </c>
      <c r="E124" s="203" t="s">
        <v>1819</v>
      </c>
      <c r="F124" s="184" t="s">
        <v>1820</v>
      </c>
      <c r="G124" s="184" t="s">
        <v>1821</v>
      </c>
      <c r="H124" s="184" t="s">
        <v>106</v>
      </c>
      <c r="I124" s="28">
        <v>15.0</v>
      </c>
      <c r="J124" s="184" t="s">
        <v>1496</v>
      </c>
      <c r="K124" s="184">
        <v>278.0</v>
      </c>
      <c r="L124" s="184" t="s">
        <v>1497</v>
      </c>
      <c r="M124" s="186" t="s">
        <v>1498</v>
      </c>
      <c r="N124" s="1"/>
    </row>
    <row r="125" ht="15.0" hidden="1" customHeight="1">
      <c r="A125" s="1"/>
      <c r="B125" s="202">
        <f t="shared" si="2"/>
        <v>123</v>
      </c>
      <c r="C125" s="181">
        <v>39514.0</v>
      </c>
      <c r="D125" s="182">
        <f t="shared" si="1"/>
        <v>2008</v>
      </c>
      <c r="E125" s="203" t="s">
        <v>1822</v>
      </c>
      <c r="F125" s="184" t="s">
        <v>1823</v>
      </c>
      <c r="G125" s="184" t="s">
        <v>1824</v>
      </c>
      <c r="H125" s="184" t="s">
        <v>106</v>
      </c>
      <c r="I125" s="28">
        <v>15.0</v>
      </c>
      <c r="J125" s="184" t="s">
        <v>1496</v>
      </c>
      <c r="K125" s="184">
        <v>300.0</v>
      </c>
      <c r="L125" s="184" t="s">
        <v>1497</v>
      </c>
      <c r="M125" s="186" t="s">
        <v>1498</v>
      </c>
      <c r="N125" s="1"/>
    </row>
    <row r="126" ht="30.0" hidden="1" customHeight="1">
      <c r="A126" s="1"/>
      <c r="B126" s="202">
        <f t="shared" si="2"/>
        <v>124</v>
      </c>
      <c r="C126" s="181">
        <v>39530.0</v>
      </c>
      <c r="D126" s="182">
        <f t="shared" si="1"/>
        <v>2008</v>
      </c>
      <c r="E126" s="220" t="str">
        <f>hyperlink("https://www.amazon.com/Happier-Learn-Secrets-Lasting-Fulfillment-ebook/dp/B003XNTU5M/ref=sr_1_1?s=digital-text&amp;ie=UTF8&amp;qid=1514755225&amp;sr=1-1&amp;keywords=tal+ben+shahar","Happier: Learn the Secrets to Daily Joy and Lasting Fulfillment")</f>
        <v>Happier: Learn the Secrets to Daily Joy and Lasting Fulfillment</v>
      </c>
      <c r="F126" s="184" t="s">
        <v>1825</v>
      </c>
      <c r="G126" s="184" t="s">
        <v>1826</v>
      </c>
      <c r="H126" s="184" t="s">
        <v>106</v>
      </c>
      <c r="I126" s="28">
        <v>15.0</v>
      </c>
      <c r="J126" s="184" t="s">
        <v>1496</v>
      </c>
      <c r="K126" s="184">
        <v>168.0</v>
      </c>
      <c r="L126" s="184" t="s">
        <v>1497</v>
      </c>
      <c r="M126" s="186" t="s">
        <v>1498</v>
      </c>
      <c r="N126" s="1"/>
    </row>
    <row r="127" ht="15.0" hidden="1" customHeight="1">
      <c r="A127" s="1"/>
      <c r="B127" s="202">
        <f t="shared" si="2"/>
        <v>125</v>
      </c>
      <c r="C127" s="181">
        <v>39532.0</v>
      </c>
      <c r="D127" s="182">
        <f t="shared" si="1"/>
        <v>2008</v>
      </c>
      <c r="E127" s="203" t="s">
        <v>1827</v>
      </c>
      <c r="F127" s="184" t="s">
        <v>1823</v>
      </c>
      <c r="G127" s="184" t="s">
        <v>1828</v>
      </c>
      <c r="H127" s="184" t="s">
        <v>106</v>
      </c>
      <c r="I127" s="28">
        <v>15.0</v>
      </c>
      <c r="J127" s="184" t="s">
        <v>1496</v>
      </c>
      <c r="K127" s="184">
        <v>262.0</v>
      </c>
      <c r="L127" s="184" t="s">
        <v>1497</v>
      </c>
      <c r="M127" s="186" t="s">
        <v>1498</v>
      </c>
      <c r="N127" s="1"/>
    </row>
    <row r="128" ht="26.25" hidden="1" customHeight="1">
      <c r="A128" s="1"/>
      <c r="B128" s="202">
        <f t="shared" si="2"/>
        <v>126</v>
      </c>
      <c r="C128" s="181">
        <v>39581.0</v>
      </c>
      <c r="D128" s="182">
        <f t="shared" si="1"/>
        <v>2008</v>
      </c>
      <c r="E128" s="203" t="s">
        <v>1829</v>
      </c>
      <c r="F128" s="184" t="s">
        <v>1830</v>
      </c>
      <c r="G128" s="184" t="s">
        <v>1831</v>
      </c>
      <c r="H128" s="184" t="s">
        <v>106</v>
      </c>
      <c r="I128" s="28">
        <v>15.0</v>
      </c>
      <c r="J128" s="184" t="s">
        <v>1496</v>
      </c>
      <c r="K128" s="184">
        <v>252.0</v>
      </c>
      <c r="L128" s="184" t="s">
        <v>1497</v>
      </c>
      <c r="M128" s="186" t="s">
        <v>1498</v>
      </c>
      <c r="N128" s="1"/>
    </row>
    <row r="129" ht="30.0" hidden="1" customHeight="1">
      <c r="A129" s="1"/>
      <c r="B129" s="202">
        <f t="shared" si="2"/>
        <v>127</v>
      </c>
      <c r="C129" s="181">
        <v>39586.0</v>
      </c>
      <c r="D129" s="182">
        <f t="shared" si="1"/>
        <v>2008</v>
      </c>
      <c r="E129" s="203" t="s">
        <v>1832</v>
      </c>
      <c r="F129" s="184" t="s">
        <v>1833</v>
      </c>
      <c r="G129" s="184" t="s">
        <v>1834</v>
      </c>
      <c r="H129" s="184" t="s">
        <v>106</v>
      </c>
      <c r="I129" s="28">
        <v>15.0</v>
      </c>
      <c r="J129" s="184" t="s">
        <v>1760</v>
      </c>
      <c r="K129" s="184">
        <v>311.0</v>
      </c>
      <c r="L129" s="184" t="s">
        <v>1497</v>
      </c>
      <c r="M129" s="186" t="s">
        <v>1498</v>
      </c>
      <c r="N129" s="1"/>
    </row>
    <row r="130" ht="39.75" hidden="1" customHeight="1">
      <c r="A130" s="1"/>
      <c r="B130" s="202">
        <f t="shared" si="2"/>
        <v>128</v>
      </c>
      <c r="C130" s="181">
        <v>39607.0</v>
      </c>
      <c r="D130" s="182">
        <f t="shared" si="1"/>
        <v>2008</v>
      </c>
      <c r="E130" s="203" t="s">
        <v>1835</v>
      </c>
      <c r="F130" s="184" t="s">
        <v>1836</v>
      </c>
      <c r="G130" s="184" t="s">
        <v>1837</v>
      </c>
      <c r="H130" s="184" t="s">
        <v>106</v>
      </c>
      <c r="I130" s="28">
        <v>15.0</v>
      </c>
      <c r="J130" s="184" t="s">
        <v>1760</v>
      </c>
      <c r="K130" s="184">
        <v>475.0</v>
      </c>
      <c r="L130" s="184" t="s">
        <v>1497</v>
      </c>
      <c r="M130" s="186" t="s">
        <v>1527</v>
      </c>
      <c r="N130" s="1"/>
    </row>
    <row r="131" ht="39.75" hidden="1" customHeight="1">
      <c r="A131" s="1"/>
      <c r="B131" s="202">
        <f t="shared" si="2"/>
        <v>129</v>
      </c>
      <c r="C131" s="181">
        <v>39695.0</v>
      </c>
      <c r="D131" s="182">
        <f t="shared" si="1"/>
        <v>2008</v>
      </c>
      <c r="E131" s="203" t="s">
        <v>1838</v>
      </c>
      <c r="F131" s="184" t="s">
        <v>1839</v>
      </c>
      <c r="G131" s="184" t="s">
        <v>1840</v>
      </c>
      <c r="H131" s="184" t="s">
        <v>106</v>
      </c>
      <c r="I131" s="28">
        <v>15.0</v>
      </c>
      <c r="J131" s="184" t="s">
        <v>1560</v>
      </c>
      <c r="K131" s="184">
        <v>224.0</v>
      </c>
      <c r="L131" s="184" t="s">
        <v>1526</v>
      </c>
      <c r="M131" s="186" t="s">
        <v>1498</v>
      </c>
      <c r="N131" s="1"/>
    </row>
    <row r="132" ht="39.75" hidden="1" customHeight="1">
      <c r="A132" s="1"/>
      <c r="B132" s="202">
        <f t="shared" si="2"/>
        <v>130</v>
      </c>
      <c r="C132" s="181">
        <v>39720.0</v>
      </c>
      <c r="D132" s="182">
        <f t="shared" si="1"/>
        <v>2008</v>
      </c>
      <c r="E132" s="203" t="s">
        <v>1841</v>
      </c>
      <c r="F132" s="184" t="s">
        <v>1842</v>
      </c>
      <c r="G132" s="184" t="s">
        <v>1843</v>
      </c>
      <c r="H132" s="184" t="s">
        <v>106</v>
      </c>
      <c r="I132" s="28">
        <v>15.0</v>
      </c>
      <c r="J132" s="184" t="s">
        <v>1760</v>
      </c>
      <c r="K132" s="184">
        <v>300.0</v>
      </c>
      <c r="L132" s="184" t="s">
        <v>1497</v>
      </c>
      <c r="M132" s="186" t="s">
        <v>1498</v>
      </c>
      <c r="N132" s="1"/>
    </row>
    <row r="133" ht="30.0" hidden="1" customHeight="1">
      <c r="A133" s="1"/>
      <c r="B133" s="202">
        <f t="shared" si="2"/>
        <v>131</v>
      </c>
      <c r="C133" s="181">
        <v>39727.0</v>
      </c>
      <c r="D133" s="182">
        <f t="shared" si="1"/>
        <v>2008</v>
      </c>
      <c r="E133" s="203" t="s">
        <v>1844</v>
      </c>
      <c r="F133" s="184" t="s">
        <v>1845</v>
      </c>
      <c r="G133" s="184" t="s">
        <v>1846</v>
      </c>
      <c r="H133" s="184" t="s">
        <v>106</v>
      </c>
      <c r="I133" s="28">
        <v>15.0</v>
      </c>
      <c r="J133" s="184" t="s">
        <v>1509</v>
      </c>
      <c r="K133" s="184" t="s">
        <v>1847</v>
      </c>
      <c r="L133" s="184" t="s">
        <v>1497</v>
      </c>
      <c r="M133" s="186" t="s">
        <v>1527</v>
      </c>
      <c r="N133" s="1"/>
    </row>
    <row r="134" ht="15.0" hidden="1" customHeight="1">
      <c r="A134" s="1"/>
      <c r="B134" s="202">
        <f t="shared" si="2"/>
        <v>132</v>
      </c>
      <c r="C134" s="181">
        <v>39753.0</v>
      </c>
      <c r="D134" s="182">
        <f t="shared" si="1"/>
        <v>2008</v>
      </c>
      <c r="E134" s="203" t="s">
        <v>1848</v>
      </c>
      <c r="F134" s="184" t="s">
        <v>1849</v>
      </c>
      <c r="G134" s="184" t="s">
        <v>1850</v>
      </c>
      <c r="H134" s="184" t="s">
        <v>106</v>
      </c>
      <c r="I134" s="28">
        <v>15.0</v>
      </c>
      <c r="J134" s="184" t="s">
        <v>1496</v>
      </c>
      <c r="K134" s="184">
        <v>600.0</v>
      </c>
      <c r="L134" s="184" t="s">
        <v>1497</v>
      </c>
      <c r="M134" s="186" t="s">
        <v>1498</v>
      </c>
      <c r="N134" s="1"/>
    </row>
    <row r="135" ht="30.0" hidden="1" customHeight="1">
      <c r="A135" s="1"/>
      <c r="B135" s="202">
        <f t="shared" si="2"/>
        <v>133</v>
      </c>
      <c r="C135" s="181">
        <v>39778.0</v>
      </c>
      <c r="D135" s="182">
        <f t="shared" si="1"/>
        <v>2008</v>
      </c>
      <c r="E135" s="203" t="s">
        <v>1851</v>
      </c>
      <c r="F135" s="184" t="s">
        <v>1790</v>
      </c>
      <c r="G135" s="184" t="s">
        <v>1852</v>
      </c>
      <c r="H135" s="184" t="s">
        <v>106</v>
      </c>
      <c r="I135" s="28">
        <v>15.0</v>
      </c>
      <c r="J135" s="184" t="s">
        <v>1496</v>
      </c>
      <c r="K135" s="184">
        <v>320.0</v>
      </c>
      <c r="L135" s="184" t="s">
        <v>1526</v>
      </c>
      <c r="M135" s="186" t="s">
        <v>1498</v>
      </c>
      <c r="N135" s="1"/>
    </row>
    <row r="136" ht="30.0" hidden="1" customHeight="1">
      <c r="A136" s="1"/>
      <c r="B136" s="202">
        <f t="shared" si="2"/>
        <v>134</v>
      </c>
      <c r="C136" s="181">
        <v>39782.0</v>
      </c>
      <c r="D136" s="182">
        <f t="shared" si="1"/>
        <v>2008</v>
      </c>
      <c r="E136" s="203" t="s">
        <v>1853</v>
      </c>
      <c r="F136" s="184" t="s">
        <v>1854</v>
      </c>
      <c r="G136" s="184" t="s">
        <v>1855</v>
      </c>
      <c r="H136" s="184" t="s">
        <v>106</v>
      </c>
      <c r="I136" s="28">
        <v>15.0</v>
      </c>
      <c r="J136" s="184" t="s">
        <v>1522</v>
      </c>
      <c r="K136" s="184">
        <v>171.0</v>
      </c>
      <c r="L136" s="184" t="s">
        <v>1497</v>
      </c>
      <c r="M136" s="186" t="s">
        <v>1498</v>
      </c>
      <c r="N136" s="1"/>
    </row>
    <row r="137" ht="26.25" hidden="1" customHeight="1">
      <c r="A137" s="1"/>
      <c r="B137" s="202">
        <f t="shared" si="2"/>
        <v>135</v>
      </c>
      <c r="C137" s="181">
        <v>39805.0</v>
      </c>
      <c r="D137" s="182">
        <f t="shared" si="1"/>
        <v>2008</v>
      </c>
      <c r="E137" s="203" t="s">
        <v>1856</v>
      </c>
      <c r="F137" s="184" t="s">
        <v>1857</v>
      </c>
      <c r="G137" s="184" t="s">
        <v>1858</v>
      </c>
      <c r="H137" s="184" t="s">
        <v>106</v>
      </c>
      <c r="I137" s="28">
        <v>15.0</v>
      </c>
      <c r="J137" s="184" t="s">
        <v>1496</v>
      </c>
      <c r="K137" s="184">
        <v>224.0</v>
      </c>
      <c r="L137" s="184" t="s">
        <v>1526</v>
      </c>
      <c r="M137" s="186" t="s">
        <v>1498</v>
      </c>
      <c r="N137" s="1"/>
    </row>
    <row r="138" ht="26.25" hidden="1" customHeight="1">
      <c r="A138" s="1"/>
      <c r="B138" s="202">
        <f t="shared" si="2"/>
        <v>136</v>
      </c>
      <c r="C138" s="181">
        <v>39844.0</v>
      </c>
      <c r="D138" s="182">
        <f t="shared" si="1"/>
        <v>2009</v>
      </c>
      <c r="E138" s="203" t="s">
        <v>557</v>
      </c>
      <c r="F138" s="184" t="s">
        <v>1859</v>
      </c>
      <c r="G138" s="184" t="s">
        <v>1860</v>
      </c>
      <c r="H138" s="184" t="s">
        <v>106</v>
      </c>
      <c r="I138" s="28">
        <v>15.0</v>
      </c>
      <c r="J138" s="184" t="s">
        <v>1509</v>
      </c>
      <c r="K138" s="184">
        <v>218.0</v>
      </c>
      <c r="L138" s="184" t="s">
        <v>1497</v>
      </c>
      <c r="M138" s="186" t="s">
        <v>1498</v>
      </c>
      <c r="N138" s="1"/>
    </row>
    <row r="139" ht="30.0" hidden="1" customHeight="1">
      <c r="A139" s="1"/>
      <c r="B139" s="202">
        <f t="shared" si="2"/>
        <v>137</v>
      </c>
      <c r="C139" s="181">
        <v>39886.0</v>
      </c>
      <c r="D139" s="182">
        <f t="shared" si="1"/>
        <v>2009</v>
      </c>
      <c r="E139" s="203" t="s">
        <v>1861</v>
      </c>
      <c r="F139" s="184" t="s">
        <v>1862</v>
      </c>
      <c r="G139" s="184" t="s">
        <v>1863</v>
      </c>
      <c r="H139" s="184" t="s">
        <v>106</v>
      </c>
      <c r="I139" s="28">
        <v>15.0</v>
      </c>
      <c r="J139" s="184" t="s">
        <v>1522</v>
      </c>
      <c r="K139" s="184">
        <v>191.0</v>
      </c>
      <c r="L139" s="184" t="s">
        <v>1497</v>
      </c>
      <c r="M139" s="186" t="s">
        <v>1498</v>
      </c>
      <c r="N139" s="1"/>
    </row>
    <row r="140" ht="39.75" hidden="1" customHeight="1">
      <c r="A140" s="1"/>
      <c r="B140" s="202">
        <f t="shared" si="2"/>
        <v>138</v>
      </c>
      <c r="C140" s="181">
        <v>40131.0</v>
      </c>
      <c r="D140" s="182">
        <f t="shared" si="1"/>
        <v>2009</v>
      </c>
      <c r="E140" s="203" t="s">
        <v>1864</v>
      </c>
      <c r="F140" s="184" t="s">
        <v>1865</v>
      </c>
      <c r="G140" s="184" t="s">
        <v>1866</v>
      </c>
      <c r="H140" s="184" t="s">
        <v>106</v>
      </c>
      <c r="I140" s="28">
        <v>15.0</v>
      </c>
      <c r="J140" s="184" t="s">
        <v>1502</v>
      </c>
      <c r="K140" s="184">
        <v>400.0</v>
      </c>
      <c r="L140" s="184" t="s">
        <v>1497</v>
      </c>
      <c r="M140" s="186" t="s">
        <v>1498</v>
      </c>
      <c r="N140" s="1"/>
    </row>
    <row r="141" ht="27.75" hidden="1" customHeight="1">
      <c r="A141" s="1"/>
      <c r="B141" s="202">
        <f t="shared" si="2"/>
        <v>139</v>
      </c>
      <c r="C141" s="181">
        <v>40229.0</v>
      </c>
      <c r="D141" s="182">
        <f t="shared" si="1"/>
        <v>2010</v>
      </c>
      <c r="E141" s="203" t="s">
        <v>1867</v>
      </c>
      <c r="F141" s="184" t="s">
        <v>1868</v>
      </c>
      <c r="G141" s="184" t="s">
        <v>1869</v>
      </c>
      <c r="H141" s="184" t="s">
        <v>106</v>
      </c>
      <c r="I141" s="28">
        <v>15.0</v>
      </c>
      <c r="J141" s="184" t="s">
        <v>1509</v>
      </c>
      <c r="K141" s="184">
        <v>247.0</v>
      </c>
      <c r="L141" s="184" t="s">
        <v>1497</v>
      </c>
      <c r="M141" s="186" t="s">
        <v>1498</v>
      </c>
      <c r="N141" s="1"/>
    </row>
    <row r="142" ht="27.75" hidden="1" customHeight="1">
      <c r="A142" s="1"/>
      <c r="B142" s="202">
        <f t="shared" si="2"/>
        <v>140</v>
      </c>
      <c r="C142" s="181">
        <v>40818.0</v>
      </c>
      <c r="D142" s="182">
        <f t="shared" si="1"/>
        <v>2011</v>
      </c>
      <c r="E142" s="203" t="s">
        <v>1870</v>
      </c>
      <c r="F142" s="184" t="s">
        <v>1871</v>
      </c>
      <c r="G142" s="184" t="s">
        <v>1872</v>
      </c>
      <c r="H142" s="184" t="s">
        <v>106</v>
      </c>
      <c r="I142" s="28">
        <v>15.0</v>
      </c>
      <c r="J142" s="184" t="s">
        <v>1509</v>
      </c>
      <c r="K142" s="184">
        <v>576.0</v>
      </c>
      <c r="L142" s="184" t="s">
        <v>1526</v>
      </c>
      <c r="M142" s="186" t="s">
        <v>1498</v>
      </c>
      <c r="N142" s="1"/>
    </row>
    <row r="143" ht="40.5" hidden="1" customHeight="1">
      <c r="A143" s="1"/>
      <c r="B143" s="202">
        <f t="shared" si="2"/>
        <v>141</v>
      </c>
      <c r="C143" s="181">
        <v>41237.0</v>
      </c>
      <c r="D143" s="182">
        <f t="shared" si="1"/>
        <v>2012</v>
      </c>
      <c r="E143" s="203" t="s">
        <v>1873</v>
      </c>
      <c r="F143" s="184" t="s">
        <v>1874</v>
      </c>
      <c r="G143" s="184" t="s">
        <v>1875</v>
      </c>
      <c r="H143" s="184" t="s">
        <v>106</v>
      </c>
      <c r="I143" s="28">
        <v>15.0</v>
      </c>
      <c r="J143" s="184" t="s">
        <v>1522</v>
      </c>
      <c r="K143" s="184">
        <v>656.0</v>
      </c>
      <c r="L143" s="184" t="s">
        <v>1526</v>
      </c>
      <c r="M143" s="186" t="s">
        <v>1498</v>
      </c>
      <c r="N143" s="1"/>
    </row>
    <row r="144" ht="22.5" hidden="1" customHeight="1">
      <c r="A144" s="1"/>
      <c r="B144" s="202">
        <f t="shared" si="2"/>
        <v>142</v>
      </c>
      <c r="C144" s="181">
        <v>40983.0</v>
      </c>
      <c r="D144" s="182">
        <f t="shared" si="1"/>
        <v>2012</v>
      </c>
      <c r="E144" s="203" t="s">
        <v>1876</v>
      </c>
      <c r="F144" s="184" t="s">
        <v>1877</v>
      </c>
      <c r="G144" s="185" t="s">
        <v>1878</v>
      </c>
      <c r="H144" s="184" t="s">
        <v>106</v>
      </c>
      <c r="I144" s="28">
        <v>15.0</v>
      </c>
      <c r="J144" s="184" t="s">
        <v>1522</v>
      </c>
      <c r="K144" s="184">
        <v>272.0</v>
      </c>
      <c r="L144" s="184" t="s">
        <v>1526</v>
      </c>
      <c r="M144" s="186" t="s">
        <v>1498</v>
      </c>
      <c r="N144" s="1"/>
    </row>
    <row r="145" ht="40.5" hidden="1" customHeight="1">
      <c r="A145" s="1"/>
      <c r="B145" s="202">
        <f t="shared" si="2"/>
        <v>143</v>
      </c>
      <c r="C145" s="181">
        <v>41092.0</v>
      </c>
      <c r="D145" s="182">
        <f t="shared" si="1"/>
        <v>2012</v>
      </c>
      <c r="E145" s="203" t="s">
        <v>1879</v>
      </c>
      <c r="F145" s="184" t="s">
        <v>1880</v>
      </c>
      <c r="G145" s="184" t="s">
        <v>1881</v>
      </c>
      <c r="H145" s="184" t="s">
        <v>106</v>
      </c>
      <c r="I145" s="28">
        <v>15.0</v>
      </c>
      <c r="J145" s="184" t="s">
        <v>1522</v>
      </c>
      <c r="K145" s="184">
        <v>240.0</v>
      </c>
      <c r="L145" s="184" t="s">
        <v>1526</v>
      </c>
      <c r="M145" s="186" t="s">
        <v>1498</v>
      </c>
      <c r="N145" s="1"/>
    </row>
    <row r="146" ht="40.5" hidden="1" customHeight="1">
      <c r="A146" s="1"/>
      <c r="B146" s="202">
        <f t="shared" si="2"/>
        <v>144</v>
      </c>
      <c r="C146" s="181">
        <v>41105.0</v>
      </c>
      <c r="D146" s="182">
        <f t="shared" si="1"/>
        <v>2012</v>
      </c>
      <c r="E146" s="203" t="s">
        <v>1882</v>
      </c>
      <c r="F146" s="184" t="s">
        <v>1883</v>
      </c>
      <c r="G146" s="184" t="s">
        <v>1884</v>
      </c>
      <c r="H146" s="184" t="s">
        <v>106</v>
      </c>
      <c r="I146" s="28">
        <v>15.0</v>
      </c>
      <c r="J146" s="184" t="s">
        <v>1522</v>
      </c>
      <c r="K146" s="184">
        <v>242.0</v>
      </c>
      <c r="L146" s="184" t="s">
        <v>1526</v>
      </c>
      <c r="M146" s="186" t="s">
        <v>1527</v>
      </c>
      <c r="N146" s="1"/>
    </row>
    <row r="147" ht="40.5" hidden="1" customHeight="1">
      <c r="A147" s="1"/>
      <c r="B147" s="202">
        <f t="shared" si="2"/>
        <v>145</v>
      </c>
      <c r="C147" s="181">
        <v>41350.0</v>
      </c>
      <c r="D147" s="182">
        <f t="shared" si="1"/>
        <v>2013</v>
      </c>
      <c r="E147" s="221" t="s">
        <v>1885</v>
      </c>
      <c r="F147" s="184" t="s">
        <v>1886</v>
      </c>
      <c r="G147" s="184" t="s">
        <v>1887</v>
      </c>
      <c r="H147" s="184" t="s">
        <v>106</v>
      </c>
      <c r="I147" s="28">
        <v>15.0</v>
      </c>
      <c r="J147" s="184" t="s">
        <v>1522</v>
      </c>
      <c r="K147" s="184">
        <v>240.0</v>
      </c>
      <c r="L147" s="184" t="s">
        <v>1526</v>
      </c>
      <c r="M147" s="186" t="s">
        <v>1498</v>
      </c>
      <c r="N147" s="1"/>
    </row>
    <row r="148" ht="40.5" hidden="1" customHeight="1">
      <c r="A148" s="1"/>
      <c r="B148" s="202">
        <f t="shared" si="2"/>
        <v>146</v>
      </c>
      <c r="C148" s="181">
        <v>41419.0</v>
      </c>
      <c r="D148" s="182">
        <f t="shared" si="1"/>
        <v>2013</v>
      </c>
      <c r="E148" s="221" t="s">
        <v>1888</v>
      </c>
      <c r="F148" s="184" t="s">
        <v>1889</v>
      </c>
      <c r="G148" s="184" t="s">
        <v>1890</v>
      </c>
      <c r="H148" s="184" t="s">
        <v>106</v>
      </c>
      <c r="I148" s="28">
        <v>15.0</v>
      </c>
      <c r="J148" s="184" t="s">
        <v>1496</v>
      </c>
      <c r="K148" s="184">
        <v>304.0</v>
      </c>
      <c r="L148" s="184" t="s">
        <v>1497</v>
      </c>
      <c r="M148" s="186" t="s">
        <v>1498</v>
      </c>
      <c r="N148" s="1"/>
    </row>
    <row r="149" ht="40.5" hidden="1" customHeight="1">
      <c r="A149" s="1"/>
      <c r="B149" s="202">
        <f t="shared" si="2"/>
        <v>147</v>
      </c>
      <c r="C149" s="181">
        <v>41476.0</v>
      </c>
      <c r="D149" s="182">
        <f t="shared" si="1"/>
        <v>2013</v>
      </c>
      <c r="E149" s="221" t="s">
        <v>1891</v>
      </c>
      <c r="F149" s="184" t="s">
        <v>1892</v>
      </c>
      <c r="G149" s="184" t="s">
        <v>1893</v>
      </c>
      <c r="H149" s="184" t="s">
        <v>106</v>
      </c>
      <c r="I149" s="28">
        <v>15.0</v>
      </c>
      <c r="J149" s="184" t="s">
        <v>1496</v>
      </c>
      <c r="K149" s="184">
        <v>272.0</v>
      </c>
      <c r="L149" s="184" t="s">
        <v>1526</v>
      </c>
      <c r="M149" s="186" t="s">
        <v>1527</v>
      </c>
      <c r="N149" s="1"/>
    </row>
    <row r="150" ht="40.5" hidden="1" customHeight="1">
      <c r="A150" s="1"/>
      <c r="B150" s="202">
        <f t="shared" si="2"/>
        <v>148</v>
      </c>
      <c r="C150" s="181">
        <v>41581.0</v>
      </c>
      <c r="D150" s="182">
        <f t="shared" si="1"/>
        <v>2013</v>
      </c>
      <c r="E150" s="221" t="s">
        <v>1894</v>
      </c>
      <c r="F150" s="184" t="s">
        <v>1895</v>
      </c>
      <c r="G150" s="184" t="s">
        <v>1896</v>
      </c>
      <c r="H150" s="184" t="s">
        <v>106</v>
      </c>
      <c r="I150" s="28">
        <v>15.0</v>
      </c>
      <c r="J150" s="184" t="s">
        <v>1522</v>
      </c>
      <c r="K150" s="184">
        <v>138.0</v>
      </c>
      <c r="L150" s="184" t="s">
        <v>1497</v>
      </c>
      <c r="M150" s="186" t="s">
        <v>1498</v>
      </c>
      <c r="N150" s="1"/>
    </row>
    <row r="151" ht="40.5" hidden="1" customHeight="1">
      <c r="A151" s="1"/>
      <c r="B151" s="202">
        <f t="shared" si="2"/>
        <v>149</v>
      </c>
      <c r="C151" s="181">
        <v>41637.0</v>
      </c>
      <c r="D151" s="182">
        <f t="shared" si="1"/>
        <v>2013</v>
      </c>
      <c r="E151" s="222" t="str">
        <f>hyperlink("http://www.amazon.com/The-Talent-Code-Greatness-Grown-ebook/dp/B0026OR1UK/ref=pd_sim_kstore_1","The Talent Code: Greatness Isn't Born. It's Grown. Here's How.")</f>
        <v>The Talent Code: Greatness Isn't Born. It's Grown. Here's How.</v>
      </c>
      <c r="F151" s="184" t="s">
        <v>1897</v>
      </c>
      <c r="G151" s="184" t="s">
        <v>1898</v>
      </c>
      <c r="H151" s="184" t="s">
        <v>106</v>
      </c>
      <c r="I151" s="28">
        <v>15.0</v>
      </c>
      <c r="J151" s="184" t="s">
        <v>1496</v>
      </c>
      <c r="K151" s="184">
        <v>256.0</v>
      </c>
      <c r="L151" s="184" t="s">
        <v>1526</v>
      </c>
      <c r="M151" s="186" t="s">
        <v>1527</v>
      </c>
      <c r="N151" s="1"/>
    </row>
    <row r="152" ht="40.5" hidden="1" customHeight="1">
      <c r="A152" s="1"/>
      <c r="B152" s="202">
        <f t="shared" si="2"/>
        <v>150</v>
      </c>
      <c r="C152" s="181">
        <v>41714.0</v>
      </c>
      <c r="D152" s="182">
        <f t="shared" si="1"/>
        <v>2014</v>
      </c>
      <c r="E152" s="223" t="str">
        <f>hyperlink("http://www.amazon.com/Revenue-Disruption-Game-Changing-Strategies-Accelerate-ebook/dp/B007OWRC6M/ref=tmm_kin_swatch_0?_encoding=UTF8&amp;sr=&amp;qid=","Revenue Disruption: Game-Changing Sales and Marketing Strategies to Accelerate Growth")</f>
        <v>Revenue Disruption: Game-Changing Sales and Marketing Strategies to Accelerate Growth</v>
      </c>
      <c r="F152" s="184" t="s">
        <v>1899</v>
      </c>
      <c r="G152" s="184" t="s">
        <v>1900</v>
      </c>
      <c r="H152" s="184" t="s">
        <v>106</v>
      </c>
      <c r="I152" s="28">
        <v>15.0</v>
      </c>
      <c r="J152" s="184" t="s">
        <v>1522</v>
      </c>
      <c r="K152" s="184">
        <v>245.0</v>
      </c>
      <c r="L152" s="184" t="s">
        <v>1526</v>
      </c>
      <c r="M152" s="186" t="s">
        <v>1527</v>
      </c>
      <c r="N152" s="1"/>
    </row>
    <row r="153" ht="40.5" hidden="1" customHeight="1">
      <c r="A153" s="1"/>
      <c r="B153" s="202">
        <f t="shared" si="2"/>
        <v>151</v>
      </c>
      <c r="C153" s="181">
        <v>41748.0</v>
      </c>
      <c r="D153" s="182">
        <f t="shared" si="1"/>
        <v>2014</v>
      </c>
      <c r="E153" s="223" t="str">
        <f>hyperlink("http://www.amazon.com/dp/B008733UFY/ref=r_soa_w_d","Content Rules: How to Create Killer Blogs, Podcasts, Videos, Ebooks, Webinars (and More) That Engage Customers and Ignite Your Business")</f>
        <v>Content Rules: How to Create Killer Blogs, Podcasts, Videos, Ebooks, Webinars (and More) That Engage Customers and Ignite Your Business</v>
      </c>
      <c r="F153" s="184" t="s">
        <v>1901</v>
      </c>
      <c r="G153" s="184" t="s">
        <v>1902</v>
      </c>
      <c r="H153" s="184" t="s">
        <v>106</v>
      </c>
      <c r="I153" s="28">
        <v>15.0</v>
      </c>
      <c r="J153" s="184" t="s">
        <v>1522</v>
      </c>
      <c r="K153" s="184">
        <v>320.0</v>
      </c>
      <c r="L153" s="184" t="s">
        <v>1526</v>
      </c>
      <c r="M153" s="186" t="s">
        <v>1527</v>
      </c>
      <c r="N153" s="1"/>
    </row>
    <row r="154" ht="40.5" hidden="1" customHeight="1">
      <c r="A154" s="1"/>
      <c r="B154" s="202">
        <f t="shared" si="2"/>
        <v>152</v>
      </c>
      <c r="C154" s="181">
        <v>41730.0</v>
      </c>
      <c r="D154" s="182">
        <f t="shared" si="1"/>
        <v>2014</v>
      </c>
      <c r="E154" s="223" t="str">
        <f>hyperlink("http://www.amazon.com/Epic-Content-Marketing-Different-Customers-ebook/dp/B00EHIEHDC/ref=sr_1_1?s=digital-text&amp;ie=UTF8&amp;qid=1398025367&amp;sr=1-1&amp;keywords=epic+content+marketing","Epic Content Marketing: How to Tell a Different Story, Break through the Clutter, and Win More Customers by Marketing Less")</f>
        <v>Epic Content Marketing: How to Tell a Different Story, Break through the Clutter, and Win More Customers by Marketing Less</v>
      </c>
      <c r="F154" s="184" t="s">
        <v>1903</v>
      </c>
      <c r="G154" s="185" t="s">
        <v>1904</v>
      </c>
      <c r="H154" s="184" t="s">
        <v>106</v>
      </c>
      <c r="I154" s="28">
        <v>15.0</v>
      </c>
      <c r="J154" s="184" t="s">
        <v>1522</v>
      </c>
      <c r="K154" s="184">
        <v>353.0</v>
      </c>
      <c r="L154" s="184" t="s">
        <v>1526</v>
      </c>
      <c r="M154" s="186" t="s">
        <v>1527</v>
      </c>
      <c r="N154" s="1"/>
    </row>
    <row r="155" ht="40.5" hidden="1" customHeight="1">
      <c r="A155" s="1"/>
      <c r="B155" s="224">
        <f t="shared" si="2"/>
        <v>153</v>
      </c>
      <c r="C155" s="110">
        <v>41759.0</v>
      </c>
      <c r="D155" s="182">
        <f t="shared" si="1"/>
        <v>2014</v>
      </c>
      <c r="E155" s="222" t="str">
        <f>hyperlink("http://www.amazon.com/Onward-Starbucks-Fought-without-Losing-ebook/dp/B004OEIQEA/ref=sr_1_1?s=digital-text&amp;ie=UTF8&amp;qid=1399182848&amp;sr=1-1&amp;keywords=onward+how+starbucks+fought+for+its+life+without+losing+its+soul","Onward: How Starbucks Fought for Its Life without Losing Its Soul")</f>
        <v>Onward: How Starbucks Fought for Its Life without Losing Its Soul</v>
      </c>
      <c r="F155" s="28" t="s">
        <v>1905</v>
      </c>
      <c r="G155" s="184" t="s">
        <v>1906</v>
      </c>
      <c r="H155" s="28" t="s">
        <v>106</v>
      </c>
      <c r="I155" s="28">
        <v>15.0</v>
      </c>
      <c r="J155" s="28" t="s">
        <v>1522</v>
      </c>
      <c r="K155" s="28">
        <v>392.0</v>
      </c>
      <c r="L155" s="28" t="s">
        <v>1526</v>
      </c>
      <c r="M155" s="225" t="s">
        <v>1527</v>
      </c>
      <c r="N155" s="1"/>
    </row>
    <row r="156" ht="40.5" hidden="1" customHeight="1">
      <c r="A156" s="1"/>
      <c r="B156" s="202">
        <f t="shared" si="2"/>
        <v>154</v>
      </c>
      <c r="C156" s="110">
        <v>41805.0</v>
      </c>
      <c r="D156" s="182">
        <f t="shared" si="1"/>
        <v>2014</v>
      </c>
      <c r="E156" s="222" t="str">
        <f>hyperlink("http://www.amazon.com/The-Alliance-Managing-Talent-Networked-ebook/dp/B00JTJ84EW","The Alliance: managing talent in the networked age")</f>
        <v>The Alliance: managing talent in the networked age</v>
      </c>
      <c r="F156" s="184" t="s">
        <v>1907</v>
      </c>
      <c r="G156" s="184" t="s">
        <v>1908</v>
      </c>
      <c r="H156" s="184" t="s">
        <v>106</v>
      </c>
      <c r="I156" s="28">
        <v>15.0</v>
      </c>
      <c r="J156" s="184" t="s">
        <v>1522</v>
      </c>
      <c r="K156" s="184">
        <v>224.0</v>
      </c>
      <c r="L156" s="184" t="s">
        <v>1526</v>
      </c>
      <c r="M156" s="186" t="s">
        <v>1498</v>
      </c>
      <c r="N156" s="1"/>
    </row>
    <row r="157" ht="40.5" hidden="1" customHeight="1">
      <c r="A157" s="1"/>
      <c r="B157" s="202">
        <f t="shared" si="2"/>
        <v>155</v>
      </c>
      <c r="C157" s="181">
        <v>41902.0</v>
      </c>
      <c r="D157" s="182">
        <f t="shared" si="1"/>
        <v>2014</v>
      </c>
      <c r="E157" s="222" t="str">
        <f>hyperlink("http://www.amazon.com/Zero-One-Notes-Startups-Future-ebook/dp/B00J6YBOFQ/ref=tmm_kin_swatch_0?_encoding=UTF8&amp;sr=&amp;qid=","Zero to One: Notes on Startups, or How to Build the Future")</f>
        <v>Zero to One: Notes on Startups, or How to Build the Future</v>
      </c>
      <c r="F157" s="184" t="s">
        <v>1909</v>
      </c>
      <c r="G157" s="184" t="s">
        <v>1910</v>
      </c>
      <c r="H157" s="184" t="s">
        <v>106</v>
      </c>
      <c r="I157" s="28">
        <v>15.0</v>
      </c>
      <c r="J157" s="184" t="s">
        <v>1522</v>
      </c>
      <c r="K157" s="184">
        <v>224.0</v>
      </c>
      <c r="L157" s="184" t="s">
        <v>1526</v>
      </c>
      <c r="M157" s="186" t="s">
        <v>1527</v>
      </c>
      <c r="N157" s="1"/>
    </row>
    <row r="158" ht="40.5" hidden="1" customHeight="1">
      <c r="A158" s="1"/>
      <c r="B158" s="202">
        <f t="shared" si="2"/>
        <v>156</v>
      </c>
      <c r="C158" s="181">
        <v>41987.0</v>
      </c>
      <c r="D158" s="182">
        <f t="shared" si="1"/>
        <v>2014</v>
      </c>
      <c r="E158" s="222" t="str">
        <f>hyperlink("http://www.amazon.com/High-Output-Management-Andrew-Grove/dp/0679762884/ref=sr_1_1?ie=UTF8&amp;qid=1438293696&amp;sr=8-1&amp;keywords=high+output+management","High Output Management")</f>
        <v>High Output Management</v>
      </c>
      <c r="F158" s="185" t="s">
        <v>1911</v>
      </c>
      <c r="G158" s="185" t="s">
        <v>1912</v>
      </c>
      <c r="H158" s="185" t="s">
        <v>106</v>
      </c>
      <c r="I158" s="210">
        <v>15.0</v>
      </c>
      <c r="J158" s="185" t="s">
        <v>1522</v>
      </c>
      <c r="K158" s="185">
        <v>232.0</v>
      </c>
      <c r="L158" s="185" t="s">
        <v>1497</v>
      </c>
      <c r="M158" s="211" t="s">
        <v>1527</v>
      </c>
      <c r="N158" s="1"/>
    </row>
    <row r="159" ht="40.5" hidden="1" customHeight="1">
      <c r="A159" s="1"/>
      <c r="B159" s="202">
        <f t="shared" si="2"/>
        <v>157</v>
      </c>
      <c r="C159" s="181">
        <v>42005.0</v>
      </c>
      <c r="D159" s="182">
        <f t="shared" si="1"/>
        <v>2015</v>
      </c>
      <c r="E159" s="222" t="str">
        <f>hyperlink("http://www.amazon.com/Being-Mortal-Medicine-What-Matters-ebook/dp/B00JCW0BCY/ref=sr_1_1?s=digital-text&amp;ie=UTF8&amp;qid=1431233645&amp;sr=1-1&amp;keywords=being+mortal","Being Mortal: Medicine and What Matters in the End")</f>
        <v>Being Mortal: Medicine and What Matters in the End</v>
      </c>
      <c r="F159" s="184" t="s">
        <v>1913</v>
      </c>
      <c r="G159" s="184" t="s">
        <v>1914</v>
      </c>
      <c r="H159" s="184" t="s">
        <v>106</v>
      </c>
      <c r="I159" s="28">
        <v>15.0</v>
      </c>
      <c r="J159" s="184" t="s">
        <v>1496</v>
      </c>
      <c r="K159" s="184">
        <v>297.0</v>
      </c>
      <c r="L159" s="184" t="s">
        <v>1526</v>
      </c>
      <c r="M159" s="186" t="s">
        <v>1527</v>
      </c>
      <c r="N159" s="1"/>
    </row>
    <row r="160" ht="40.5" hidden="1" customHeight="1">
      <c r="A160" s="1"/>
      <c r="B160" s="202">
        <f t="shared" si="2"/>
        <v>158</v>
      </c>
      <c r="C160" s="181">
        <v>42003.0</v>
      </c>
      <c r="D160" s="182">
        <f t="shared" si="1"/>
        <v>2014</v>
      </c>
      <c r="E160" s="222" t="str">
        <f>hyperlink("http://www.amazon.com/Dept-Speculation-Jenny-Offill-ebook/dp/B00F1W0DV8/ref=sr_1_1?s=digital-text&amp;ie=UTF8&amp;qid=1431234181&amp;sr=1-1&amp;keywords=dept+of+speculation+by+jenny+offill","Dept. of Speculation")</f>
        <v>Dept. of Speculation</v>
      </c>
      <c r="F160" s="184" t="s">
        <v>1915</v>
      </c>
      <c r="G160" s="184" t="s">
        <v>1916</v>
      </c>
      <c r="H160" s="184" t="s">
        <v>106</v>
      </c>
      <c r="I160" s="28">
        <v>15.0</v>
      </c>
      <c r="J160" s="184" t="s">
        <v>1509</v>
      </c>
      <c r="K160" s="184">
        <v>194.0</v>
      </c>
      <c r="L160" s="184" t="s">
        <v>1526</v>
      </c>
      <c r="M160" s="186" t="s">
        <v>1527</v>
      </c>
      <c r="N160" s="1"/>
    </row>
    <row r="161" ht="40.5" hidden="1" customHeight="1">
      <c r="A161" s="1"/>
      <c r="B161" s="202">
        <f t="shared" si="2"/>
        <v>159</v>
      </c>
      <c r="C161" s="181">
        <v>42171.0</v>
      </c>
      <c r="D161" s="182">
        <f t="shared" si="1"/>
        <v>2015</v>
      </c>
      <c r="E161" s="212" t="str">
        <f>hyperlink("http://www.amazon.com/Work-Rules-Insights-Inside-Transform-ebook/dp/B00MEMMVB8/ref=sr_1_1?s=digital-text&amp;ie=UTF8&amp;qid=1437714393&amp;sr=1-1&amp;keywords=work+rules+insights+from+inside+google+that+will+transform+how+you+live+and+lead","Work Rules: Insights from Inside Google That Will Transform How You Live and Lead")</f>
        <v>Work Rules: Insights from Inside Google That Will Transform How You Live and Lead</v>
      </c>
      <c r="F161" s="185" t="s">
        <v>1917</v>
      </c>
      <c r="G161" s="185" t="s">
        <v>1918</v>
      </c>
      <c r="H161" s="185" t="s">
        <v>106</v>
      </c>
      <c r="I161" s="210">
        <v>15.0</v>
      </c>
      <c r="J161" s="185" t="s">
        <v>1522</v>
      </c>
      <c r="K161" s="185">
        <v>382.0</v>
      </c>
      <c r="L161" s="185" t="s">
        <v>1526</v>
      </c>
      <c r="M161" s="211" t="s">
        <v>1527</v>
      </c>
      <c r="N161" s="1"/>
    </row>
    <row r="162" ht="40.5" hidden="1" customHeight="1">
      <c r="A162" s="1"/>
      <c r="B162" s="202">
        <f t="shared" si="2"/>
        <v>160</v>
      </c>
      <c r="C162" s="181">
        <v>42209.0</v>
      </c>
      <c r="D162" s="182">
        <f t="shared" si="1"/>
        <v>2015</v>
      </c>
      <c r="E162" s="212" t="str">
        <f>hyperlink("http://www.amazon.com/Crossroads-Should-Must-Follow-Passion/dp/0761184880/ref=sr_1_1?ie=UTF8&amp;qid=1437795720&amp;sr=8-1&amp;keywords=should+and+must","The Crossroads of Should and Must")</f>
        <v>The Crossroads of Should and Must</v>
      </c>
      <c r="F162" s="185" t="s">
        <v>1919</v>
      </c>
      <c r="G162" s="185" t="s">
        <v>1920</v>
      </c>
      <c r="H162" s="185" t="s">
        <v>106</v>
      </c>
      <c r="I162" s="210">
        <v>15.0</v>
      </c>
      <c r="J162" s="185" t="s">
        <v>1496</v>
      </c>
      <c r="K162" s="185">
        <v>176.0</v>
      </c>
      <c r="L162" s="185" t="s">
        <v>1497</v>
      </c>
      <c r="M162" s="211" t="s">
        <v>1498</v>
      </c>
      <c r="N162" s="1"/>
    </row>
    <row r="163" ht="40.5" hidden="1" customHeight="1">
      <c r="A163" s="1"/>
      <c r="B163" s="202">
        <f t="shared" si="2"/>
        <v>161</v>
      </c>
      <c r="C163" s="181">
        <v>42232.0</v>
      </c>
      <c r="D163" s="182">
        <f t="shared" si="1"/>
        <v>2015</v>
      </c>
      <c r="E163" s="212" t="str">
        <f>hyperlink("http://www.amazon.com/1984-George-Orwell-ebook/dp/B003JTHWKU/ref=sr_1_1_twi_kin_2?s=books&amp;ie=UTF8&amp;qid=1439825708&amp;sr=1-1&amp;keywords=1984","1984")</f>
        <v>1984</v>
      </c>
      <c r="F163" s="185" t="s">
        <v>1507</v>
      </c>
      <c r="G163" s="185" t="s">
        <v>1921</v>
      </c>
      <c r="H163" s="185" t="s">
        <v>106</v>
      </c>
      <c r="I163" s="210">
        <v>15.0</v>
      </c>
      <c r="J163" s="185" t="s">
        <v>1509</v>
      </c>
      <c r="K163" s="185">
        <v>336.0</v>
      </c>
      <c r="L163" s="185" t="s">
        <v>1526</v>
      </c>
      <c r="M163" s="211" t="s">
        <v>1527</v>
      </c>
      <c r="N163" s="1"/>
    </row>
    <row r="164" ht="40.5" hidden="1" customHeight="1">
      <c r="A164" s="1"/>
      <c r="B164" s="202">
        <f t="shared" si="2"/>
        <v>162</v>
      </c>
      <c r="C164" s="181">
        <v>42248.0</v>
      </c>
      <c r="D164" s="182">
        <f t="shared" si="1"/>
        <v>2015</v>
      </c>
      <c r="E164" s="212" t="str">
        <f>hyperlink("http://www.amazon.com/Clock-Long-Now-Time-Responsibility-ebook/dp/B003P9XCY4/ref=sr_1_1?s=digital-text&amp;ie=UTF8&amp;qid=1441665200&amp;sr=1-1&amp;keywords=the+long+now","Clock of the Long Now: Time and Responsibility")</f>
        <v>Clock of the Long Now: Time and Responsibility</v>
      </c>
      <c r="F164" s="185" t="s">
        <v>1922</v>
      </c>
      <c r="G164" s="185" t="s">
        <v>1923</v>
      </c>
      <c r="H164" s="185" t="s">
        <v>106</v>
      </c>
      <c r="I164" s="210">
        <v>15.0</v>
      </c>
      <c r="J164" s="185" t="s">
        <v>1496</v>
      </c>
      <c r="K164" s="185">
        <v>210.0</v>
      </c>
      <c r="L164" s="185" t="s">
        <v>1526</v>
      </c>
      <c r="M164" s="211" t="s">
        <v>1527</v>
      </c>
      <c r="N164" s="1"/>
    </row>
    <row r="165" ht="40.5" hidden="1" customHeight="1">
      <c r="A165" s="1"/>
      <c r="B165" s="202">
        <f t="shared" si="2"/>
        <v>163</v>
      </c>
      <c r="C165" s="181">
        <v>42260.0</v>
      </c>
      <c r="D165" s="182">
        <f t="shared" si="1"/>
        <v>2015</v>
      </c>
      <c r="E165" s="212" t="str">
        <f>hyperlink("http://www.amazon.com/Mans-Search-Meaning-Viktor-Frankl-ebook/dp/B009U9S6FI/ref=sr_1_1?s=digital-text&amp;ie=UTF8&amp;qid=1445231047&amp;sr=1-1&amp;keywords=searching+for+meaning","Man's Search for Meaning")</f>
        <v>Man's Search for Meaning</v>
      </c>
      <c r="F165" s="185" t="s">
        <v>1924</v>
      </c>
      <c r="G165" s="185" t="s">
        <v>1925</v>
      </c>
      <c r="H165" s="185" t="s">
        <v>106</v>
      </c>
      <c r="I165" s="210">
        <v>15.0</v>
      </c>
      <c r="J165" s="185" t="s">
        <v>1496</v>
      </c>
      <c r="K165" s="185">
        <v>188.0</v>
      </c>
      <c r="L165" s="185" t="s">
        <v>1526</v>
      </c>
      <c r="M165" s="211" t="s">
        <v>1527</v>
      </c>
      <c r="N165" s="1"/>
    </row>
    <row r="166" ht="40.5" hidden="1" customHeight="1">
      <c r="A166" s="1"/>
      <c r="B166" s="202">
        <f t="shared" si="2"/>
        <v>164</v>
      </c>
      <c r="C166" s="181">
        <v>42337.0</v>
      </c>
      <c r="D166" s="182">
        <f t="shared" si="1"/>
        <v>2015</v>
      </c>
      <c r="E166" s="212" t="str">
        <f>hyperlink("http://www.amazon.com/Extreme-Ownership-U-S-Navy-SEALs-ebook/dp/B00VE4Y0Z2/ref=sr_1_1?s=digital-text&amp;ie=UTF8&amp;qid=1451114819&amp;sr=1-1&amp;keywords=extreme+ownership","Extreme Ownership: How U.S. Navy SEALs Lead and Win")</f>
        <v>Extreme Ownership: How U.S. Navy SEALs Lead and Win</v>
      </c>
      <c r="F166" s="185" t="s">
        <v>1926</v>
      </c>
      <c r="G166" s="185" t="s">
        <v>1927</v>
      </c>
      <c r="H166" s="185" t="s">
        <v>106</v>
      </c>
      <c r="I166" s="210">
        <v>15.0</v>
      </c>
      <c r="J166" s="185" t="s">
        <v>1522</v>
      </c>
      <c r="K166" s="185">
        <v>317.0</v>
      </c>
      <c r="L166" s="185" t="s">
        <v>1526</v>
      </c>
      <c r="M166" s="211" t="s">
        <v>1527</v>
      </c>
      <c r="N166" s="1"/>
    </row>
    <row r="167" ht="40.5" hidden="1" customHeight="1">
      <c r="A167" s="1"/>
      <c r="B167" s="202">
        <f t="shared" si="2"/>
        <v>165</v>
      </c>
      <c r="C167" s="181">
        <v>42409.0</v>
      </c>
      <c r="D167" s="182">
        <f t="shared" si="1"/>
        <v>2016</v>
      </c>
      <c r="E167" s="212" t="str">
        <f>hyperlink("http://www.amazon.com/When-Breath-Becomes-Paul-Kalanithi-ebook/dp/B00XSSYR50/ref=sr_1_1?s=digital-text&amp;ie=UTF8&amp;qid=1455600930&amp;sr=1-1&amp;keywords=when+breath+becomes+air+by+paul+kalanithi","When Breath Becomes Air")</f>
        <v>When Breath Becomes Air</v>
      </c>
      <c r="F167" s="185" t="s">
        <v>1928</v>
      </c>
      <c r="G167" s="185" t="s">
        <v>1929</v>
      </c>
      <c r="H167" s="185" t="s">
        <v>106</v>
      </c>
      <c r="I167" s="210">
        <v>15.0</v>
      </c>
      <c r="J167" s="185" t="s">
        <v>1496</v>
      </c>
      <c r="K167" s="185">
        <v>258.0</v>
      </c>
      <c r="L167" s="185" t="s">
        <v>1574</v>
      </c>
      <c r="M167" s="211" t="s">
        <v>804</v>
      </c>
      <c r="N167" s="1"/>
    </row>
    <row r="168" ht="40.5" hidden="1" customHeight="1">
      <c r="A168" s="1"/>
      <c r="B168" s="202">
        <f t="shared" si="2"/>
        <v>166</v>
      </c>
      <c r="C168" s="181">
        <v>42442.0</v>
      </c>
      <c r="D168" s="182">
        <f t="shared" si="1"/>
        <v>2016</v>
      </c>
      <c r="E168" s="212" t="str">
        <f>hyperlink("http://www.amazon.com/s/ref=nb_sb_ss_c_0_27?url=search-alias%3Ddigital-text&amp;field-keywords=all+the+light+we+cannot+see&amp;sprefix=all+the+light+we+cannot+see%2Caps%2C211","All The Light We Cannot See")</f>
        <v>All The Light We Cannot See</v>
      </c>
      <c r="F168" s="185" t="s">
        <v>1930</v>
      </c>
      <c r="G168" s="185" t="s">
        <v>1931</v>
      </c>
      <c r="H168" s="185" t="s">
        <v>106</v>
      </c>
      <c r="I168" s="210">
        <v>15.0</v>
      </c>
      <c r="J168" s="185" t="s">
        <v>1509</v>
      </c>
      <c r="K168" s="185">
        <v>545.0</v>
      </c>
      <c r="L168" s="185" t="s">
        <v>1574</v>
      </c>
      <c r="M168" s="211" t="s">
        <v>804</v>
      </c>
      <c r="N168" s="1"/>
    </row>
    <row r="169" ht="40.5" hidden="1" customHeight="1">
      <c r="A169" s="1"/>
      <c r="B169" s="202">
        <f t="shared" si="2"/>
        <v>167</v>
      </c>
      <c r="C169" s="181">
        <v>42442.0</v>
      </c>
      <c r="D169" s="182">
        <f t="shared" si="1"/>
        <v>2016</v>
      </c>
      <c r="E169" s="212" t="str">
        <f>hyperlink("http://www.amazon.com/Book-Thief-Markus-Zusak-ebook/dp/B000XUBFE2/ref=tmm_kin_swatch_0?_encoding=UTF8&amp;qid=&amp;sr=","Book Thief, The")</f>
        <v>Book Thief, The</v>
      </c>
      <c r="F169" s="185" t="s">
        <v>1932</v>
      </c>
      <c r="G169" s="185" t="s">
        <v>1933</v>
      </c>
      <c r="H169" s="185" t="s">
        <v>106</v>
      </c>
      <c r="I169" s="210">
        <v>15.0</v>
      </c>
      <c r="J169" s="185" t="s">
        <v>1509</v>
      </c>
      <c r="K169" s="185">
        <v>578.0</v>
      </c>
      <c r="L169" s="185" t="s">
        <v>1574</v>
      </c>
      <c r="M169" s="211" t="s">
        <v>804</v>
      </c>
      <c r="N169" s="1"/>
    </row>
    <row r="170" ht="40.5" hidden="1" customHeight="1">
      <c r="A170" s="1"/>
      <c r="B170" s="202">
        <f t="shared" si="2"/>
        <v>168</v>
      </c>
      <c r="C170" s="181">
        <v>41747.0</v>
      </c>
      <c r="D170" s="182">
        <f t="shared" si="1"/>
        <v>2014</v>
      </c>
      <c r="E170" s="212" t="str">
        <f>hyperlink("http://www.amazon.com/Hard-Thing-About-Things-Building-ebook/dp/B00DQ845EA/ref=sr_1_1?s=digital-text&amp;ie=UTF8&amp;qid=1398024096&amp;sr=1-1&amp;keywords=the+hard+thing+about+hard+things","The Hard Thing About Hard Things: Building a Business When There Are No Easy Answers")</f>
        <v>The Hard Thing About Hard Things: Building a Business When There Are No Easy Answers</v>
      </c>
      <c r="F170" s="184" t="s">
        <v>1934</v>
      </c>
      <c r="G170" s="185" t="s">
        <v>1935</v>
      </c>
      <c r="H170" s="185" t="s">
        <v>106</v>
      </c>
      <c r="I170" s="210">
        <v>15.0</v>
      </c>
      <c r="J170" s="184" t="s">
        <v>1522</v>
      </c>
      <c r="K170" s="184">
        <v>308.0</v>
      </c>
      <c r="L170" s="184" t="s">
        <v>1526</v>
      </c>
      <c r="M170" s="186" t="s">
        <v>1527</v>
      </c>
      <c r="N170" s="1"/>
    </row>
    <row r="171" ht="40.5" hidden="1" customHeight="1">
      <c r="A171" s="1"/>
      <c r="B171" s="202">
        <f t="shared" si="2"/>
        <v>169</v>
      </c>
      <c r="C171" s="181">
        <v>42618.0</v>
      </c>
      <c r="D171" s="182">
        <f t="shared" si="1"/>
        <v>2016</v>
      </c>
      <c r="E171" s="212" t="str">
        <f>hyperlink("https://www.amazon.com/Dont-Make-Think-Revisited-Usability-ebook/dp/B00HJUBRPG/ref=sr_1_1?s=digital-text&amp;ie=UTF8&amp;qid=1478408210&amp;sr=1-1&amp;keywords=don%27t+make+me+think","Don't Make Me Think: A Common Sense Approach to Web Usability")</f>
        <v>Don't Make Me Think: A Common Sense Approach to Web Usability</v>
      </c>
      <c r="F171" s="185" t="s">
        <v>1936</v>
      </c>
      <c r="G171" s="185" t="s">
        <v>1937</v>
      </c>
      <c r="H171" s="185" t="s">
        <v>106</v>
      </c>
      <c r="I171" s="210">
        <v>15.0</v>
      </c>
      <c r="J171" s="185" t="s">
        <v>1522</v>
      </c>
      <c r="K171" s="185">
        <v>216.0</v>
      </c>
      <c r="L171" s="185" t="s">
        <v>1526</v>
      </c>
      <c r="M171" s="211" t="s">
        <v>1527</v>
      </c>
      <c r="N171" s="1"/>
    </row>
    <row r="172" ht="40.5" hidden="1" customHeight="1">
      <c r="A172" s="1"/>
      <c r="B172" s="202">
        <f t="shared" si="2"/>
        <v>170</v>
      </c>
      <c r="C172" s="181">
        <v>42624.0</v>
      </c>
      <c r="D172" s="182">
        <f t="shared" si="1"/>
        <v>2016</v>
      </c>
      <c r="E172" s="212" t="str">
        <f>hyperlink("https://www.amazon.com/Course-Love-Novel-Alain-Botton-ebook/dp/B0176M1AT4/ref=sr_1_1?s=digital-text&amp;ie=UTF8&amp;qid=1478407991&amp;sr=1-1&amp;keywords=the+course+of+love+alain+de+botton","Course of Love, The")</f>
        <v>Course of Love, The</v>
      </c>
      <c r="F172" s="185" t="s">
        <v>1938</v>
      </c>
      <c r="G172" s="185" t="s">
        <v>1939</v>
      </c>
      <c r="H172" s="185" t="s">
        <v>106</v>
      </c>
      <c r="I172" s="210">
        <v>15.0</v>
      </c>
      <c r="J172" s="185" t="s">
        <v>1509</v>
      </c>
      <c r="K172" s="185">
        <v>233.0</v>
      </c>
      <c r="L172" s="185" t="s">
        <v>1526</v>
      </c>
      <c r="M172" s="211" t="s">
        <v>1527</v>
      </c>
      <c r="N172" s="1"/>
    </row>
    <row r="173" ht="40.5" hidden="1" customHeight="1">
      <c r="A173" s="1"/>
      <c r="B173" s="202">
        <f t="shared" si="2"/>
        <v>171</v>
      </c>
      <c r="C173" s="181">
        <v>42625.0</v>
      </c>
      <c r="D173" s="182">
        <f t="shared" si="1"/>
        <v>2016</v>
      </c>
      <c r="E173" s="212" t="str">
        <f>hyperlink("https://www.amazon.com/Sense-Ending-Borzoi-Books-ebook/dp/B004YWKKEG/ref=sr_1_1_ha?s=digital-text&amp;ie=UTF8&amp;qid=1478407502&amp;sr=1-1&amp;keywords=the+sense+of+an+ending","Sense of an Ending, The")</f>
        <v>Sense of an Ending, The</v>
      </c>
      <c r="F173" s="185" t="s">
        <v>1940</v>
      </c>
      <c r="G173" s="185" t="s">
        <v>1941</v>
      </c>
      <c r="H173" s="185" t="s">
        <v>106</v>
      </c>
      <c r="I173" s="210">
        <v>15.0</v>
      </c>
      <c r="J173" s="185" t="s">
        <v>1509</v>
      </c>
      <c r="K173" s="185">
        <v>177.0</v>
      </c>
      <c r="L173" s="185" t="s">
        <v>1526</v>
      </c>
      <c r="M173" s="211" t="s">
        <v>1527</v>
      </c>
      <c r="N173" s="1"/>
    </row>
    <row r="174" ht="40.5" hidden="1" customHeight="1">
      <c r="A174" s="1"/>
      <c r="B174" s="202">
        <f t="shared" si="2"/>
        <v>172</v>
      </c>
      <c r="C174" s="181">
        <v>42663.0</v>
      </c>
      <c r="D174" s="182">
        <f t="shared" si="1"/>
        <v>2016</v>
      </c>
      <c r="E174" s="212" t="str">
        <f>hyperlink("https://www.amazon.com/Tennis-Essays-David-Foster-Wallace-ebook/dp/B00FPQA7BG/ref=sr_1_1?s=digital-text&amp;ie=UTF8&amp;qid=1478410927&amp;sr=1-1&amp;keywords=david+foster+wallace+tennis","On Tennis: Five Essays")</f>
        <v>On Tennis: Five Essays</v>
      </c>
      <c r="F174" s="185" t="s">
        <v>1942</v>
      </c>
      <c r="G174" s="185" t="s">
        <v>1943</v>
      </c>
      <c r="H174" s="185" t="s">
        <v>106</v>
      </c>
      <c r="I174" s="210">
        <v>15.0</v>
      </c>
      <c r="J174" s="185" t="s">
        <v>1496</v>
      </c>
      <c r="K174" s="185">
        <v>107.0</v>
      </c>
      <c r="L174" s="185" t="s">
        <v>1497</v>
      </c>
      <c r="M174" s="211" t="s">
        <v>804</v>
      </c>
      <c r="N174" s="1"/>
    </row>
    <row r="175" ht="40.5" hidden="1" customHeight="1">
      <c r="A175" s="1"/>
      <c r="B175" s="202">
        <f t="shared" si="2"/>
        <v>173</v>
      </c>
      <c r="C175" s="181">
        <v>42692.0</v>
      </c>
      <c r="D175" s="182">
        <f t="shared" si="1"/>
        <v>2016</v>
      </c>
      <c r="E175" s="212" t="str">
        <f>hyperlink("https://www.amazon.com/Peak-Secrets-New-Science-Expertise-ebook/dp/B011H56MKS/ref=sr_1_1?s=digital-text&amp;ie=UTF8&amp;qid=1479538811&amp;sr=1-1&amp;keywords=peak+ericsson","Peak: Secrets from the New Science of Expertise")</f>
        <v>Peak: Secrets from the New Science of Expertise</v>
      </c>
      <c r="F175" s="185" t="s">
        <v>1944</v>
      </c>
      <c r="G175" s="185" t="s">
        <v>1945</v>
      </c>
      <c r="H175" s="185" t="s">
        <v>106</v>
      </c>
      <c r="I175" s="210">
        <v>15.0</v>
      </c>
      <c r="J175" s="185" t="s">
        <v>1496</v>
      </c>
      <c r="K175" s="185">
        <v>339.0</v>
      </c>
      <c r="L175" s="185" t="s">
        <v>1574</v>
      </c>
      <c r="M175" s="211" t="s">
        <v>804</v>
      </c>
      <c r="N175" s="1"/>
    </row>
    <row r="176" ht="40.5" hidden="1" customHeight="1">
      <c r="A176" s="1"/>
      <c r="B176" s="202">
        <f t="shared" si="2"/>
        <v>174</v>
      </c>
      <c r="C176" s="181">
        <v>42727.0</v>
      </c>
      <c r="D176" s="182">
        <f t="shared" si="1"/>
        <v>2016</v>
      </c>
      <c r="E176" s="212" t="str">
        <f>hyperlink("https://www.amazon.com/Score-Takes-Care-Itself-Philosophy/dp/1591843472/ref=sr_1_1?s=books&amp;ie=UTF8&amp;qid=1482603754&amp;sr=1-1&amp;keywords=the+score+takes+care+of+itself","The Score Takes Care of Itself")</f>
        <v>The Score Takes Care of Itself</v>
      </c>
      <c r="F176" s="185" t="s">
        <v>1946</v>
      </c>
      <c r="G176" s="185" t="s">
        <v>1947</v>
      </c>
      <c r="H176" s="185" t="s">
        <v>106</v>
      </c>
      <c r="I176" s="210">
        <v>15.0</v>
      </c>
      <c r="J176" s="185" t="s">
        <v>1496</v>
      </c>
      <c r="K176" s="185">
        <v>288.0</v>
      </c>
      <c r="L176" s="185" t="s">
        <v>1574</v>
      </c>
      <c r="M176" s="211" t="s">
        <v>804</v>
      </c>
      <c r="N176" s="1"/>
    </row>
    <row r="177" ht="40.5" hidden="1" customHeight="1">
      <c r="A177" s="1"/>
      <c r="B177" s="202">
        <f t="shared" si="2"/>
        <v>175</v>
      </c>
      <c r="C177" s="181">
        <v>42733.0</v>
      </c>
      <c r="D177" s="182">
        <f t="shared" si="1"/>
        <v>2016</v>
      </c>
      <c r="E177" s="212" t="str">
        <f>hyperlink("https://www.amazon.com/Education-Coach-David-Halberstam-ebook/dp/B007SO33MI/ref=sr_1_1_twi_kin_2?ie=UTF8&amp;qid=1483217723&amp;sr=8-1&amp;keywords=the+education+of+a+coach","Education of a Coach The")</f>
        <v>Education of a Coach The</v>
      </c>
      <c r="F177" s="185" t="s">
        <v>1500</v>
      </c>
      <c r="G177" s="185" t="s">
        <v>1948</v>
      </c>
      <c r="H177" s="185" t="s">
        <v>106</v>
      </c>
      <c r="I177" s="210">
        <v>15.0</v>
      </c>
      <c r="J177" s="185" t="s">
        <v>1502</v>
      </c>
      <c r="K177" s="185">
        <v>298.0</v>
      </c>
      <c r="L177" s="185" t="s">
        <v>1574</v>
      </c>
      <c r="M177" s="211" t="s">
        <v>804</v>
      </c>
      <c r="N177" s="1"/>
    </row>
    <row r="178" ht="40.5" hidden="1" customHeight="1">
      <c r="A178" s="1"/>
      <c r="B178" s="202">
        <f t="shared" si="2"/>
        <v>176</v>
      </c>
      <c r="C178" s="181">
        <v>42739.0</v>
      </c>
      <c r="D178" s="182">
        <f t="shared" si="1"/>
        <v>2017</v>
      </c>
      <c r="E178" s="212" t="str">
        <f>hyperlink("https://www.amazon.com/Power-Kindness-Compassionate-Life-Tenth-Anniversary-ebook/dp/B000W965OY/ref=sr_1_1?s=digital-text&amp;ie=UTF8&amp;qid=1483934383&amp;sr=1-1&amp;keywords=the+power+of+kindness","Power of Kindness, The: The Unexpected Benefits of Leading a Compassionate Life")</f>
        <v>Power of Kindness, The: The Unexpected Benefits of Leading a Compassionate Life</v>
      </c>
      <c r="F178" s="185" t="s">
        <v>1949</v>
      </c>
      <c r="G178" s="185" t="s">
        <v>1950</v>
      </c>
      <c r="H178" s="185" t="s">
        <v>106</v>
      </c>
      <c r="I178" s="210">
        <v>15.0</v>
      </c>
      <c r="J178" s="185" t="s">
        <v>1496</v>
      </c>
      <c r="K178" s="185">
        <v>352.0</v>
      </c>
      <c r="L178" s="185" t="s">
        <v>1574</v>
      </c>
      <c r="M178" s="211" t="s">
        <v>804</v>
      </c>
      <c r="N178" s="1"/>
    </row>
    <row r="179" ht="40.5" hidden="1" customHeight="1">
      <c r="A179" s="1"/>
      <c r="B179" s="202">
        <f t="shared" si="2"/>
        <v>177</v>
      </c>
      <c r="C179" s="181">
        <v>42870.0</v>
      </c>
      <c r="D179" s="182">
        <f t="shared" si="1"/>
        <v>2017</v>
      </c>
      <c r="E179" s="212" t="str">
        <f>hyperlink("https://www.amazon.com/Option-Adversity-Building-Resilience-Finding-ebook/dp/B01N8R5QD7/ref=sr_1_1?s=digital-text&amp;ie=UTF8&amp;qid=1496276854&amp;sr=1-1&amp;keywords=option+b+sheryl+sandberg","Option B: Facing Adversity, Building Resilience, and Finding Joy")</f>
        <v>Option B: Facing Adversity, Building Resilience, and Finding Joy</v>
      </c>
      <c r="F179" s="185" t="s">
        <v>1951</v>
      </c>
      <c r="G179" s="185" t="s">
        <v>1952</v>
      </c>
      <c r="H179" s="185" t="s">
        <v>106</v>
      </c>
      <c r="I179" s="210">
        <v>15.0</v>
      </c>
      <c r="J179" s="185" t="s">
        <v>1496</v>
      </c>
      <c r="K179" s="185">
        <v>242.0</v>
      </c>
      <c r="L179" s="185" t="s">
        <v>1574</v>
      </c>
      <c r="M179" s="211" t="s">
        <v>804</v>
      </c>
      <c r="N179" s="1"/>
    </row>
    <row r="180" ht="40.5" hidden="1" customHeight="1">
      <c r="A180" s="1"/>
      <c r="B180" s="202">
        <f t="shared" si="2"/>
        <v>178</v>
      </c>
      <c r="C180" s="181">
        <v>42888.0</v>
      </c>
      <c r="D180" s="182">
        <f t="shared" si="1"/>
        <v>2017</v>
      </c>
      <c r="E180" s="212" t="str">
        <f>hyperlink("https://www.amazon.com/Between-World-Me-Ta-Nehisi-Coates-ebook/dp/B00SEFAIRI/ref=sr_1_1_twi_kin_2?s=books&amp;ie=UTF8&amp;qid=1499399530&amp;sr=1-1&amp;keywords=between+the+world+and+me","Between the World and Me")</f>
        <v>Between the World and Me</v>
      </c>
      <c r="F180" s="185" t="s">
        <v>1953</v>
      </c>
      <c r="G180" s="185" t="s">
        <v>1954</v>
      </c>
      <c r="H180" s="185" t="s">
        <v>106</v>
      </c>
      <c r="I180" s="210">
        <v>15.0</v>
      </c>
      <c r="J180" s="185" t="s">
        <v>1496</v>
      </c>
      <c r="K180" s="185">
        <v>163.0</v>
      </c>
      <c r="L180" s="185" t="s">
        <v>1574</v>
      </c>
      <c r="M180" s="211" t="s">
        <v>804</v>
      </c>
      <c r="N180" s="1"/>
    </row>
    <row r="181" ht="40.5" hidden="1" customHeight="1">
      <c r="A181" s="1"/>
      <c r="B181" s="202">
        <f t="shared" si="2"/>
        <v>179</v>
      </c>
      <c r="C181" s="181">
        <v>42916.0</v>
      </c>
      <c r="D181" s="182">
        <f t="shared" si="1"/>
        <v>2017</v>
      </c>
      <c r="E181" s="212" t="str">
        <f>hyperlink("https://www.amazon.com/Hillbilly-Elegy-Memoir-Family-Culture-ebook/dp/B0166ISAS8/ref=sr_1_1_twi_kin_2?ie=UTF8&amp;Hillbilly Elegy: A Memoir of a Family and Culture in Crisisqid=1499398477&amp;sr=8-1&amp;keywords=hillbilly+elegy","Hillbilly Elegy: A Memoir of a Family and Culture in Crisis")</f>
        <v>Hillbilly Elegy: A Memoir of a Family and Culture in Crisis</v>
      </c>
      <c r="F181" s="185" t="s">
        <v>1955</v>
      </c>
      <c r="G181" s="185" t="s">
        <v>1956</v>
      </c>
      <c r="H181" s="185" t="s">
        <v>106</v>
      </c>
      <c r="I181" s="210">
        <v>15.0</v>
      </c>
      <c r="J181" s="185" t="s">
        <v>1496</v>
      </c>
      <c r="K181" s="185">
        <v>273.0</v>
      </c>
      <c r="L181" s="185" t="s">
        <v>1574</v>
      </c>
      <c r="M181" s="211" t="s">
        <v>804</v>
      </c>
      <c r="N181" s="1"/>
    </row>
    <row r="182" ht="40.5" hidden="1" customHeight="1">
      <c r="A182" s="1"/>
      <c r="B182" s="202">
        <f t="shared" si="2"/>
        <v>180</v>
      </c>
      <c r="C182" s="181">
        <v>42922.0</v>
      </c>
      <c r="D182" s="182">
        <f t="shared" si="1"/>
        <v>2017</v>
      </c>
      <c r="E182" s="212" t="str">
        <f>hyperlink("https://www.amazon.com/Tools-Titans-Billionaires-World-Class-Performers-ebook/dp/B01HSMRWNU/ref=sr_1_1?s=digital-text&amp;ie=UTF8&amp;qid=1499401441&amp;sr=1-1&amp;keywords=tools+of+titans+kindle","Tools of Titans: The Tactics, Routines, and Habits of Billionaires, Icons, and World-Class Performers")</f>
        <v>Tools of Titans: The Tactics, Routines, and Habits of Billionaires, Icons, and World-Class Performers</v>
      </c>
      <c r="F182" s="185" t="s">
        <v>1957</v>
      </c>
      <c r="G182" s="185" t="s">
        <v>1958</v>
      </c>
      <c r="H182" s="185" t="s">
        <v>106</v>
      </c>
      <c r="I182" s="210">
        <v>15.0</v>
      </c>
      <c r="J182" s="185" t="s">
        <v>1496</v>
      </c>
      <c r="K182" s="185">
        <v>707.0</v>
      </c>
      <c r="L182" s="185" t="s">
        <v>1526</v>
      </c>
      <c r="M182" s="211" t="s">
        <v>1527</v>
      </c>
      <c r="N182" s="1"/>
    </row>
    <row r="183" ht="40.5" hidden="1" customHeight="1">
      <c r="A183" s="1"/>
      <c r="B183" s="202">
        <f t="shared" si="2"/>
        <v>181</v>
      </c>
      <c r="C183" s="181">
        <v>42961.0</v>
      </c>
      <c r="D183" s="182">
        <f t="shared" si="1"/>
        <v>2017</v>
      </c>
      <c r="E183" s="212" t="str">
        <f>hyperlink("https://www.amazon.com/Solve-Happy-Engineer-Your-Path-ebook/dp/B01H0IOZQ4/ref=sr_1_1?s=digital-text&amp;ie=UTF8&amp;qid=1504113676&amp;sr=1-1&amp;keywords=solve+for+happy","Solve for Happy: Engineer Your Path to Joy")</f>
        <v>Solve for Happy: Engineer Your Path to Joy</v>
      </c>
      <c r="F183" s="185" t="s">
        <v>1959</v>
      </c>
      <c r="G183" s="185" t="s">
        <v>1960</v>
      </c>
      <c r="H183" s="185" t="s">
        <v>106</v>
      </c>
      <c r="I183" s="210">
        <v>15.0</v>
      </c>
      <c r="J183" s="185" t="s">
        <v>1496</v>
      </c>
      <c r="K183" s="185">
        <v>368.0</v>
      </c>
      <c r="L183" s="185" t="s">
        <v>1574</v>
      </c>
      <c r="M183" s="211" t="s">
        <v>804</v>
      </c>
      <c r="N183" s="1"/>
    </row>
    <row r="184" ht="40.5" hidden="1" customHeight="1">
      <c r="A184" s="1"/>
      <c r="B184" s="202">
        <f t="shared" si="2"/>
        <v>182</v>
      </c>
      <c r="C184" s="181">
        <v>42948.0</v>
      </c>
      <c r="D184" s="182">
        <f t="shared" si="1"/>
        <v>2017</v>
      </c>
      <c r="E184" s="212" t="str">
        <f>hyperlink("https://www.amazon.com/War-Art-Through-Creative-Battles/dp/1936891026/ref=sr_1_1?s=books&amp;ie=UTF8&amp;qid=1504126170&amp;sr=1-1&amp;keywords=the+war+of+art","War of Art, The")</f>
        <v>War of Art, The</v>
      </c>
      <c r="F184" s="185" t="s">
        <v>1961</v>
      </c>
      <c r="G184" s="185" t="s">
        <v>1962</v>
      </c>
      <c r="H184" s="185" t="s">
        <v>106</v>
      </c>
      <c r="I184" s="210">
        <v>15.0</v>
      </c>
      <c r="J184" s="185" t="s">
        <v>1496</v>
      </c>
      <c r="K184" s="185">
        <v>190.0</v>
      </c>
      <c r="L184" s="185" t="s">
        <v>1574</v>
      </c>
      <c r="M184" s="211" t="s">
        <v>804</v>
      </c>
      <c r="N184" s="1"/>
    </row>
    <row r="185" ht="40.5" hidden="1" customHeight="1">
      <c r="A185" s="1"/>
      <c r="B185" s="202">
        <f t="shared" si="2"/>
        <v>183</v>
      </c>
      <c r="C185" s="181">
        <v>42980.0</v>
      </c>
      <c r="D185" s="182">
        <f t="shared" si="1"/>
        <v>2017</v>
      </c>
      <c r="E185" s="212" t="str">
        <f>hyperlink("https://www.amazon.com/Cant-Make-This-Up-Lessons/dp/B06VX4GGFT/ref=tmm_aud_swatch_0?_encoding=UTF8&amp;qid=1504484556&amp;sr=1-1","I Can't Make This Up: Life Lessons")</f>
        <v>I Can't Make This Up: Life Lessons</v>
      </c>
      <c r="F185" s="185" t="s">
        <v>1963</v>
      </c>
      <c r="G185" s="185" t="s">
        <v>1964</v>
      </c>
      <c r="H185" s="185" t="s">
        <v>106</v>
      </c>
      <c r="I185" s="210">
        <v>15.0</v>
      </c>
      <c r="J185" s="185" t="s">
        <v>1496</v>
      </c>
      <c r="K185" s="185">
        <v>401.0</v>
      </c>
      <c r="L185" s="185" t="s">
        <v>1574</v>
      </c>
      <c r="M185" s="211" t="s">
        <v>804</v>
      </c>
      <c r="N185" s="1"/>
    </row>
    <row r="186" ht="40.5" hidden="1" customHeight="1">
      <c r="A186" s="1"/>
      <c r="B186" s="202">
        <f t="shared" si="2"/>
        <v>184</v>
      </c>
      <c r="C186" s="181">
        <v>43132.0</v>
      </c>
      <c r="D186" s="182">
        <f t="shared" si="1"/>
        <v>2018</v>
      </c>
      <c r="E186" s="212" t="str">
        <f>hyperlink("https://www.amazon.com/What-About-Running-Vintage-International-ebook/dp/B0015DWJ8W/ref=sr_1_1?s=digital-text&amp;ie=UTF8&amp;qid=1524012436&amp;sr=1-1&amp;keywords=what+i+talk+about+when+i+talk+about+running+by+haruki+murakami","What I Talk About When I Talk About Running")</f>
        <v>What I Talk About When I Talk About Running</v>
      </c>
      <c r="F186" s="185" t="s">
        <v>1965</v>
      </c>
      <c r="G186" s="185" t="s">
        <v>1966</v>
      </c>
      <c r="H186" s="185" t="s">
        <v>106</v>
      </c>
      <c r="I186" s="210">
        <v>15.0</v>
      </c>
      <c r="J186" s="185" t="s">
        <v>1496</v>
      </c>
      <c r="K186" s="185">
        <v>194.0</v>
      </c>
      <c r="L186" s="185" t="s">
        <v>1574</v>
      </c>
      <c r="M186" s="211" t="s">
        <v>804</v>
      </c>
      <c r="N186" s="1"/>
    </row>
    <row r="187" ht="40.5" hidden="1" customHeight="1">
      <c r="A187" s="1"/>
      <c r="B187" s="202">
        <f t="shared" si="2"/>
        <v>185</v>
      </c>
      <c r="C187" s="181">
        <v>43261.0</v>
      </c>
      <c r="D187" s="182">
        <f t="shared" si="1"/>
        <v>2018</v>
      </c>
      <c r="E187" s="212" t="str">
        <f>hyperlink("https://www.amazon.com/gp/product/B00C3MFR2O/ref=oh_aui_d_detailpage_o08_?ie=UTF8&amp;psc=1","Racing Weight: How to get Lean for Peak Performance")</f>
        <v>Racing Weight: How to get Lean for Peak Performance</v>
      </c>
      <c r="F187" s="185" t="s">
        <v>1967</v>
      </c>
      <c r="G187" s="185" t="s">
        <v>1968</v>
      </c>
      <c r="H187" s="185" t="s">
        <v>106</v>
      </c>
      <c r="I187" s="210">
        <v>15.0</v>
      </c>
      <c r="J187" s="185" t="s">
        <v>1502</v>
      </c>
      <c r="K187" s="185">
        <v>290.0</v>
      </c>
      <c r="L187" s="185" t="s">
        <v>1526</v>
      </c>
      <c r="M187" s="211" t="s">
        <v>1527</v>
      </c>
      <c r="N187" s="1"/>
    </row>
    <row r="188" ht="40.5" hidden="1" customHeight="1">
      <c r="A188" s="1"/>
      <c r="B188" s="226">
        <f t="shared" si="2"/>
        <v>186</v>
      </c>
      <c r="C188" s="181">
        <v>43452.0</v>
      </c>
      <c r="D188" s="182">
        <f t="shared" si="1"/>
        <v>2018</v>
      </c>
      <c r="E188" s="212" t="str">
        <f>hyperlink("https://www.amazon.com/gp/product/006073731X/ref=oh_aui_detailpage_o06_s00?ie=UTF8&amp;psc=1","Not Fade Away: A Short Life Well Lived")</f>
        <v>Not Fade Away: A Short Life Well Lived</v>
      </c>
      <c r="F188" s="185" t="s">
        <v>1969</v>
      </c>
      <c r="G188" s="185" t="s">
        <v>1970</v>
      </c>
      <c r="H188" s="185" t="s">
        <v>106</v>
      </c>
      <c r="I188" s="210">
        <v>15.0</v>
      </c>
      <c r="J188" s="185" t="s">
        <v>1496</v>
      </c>
      <c r="K188" s="185">
        <v>224.0</v>
      </c>
      <c r="L188" s="185" t="s">
        <v>1497</v>
      </c>
      <c r="M188" s="211" t="s">
        <v>804</v>
      </c>
      <c r="N188" s="1"/>
    </row>
    <row r="189" ht="40.5" hidden="1" customHeight="1">
      <c r="A189" s="1"/>
      <c r="B189" s="226">
        <f t="shared" si="2"/>
        <v>187</v>
      </c>
      <c r="C189" s="181">
        <v>43471.0</v>
      </c>
      <c r="D189" s="182">
        <f t="shared" si="1"/>
        <v>2019</v>
      </c>
      <c r="E189" s="212" t="str">
        <f>hyperlink("https://www.amazon.com/s/ref=nb_sb_ss_c_2_21?url=search-alias%3Ddigital-text&amp;field-keywords=this+is+going+to+hurt&amp;sprefix=this+is+going+to+hurt%2Caps%2C195&amp;crid=15ZSY2HLGIEAB","This is going to hurt: Secret Diaries of a Junior Doctor")</f>
        <v>This is going to hurt: Secret Diaries of a Junior Doctor</v>
      </c>
      <c r="F189" s="185" t="s">
        <v>1971</v>
      </c>
      <c r="G189" s="185" t="s">
        <v>1972</v>
      </c>
      <c r="H189" s="185" t="s">
        <v>106</v>
      </c>
      <c r="I189" s="210">
        <v>15.0</v>
      </c>
      <c r="J189" s="185" t="s">
        <v>1496</v>
      </c>
      <c r="K189" s="185">
        <v>285.0</v>
      </c>
      <c r="L189" s="185" t="s">
        <v>1526</v>
      </c>
      <c r="M189" s="211" t="s">
        <v>1527</v>
      </c>
      <c r="N189" s="1"/>
    </row>
    <row r="190" ht="40.5" hidden="1" customHeight="1">
      <c r="A190" s="1"/>
      <c r="B190" s="202">
        <f t="shared" si="2"/>
        <v>188</v>
      </c>
      <c r="C190" s="181">
        <v>43492.0</v>
      </c>
      <c r="D190" s="182">
        <f t="shared" si="1"/>
        <v>2019</v>
      </c>
      <c r="E190" s="212" t="str">
        <f>hyperlink("https://www.amazon.com/Why-We-Sleep-Unlocking-Dreams-ebook/dp/B06ZZ1YGJ5/ref=tmm_kin_swatch_0?_encoding=UTF8&amp;qid=1550435448&amp;sr=1-1-spons","Why We Sleep: Unlocking the Power of Sleep and Dreams")</f>
        <v>Why We Sleep: Unlocking the Power of Sleep and Dreams</v>
      </c>
      <c r="F190" s="185" t="s">
        <v>1973</v>
      </c>
      <c r="G190" s="185" t="s">
        <v>1974</v>
      </c>
      <c r="H190" s="185" t="s">
        <v>106</v>
      </c>
      <c r="I190" s="210">
        <v>15.0</v>
      </c>
      <c r="J190" s="185" t="s">
        <v>1496</v>
      </c>
      <c r="K190" s="185">
        <v>369.0</v>
      </c>
      <c r="L190" s="185" t="s">
        <v>1526</v>
      </c>
      <c r="M190" s="227" t="s">
        <v>1527</v>
      </c>
      <c r="N190" s="1"/>
    </row>
    <row r="191" ht="40.5" hidden="1" customHeight="1">
      <c r="A191" s="1"/>
      <c r="B191" s="202">
        <f t="shared" si="2"/>
        <v>189</v>
      </c>
      <c r="C191" s="181">
        <v>43482.0</v>
      </c>
      <c r="D191" s="182">
        <f t="shared" si="1"/>
        <v>2019</v>
      </c>
      <c r="E191" s="212" t="str">
        <f>hyperlink("https://www.amazon.com/Flowers-Algernon-Daniel-Keyes-ebook/dp/B003WJQ74E/ref=sr_1_1?crid=13GJ82ONRQ7IH&amp;keywords=flowers+for+algernon&amp;qid=1550436166&amp;s=digital-text&amp;sprefix=flowers+for+alg%2Cdigital-text%2C203&amp;sr=1-1","Flowers for Algernon")</f>
        <v>Flowers for Algernon</v>
      </c>
      <c r="F191" s="185" t="s">
        <v>1975</v>
      </c>
      <c r="G191" s="185" t="s">
        <v>1976</v>
      </c>
      <c r="H191" s="185" t="s">
        <v>106</v>
      </c>
      <c r="I191" s="210">
        <v>15.0</v>
      </c>
      <c r="J191" s="185" t="s">
        <v>1509</v>
      </c>
      <c r="K191" s="185">
        <v>228.0</v>
      </c>
      <c r="L191" s="185" t="s">
        <v>1526</v>
      </c>
      <c r="M191" s="211" t="s">
        <v>1527</v>
      </c>
      <c r="N191" s="1"/>
    </row>
    <row r="192" ht="40.5" hidden="1" customHeight="1">
      <c r="A192" s="1"/>
      <c r="B192" s="202">
        <f t="shared" si="2"/>
        <v>190</v>
      </c>
      <c r="C192" s="181">
        <v>43736.0</v>
      </c>
      <c r="D192" s="182">
        <f t="shared" si="1"/>
        <v>2019</v>
      </c>
      <c r="E192" s="212" t="str">
        <f>hyperlink("https://www.amazon.com/gp/product/B007Z7UDF8/ref=x_gr_w_glide_sin?caller=Goodreads&amp;callerLink=https%3A%2F%2Fwww.goodreads.com%2Fbook%2Fshow%2F459744.Adventures_in_the_Screen_Trade&amp;tag=x_gr_w_glide_sin-20","Adventures in the Screen Trade")</f>
        <v>Adventures in the Screen Trade</v>
      </c>
      <c r="F192" s="185" t="s">
        <v>1977</v>
      </c>
      <c r="G192" s="185" t="s">
        <v>1978</v>
      </c>
      <c r="H192" s="185" t="s">
        <v>106</v>
      </c>
      <c r="I192" s="210">
        <v>15.0</v>
      </c>
      <c r="J192" s="185" t="s">
        <v>1496</v>
      </c>
      <c r="K192" s="185">
        <v>438.0</v>
      </c>
      <c r="L192" s="185" t="s">
        <v>1526</v>
      </c>
      <c r="M192" s="211" t="s">
        <v>1527</v>
      </c>
      <c r="N192" s="1"/>
    </row>
    <row r="193" ht="40.5" hidden="1" customHeight="1">
      <c r="A193" s="1"/>
      <c r="B193" s="202">
        <f t="shared" si="2"/>
        <v>191</v>
      </c>
      <c r="C193" s="181">
        <v>43559.0</v>
      </c>
      <c r="D193" s="182">
        <f t="shared" si="1"/>
        <v>2019</v>
      </c>
      <c r="E193" s="212" t="str">
        <f>hyperlink("https://www.amazon.com/Radical-Candor-Kim-Scott/dp/B01MY574EE/ref=sr_1_4?crid=1PW2T7SH7IE27&amp;keywords=radical+candor&amp;qid=1575244353&amp;s=digital-text&amp;sprefix=radical+can%2Cdigital-text%2C204&amp;sr=1-4","Radical Candor: Be a Kick-Ass Boss without losing your Humanity")</f>
        <v>Radical Candor: Be a Kick-Ass Boss without losing your Humanity</v>
      </c>
      <c r="F193" s="185" t="s">
        <v>1979</v>
      </c>
      <c r="G193" s="185" t="s">
        <v>1980</v>
      </c>
      <c r="H193" s="185" t="s">
        <v>106</v>
      </c>
      <c r="I193" s="210">
        <v>15.0</v>
      </c>
      <c r="J193" s="185" t="s">
        <v>1522</v>
      </c>
      <c r="K193" s="185">
        <v>336.0</v>
      </c>
      <c r="L193" s="185" t="s">
        <v>1526</v>
      </c>
      <c r="M193" s="211" t="s">
        <v>1527</v>
      </c>
      <c r="N193" s="1"/>
    </row>
    <row r="194" ht="40.5" hidden="1" customHeight="1">
      <c r="A194" s="1"/>
      <c r="B194" s="202">
        <f t="shared" si="2"/>
        <v>192</v>
      </c>
      <c r="C194" s="181">
        <v>43846.0</v>
      </c>
      <c r="D194" s="182">
        <f t="shared" si="1"/>
        <v>2020</v>
      </c>
      <c r="E194" s="212" t="str">
        <f>hyperlink("https://www.amazon.com/Believe-Me-Memoir-Death-Chickens-ebook/dp/B00SI0B9NG/ref=sr_1_1?crid=3ASPWIUJAANZI&amp;keywords=eddie+izzard+believe+me&amp;qid=1579282170&amp;sprefix=believe+izzard%2Caps%2C346&amp;sr=8-1","Believe Me: A Memoir of Life, Death, and Jazz Chickens")</f>
        <v>Believe Me: A Memoir of Life, Death, and Jazz Chickens</v>
      </c>
      <c r="F194" s="185" t="s">
        <v>1981</v>
      </c>
      <c r="G194" s="185" t="s">
        <v>1982</v>
      </c>
      <c r="H194" s="185" t="s">
        <v>106</v>
      </c>
      <c r="I194" s="210">
        <v>15.0</v>
      </c>
      <c r="J194" s="185" t="s">
        <v>1496</v>
      </c>
      <c r="K194" s="185">
        <v>368.0</v>
      </c>
      <c r="L194" s="185" t="s">
        <v>1574</v>
      </c>
      <c r="M194" s="211" t="s">
        <v>1527</v>
      </c>
      <c r="N194" s="1"/>
    </row>
    <row r="195" ht="30.0" hidden="1" customHeight="1">
      <c r="A195" s="1"/>
      <c r="B195" s="202">
        <f t="shared" si="2"/>
        <v>193</v>
      </c>
      <c r="C195" s="181">
        <v>43854.0</v>
      </c>
      <c r="D195" s="182">
        <f t="shared" si="1"/>
        <v>2020</v>
      </c>
      <c r="E195" s="212" t="str">
        <f>hyperlink("https://www.amazon.com/Youre-Not-Listening-Missing-Matters-ebook/dp/B07RYGHKND/ref=sr_1_1?crid=3GGEGVQRM0JMW&amp;keywords=you%27re+not+listening&amp;qid=1579903079&amp;sprefix=you%27re+not+listening%2Caps%2C205&amp;sr=8-1","You're Not Listening: What You're Missing and Why It Matters")</f>
        <v>You're Not Listening: What You're Missing and Why It Matters</v>
      </c>
      <c r="F195" s="185" t="s">
        <v>1983</v>
      </c>
      <c r="G195" s="185" t="s">
        <v>1984</v>
      </c>
      <c r="H195" s="185" t="s">
        <v>106</v>
      </c>
      <c r="I195" s="210">
        <v>15.0</v>
      </c>
      <c r="J195" s="185" t="s">
        <v>1496</v>
      </c>
      <c r="K195" s="185">
        <v>281.0</v>
      </c>
      <c r="L195" s="185" t="s">
        <v>1526</v>
      </c>
      <c r="M195" s="228" t="str">
        <f>HYPERLINK("https://www.notion.so/raybould/You-re-Not-Listening-What-You-re-Missing-and-Why-It-Matters-by-Kate-Murphy-B-A-Jan-24-2020-0d9a2e396f0949638c3ce1e7c8640d0f","YES")</f>
        <v>YES</v>
      </c>
      <c r="N195" s="1"/>
    </row>
    <row r="196" ht="40.5" hidden="1" customHeight="1">
      <c r="A196" s="1"/>
      <c r="B196" s="202">
        <f t="shared" si="2"/>
        <v>194</v>
      </c>
      <c r="C196" s="181">
        <v>43872.0</v>
      </c>
      <c r="D196" s="182">
        <f t="shared" si="1"/>
        <v>2020</v>
      </c>
      <c r="E196" s="212" t="str">
        <f>hyperlink("https://www.amazon.com/Difficult-Conversations-Discuss-What-Matters/dp/0143118447/ref=sr_1_1?keywords=difficult+conversat&amp;qid=1583125670&amp;sr=8-1","Difficult Conversations: How To Discuss What Matters Most")</f>
        <v>Difficult Conversations: How To Discuss What Matters Most</v>
      </c>
      <c r="F196" s="185" t="s">
        <v>1985</v>
      </c>
      <c r="G196" s="185" t="s">
        <v>1986</v>
      </c>
      <c r="H196" s="185" t="s">
        <v>106</v>
      </c>
      <c r="I196" s="210">
        <v>15.0</v>
      </c>
      <c r="J196" s="185" t="s">
        <v>1522</v>
      </c>
      <c r="K196" s="185">
        <v>352.0</v>
      </c>
      <c r="L196" s="185" t="s">
        <v>1526</v>
      </c>
      <c r="M196" s="228" t="str">
        <f>HYPERLINK("https://www.notion.so/raybould/Difficult-Conversations-How-to-Discuss-What-Matters-Most-by-Douglas-Stone-Bruce-Patton-B-A-Feb-b13851bb46704293a05e26757f9a53ea","YES")</f>
        <v>YES</v>
      </c>
      <c r="N196" s="1"/>
    </row>
    <row r="197" ht="40.5" hidden="1" customHeight="1">
      <c r="A197" s="1"/>
      <c r="B197" s="202">
        <f t="shared" si="2"/>
        <v>195</v>
      </c>
      <c r="C197" s="181">
        <v>44087.0</v>
      </c>
      <c r="D197" s="182">
        <f t="shared" si="1"/>
        <v>2020</v>
      </c>
      <c r="E197" s="212" t="str">
        <f>hyperlink("https://www.amazon.com/No-Rules-Netflix-Culture-Reinvention/dp/1984877860/ref=sr_1_1?crid=S63FMWGKG9SZ&amp;dchild=1&amp;keywords=no+rules+rules&amp;qid=1600494494&amp;s=books&amp;sprefix=no+rules+rules%2Cstripbooks%2C209&amp;sr=1-1","No Rules Rules: Netflix and the Culture of Reinvention")</f>
        <v>No Rules Rules: Netflix and the Culture of Reinvention</v>
      </c>
      <c r="F197" s="185" t="s">
        <v>1987</v>
      </c>
      <c r="G197" s="185" t="s">
        <v>1988</v>
      </c>
      <c r="H197" s="185" t="s">
        <v>106</v>
      </c>
      <c r="I197" s="210">
        <v>15.0</v>
      </c>
      <c r="J197" s="185" t="s">
        <v>1522</v>
      </c>
      <c r="K197" s="185">
        <v>320.0</v>
      </c>
      <c r="L197" s="185" t="s">
        <v>1526</v>
      </c>
      <c r="M197" s="228" t="s">
        <v>1527</v>
      </c>
      <c r="N197" s="1"/>
    </row>
    <row r="198" ht="40.5" hidden="1" customHeight="1">
      <c r="A198" s="1"/>
      <c r="B198" s="202">
        <f t="shared" si="2"/>
        <v>196</v>
      </c>
      <c r="C198" s="181">
        <v>44143.0</v>
      </c>
      <c r="D198" s="182">
        <f t="shared" si="1"/>
        <v>2020</v>
      </c>
      <c r="E198" s="212" t="str">
        <f>hyperlink("https://www.amazon.com/Greenlights-Matthew-McConaughey-ebook/dp/B086823SWK/ref=sr_1_1?dchild=1&amp;keywords=greenlights&amp;qid=1609615972&amp;s=digital-text&amp;sr=1-1","Greenlights")</f>
        <v>Greenlights</v>
      </c>
      <c r="F198" s="185" t="s">
        <v>1989</v>
      </c>
      <c r="G198" s="185" t="s">
        <v>1990</v>
      </c>
      <c r="H198" s="185" t="s">
        <v>106</v>
      </c>
      <c r="I198" s="210">
        <v>15.0</v>
      </c>
      <c r="J198" s="185" t="s">
        <v>1496</v>
      </c>
      <c r="K198" s="185">
        <v>288.0</v>
      </c>
      <c r="L198" s="185" t="s">
        <v>1574</v>
      </c>
      <c r="M198" s="228" t="s">
        <v>1527</v>
      </c>
      <c r="N198" s="1"/>
    </row>
    <row r="199" ht="40.5" hidden="1" customHeight="1">
      <c r="A199" s="1"/>
      <c r="B199" s="202">
        <f t="shared" si="2"/>
        <v>197</v>
      </c>
      <c r="C199" s="181">
        <v>44144.0</v>
      </c>
      <c r="D199" s="182">
        <f t="shared" si="1"/>
        <v>2020</v>
      </c>
      <c r="E199" s="212" t="str">
        <f>hyperlink("https://www.amazon.com/Breath-New-Science-Lost-Art-ebook/dp/B0818ZZNLR/ref=sr_1_1?crid=UBCLTD75A8DG&amp;keywords=breath+james+nestor&amp;qid=1609614966&amp;sprefix=breath+jams%2Caps%2C236&amp;sr=8-1","Breath: The New Science of a Lost Art")</f>
        <v>Breath: The New Science of a Lost Art</v>
      </c>
      <c r="F199" s="185" t="s">
        <v>1991</v>
      </c>
      <c r="G199" s="185" t="s">
        <v>1992</v>
      </c>
      <c r="H199" s="185" t="s">
        <v>106</v>
      </c>
      <c r="I199" s="210">
        <v>15.0</v>
      </c>
      <c r="J199" s="185" t="s">
        <v>1496</v>
      </c>
      <c r="K199" s="185">
        <v>301.0</v>
      </c>
      <c r="L199" s="185" t="s">
        <v>1526</v>
      </c>
      <c r="M199" s="228" t="s">
        <v>1527</v>
      </c>
      <c r="N199" s="1"/>
    </row>
    <row r="200" ht="40.5" hidden="1" customHeight="1">
      <c r="A200" s="1"/>
      <c r="B200" s="202">
        <f t="shared" si="2"/>
        <v>198</v>
      </c>
      <c r="C200" s="181">
        <v>44406.0</v>
      </c>
      <c r="D200" s="182">
        <f t="shared" si="1"/>
        <v>2021</v>
      </c>
      <c r="E200" s="229" t="s">
        <v>1993</v>
      </c>
      <c r="F200" s="185" t="s">
        <v>1994</v>
      </c>
      <c r="G200" s="185" t="s">
        <v>1995</v>
      </c>
      <c r="H200" s="185" t="s">
        <v>106</v>
      </c>
      <c r="I200" s="210">
        <v>15.0</v>
      </c>
      <c r="J200" s="185" t="s">
        <v>1496</v>
      </c>
      <c r="K200" s="185">
        <v>128.0</v>
      </c>
      <c r="L200" s="185" t="s">
        <v>1497</v>
      </c>
      <c r="M200" s="228" t="s">
        <v>1527</v>
      </c>
      <c r="N200" s="1"/>
    </row>
    <row r="201" ht="40.5" hidden="1" customHeight="1">
      <c r="A201" s="1"/>
      <c r="B201" s="202">
        <f t="shared" si="2"/>
        <v>199</v>
      </c>
      <c r="C201" s="181">
        <v>44466.0</v>
      </c>
      <c r="D201" s="182">
        <f t="shared" si="1"/>
        <v>2021</v>
      </c>
      <c r="E201" s="229" t="str">
        <f>hyperlink("https://www.amazon.com/Four-Thousand-Weeks-Management-Mortals-ebook/dp/B08FGV64B1/ref=sr_1_1?crid=2XTW847VK0DZ&amp;keywords=four+thousand+weeks&amp;qid=1637797817&amp;sprefix=four+thousand+weeks%2Caps%2C223&amp;sr=8-1","Four Thousand Weeks: Time Management for Mortals")</f>
        <v>Four Thousand Weeks: Time Management for Mortals</v>
      </c>
      <c r="F201" s="185" t="s">
        <v>1996</v>
      </c>
      <c r="G201" s="185" t="s">
        <v>1997</v>
      </c>
      <c r="H201" s="185" t="s">
        <v>106</v>
      </c>
      <c r="I201" s="210">
        <v>15.0</v>
      </c>
      <c r="J201" s="185" t="s">
        <v>1496</v>
      </c>
      <c r="K201" s="185">
        <v>290.0</v>
      </c>
      <c r="L201" s="185" t="s">
        <v>1526</v>
      </c>
      <c r="M201" s="228" t="s">
        <v>1527</v>
      </c>
      <c r="N201" s="1"/>
    </row>
    <row r="202" ht="40.5" hidden="1" customHeight="1">
      <c r="A202" s="1"/>
      <c r="B202" s="202">
        <f t="shared" si="2"/>
        <v>200</v>
      </c>
      <c r="C202" s="181">
        <v>44489.0</v>
      </c>
      <c r="D202" s="182">
        <f t="shared" si="1"/>
        <v>2021</v>
      </c>
      <c r="E202" s="229" t="str">
        <f>hyperlink("https://www.amazon.com/Designing-Your-Life-Well-Lived-Joyful-ebook/dp/B01BJSRSEC/ref=sr_1_1?crid=3GKH7CTT2SUSB&amp;keywords=designing+your+life&amp;qid=1637797458&amp;sprefix=designing+your+life%2Caps%2C235&amp;sr=8-1","Designing Your Life: How to Build a Well-Lived, Joyful Life")</f>
        <v>Designing Your Life: How to Build a Well-Lived, Joyful Life</v>
      </c>
      <c r="F202" s="185" t="s">
        <v>1998</v>
      </c>
      <c r="G202" s="185" t="s">
        <v>1999</v>
      </c>
      <c r="H202" s="185" t="s">
        <v>106</v>
      </c>
      <c r="I202" s="210">
        <v>15.0</v>
      </c>
      <c r="J202" s="185" t="s">
        <v>1496</v>
      </c>
      <c r="K202" s="185">
        <v>269.0</v>
      </c>
      <c r="L202" s="185" t="s">
        <v>1497</v>
      </c>
      <c r="M202" s="230" t="s">
        <v>1498</v>
      </c>
      <c r="N202" s="1"/>
    </row>
    <row r="203" ht="40.5" hidden="1" customHeight="1">
      <c r="A203" s="1"/>
      <c r="B203" s="202">
        <f t="shared" si="2"/>
        <v>201</v>
      </c>
      <c r="C203" s="181">
        <v>44487.0</v>
      </c>
      <c r="D203" s="182">
        <f t="shared" si="1"/>
        <v>2021</v>
      </c>
      <c r="E203" s="229" t="str">
        <f>hyperlink("https://www.amazon.com/Great-CEO-Within-Tactical-Building/dp/0578599287/ref=sr_1_1?keywords=the+ceo+within&amp;qid=1637797058&amp;sr=8-1","Great CEO Within, The: The Tactical Guide to Company Building")</f>
        <v>Great CEO Within, The: The Tactical Guide to Company Building</v>
      </c>
      <c r="F203" s="185" t="s">
        <v>2000</v>
      </c>
      <c r="G203" s="185" t="s">
        <v>2001</v>
      </c>
      <c r="H203" s="185" t="s">
        <v>106</v>
      </c>
      <c r="I203" s="210">
        <v>15.0</v>
      </c>
      <c r="J203" s="185" t="s">
        <v>1522</v>
      </c>
      <c r="K203" s="185">
        <v>202.0</v>
      </c>
      <c r="L203" s="185" t="s">
        <v>1526</v>
      </c>
      <c r="M203" s="228" t="s">
        <v>1527</v>
      </c>
      <c r="N203" s="1"/>
    </row>
    <row r="204" ht="40.5" hidden="1" customHeight="1">
      <c r="A204" s="1"/>
      <c r="B204" s="202">
        <f t="shared" si="2"/>
        <v>202</v>
      </c>
      <c r="C204" s="181">
        <v>44526.0</v>
      </c>
      <c r="D204" s="182">
        <f t="shared" si="1"/>
        <v>2021</v>
      </c>
      <c r="E204" s="229" t="str">
        <f>hyperlink("https://smile.amazon.com/Write-Useful-Books-recommendable-nonfiction-ebook/dp/B0983HFQX7/ref=sr_1_3?crid=1GBXHJZEO2MHM&amp;keywords=write+useful+books&amp;qid=1644695877&amp;s=digital-text&amp;sprefix=write+useful+boo%2Cdigital-text%2C140&amp;sr=1-3","Write Useful Books: A modern approach to designing and refining recommendable nonfiction")</f>
        <v>Write Useful Books: A modern approach to designing and refining recommendable nonfiction</v>
      </c>
      <c r="F204" s="185" t="s">
        <v>2002</v>
      </c>
      <c r="G204" s="185" t="s">
        <v>2003</v>
      </c>
      <c r="H204" s="185" t="s">
        <v>106</v>
      </c>
      <c r="I204" s="210">
        <v>15.0</v>
      </c>
      <c r="J204" s="185" t="s">
        <v>1522</v>
      </c>
      <c r="K204" s="185">
        <v>144.0</v>
      </c>
      <c r="L204" s="185" t="s">
        <v>1526</v>
      </c>
      <c r="M204" s="228" t="s">
        <v>1527</v>
      </c>
      <c r="N204" s="1"/>
    </row>
    <row r="205" ht="40.5" hidden="1" customHeight="1">
      <c r="A205" s="1"/>
      <c r="B205" s="202">
        <f t="shared" si="2"/>
        <v>203</v>
      </c>
      <c r="C205" s="181">
        <v>44553.0</v>
      </c>
      <c r="D205" s="182">
        <f t="shared" si="1"/>
        <v>2021</v>
      </c>
      <c r="E205" s="229" t="str">
        <f>hyperlink("https://smile.amazon.com/Sapiens-Humankind-Yuval-Noah-Harari-ebook/dp/B00ICN066A/ref=sr_1_1?keywords=sapiens+a+brief+history+of+humankind&amp;qid=1644695268&amp;sprefix=sapiens%2Caps%2C144&amp;sr=8-1","Sapiens")</f>
        <v>Sapiens</v>
      </c>
      <c r="F205" s="185" t="s">
        <v>2004</v>
      </c>
      <c r="G205" s="185" t="s">
        <v>2005</v>
      </c>
      <c r="H205" s="185" t="s">
        <v>106</v>
      </c>
      <c r="I205" s="210">
        <v>15.0</v>
      </c>
      <c r="J205" s="185" t="s">
        <v>1496</v>
      </c>
      <c r="K205" s="185">
        <v>469.0</v>
      </c>
      <c r="L205" s="185" t="s">
        <v>1526</v>
      </c>
      <c r="M205" s="228" t="s">
        <v>1527</v>
      </c>
      <c r="N205" s="1"/>
    </row>
    <row r="206" ht="40.5" hidden="1" customHeight="1">
      <c r="A206" s="1"/>
      <c r="B206" s="202">
        <f t="shared" si="2"/>
        <v>204</v>
      </c>
      <c r="C206" s="181">
        <v>44800.0</v>
      </c>
      <c r="D206" s="182">
        <f t="shared" si="1"/>
        <v>2022</v>
      </c>
      <c r="E206" s="231" t="s">
        <v>2006</v>
      </c>
      <c r="F206" s="185" t="s">
        <v>2007</v>
      </c>
      <c r="G206" s="185" t="s">
        <v>2008</v>
      </c>
      <c r="H206" s="185" t="s">
        <v>106</v>
      </c>
      <c r="I206" s="210">
        <v>15.0</v>
      </c>
      <c r="J206" s="185" t="s">
        <v>1496</v>
      </c>
      <c r="K206" s="185">
        <v>306.0</v>
      </c>
      <c r="L206" s="185" t="s">
        <v>1574</v>
      </c>
      <c r="M206" s="211" t="s">
        <v>804</v>
      </c>
      <c r="N206" s="1"/>
    </row>
    <row r="207" ht="40.5" hidden="1" customHeight="1">
      <c r="A207" s="1"/>
      <c r="B207" s="202">
        <f t="shared" si="2"/>
        <v>205</v>
      </c>
      <c r="C207" s="181">
        <v>45019.0</v>
      </c>
      <c r="D207" s="182">
        <f t="shared" si="1"/>
        <v>2023</v>
      </c>
      <c r="E207" s="231" t="str">
        <f>hyperlink("https://www.amazon.com/Inner-Game-Tennis-Classic-Performance-ebook/dp/B003T0G9E4/ref=tmm_kin_swatch_0?_encoding=UTF8&amp;qid=1687063206&amp;sr=1-1","Inner Game of Tennis, The: The Classic Guide to the Mental Side of Peak Performance")</f>
        <v>Inner Game of Tennis, The: The Classic Guide to the Mental Side of Peak Performance</v>
      </c>
      <c r="F207" s="185" t="s">
        <v>2009</v>
      </c>
      <c r="G207" s="185" t="s">
        <v>2010</v>
      </c>
      <c r="H207" s="185" t="s">
        <v>106</v>
      </c>
      <c r="I207" s="210">
        <v>15.0</v>
      </c>
      <c r="J207" s="185" t="s">
        <v>1496</v>
      </c>
      <c r="K207" s="185">
        <v>162.0</v>
      </c>
      <c r="L207" s="185" t="s">
        <v>1526</v>
      </c>
      <c r="M207" s="227" t="s">
        <v>1527</v>
      </c>
      <c r="N207" s="1"/>
    </row>
    <row r="208" ht="40.5" hidden="1" customHeight="1">
      <c r="A208" s="1"/>
      <c r="B208" s="202">
        <f t="shared" si="2"/>
        <v>206</v>
      </c>
      <c r="C208" s="181">
        <v>45113.0</v>
      </c>
      <c r="D208" s="182">
        <f t="shared" si="1"/>
        <v>2023</v>
      </c>
      <c r="E208" s="231" t="str">
        <f>hyperlink("https://www.amazon.com/Alter-Ego-Effect-Identities-Transform-ebook/dp/B075WPWMSK/ref=sr_1_1?crid=3FRLW9DWGJVW&amp;keywords=alter+ego+effect&amp;qid=1691469883&amp;sprefix=alter+ego+ef%2Caps%2C167&amp;sr=8-1","Alter Ego Effect, The: The Power of Secret Identities to Transform Your Life")</f>
        <v>Alter Ego Effect, The: The Power of Secret Identities to Transform Your Life</v>
      </c>
      <c r="F208" s="185" t="s">
        <v>2011</v>
      </c>
      <c r="G208" s="185" t="s">
        <v>2012</v>
      </c>
      <c r="H208" s="185" t="s">
        <v>106</v>
      </c>
      <c r="I208" s="210">
        <v>15.0</v>
      </c>
      <c r="J208" s="185" t="s">
        <v>1496</v>
      </c>
      <c r="K208" s="185">
        <v>259.0</v>
      </c>
      <c r="L208" s="185" t="s">
        <v>1526</v>
      </c>
      <c r="M208" s="227" t="s">
        <v>1527</v>
      </c>
      <c r="N208" s="1"/>
    </row>
    <row r="209" ht="40.5" hidden="1" customHeight="1">
      <c r="A209" s="1"/>
      <c r="B209" s="202">
        <f t="shared" si="2"/>
        <v>207</v>
      </c>
      <c r="C209" s="181">
        <v>45170.0</v>
      </c>
      <c r="D209" s="182">
        <f t="shared" si="1"/>
        <v>2023</v>
      </c>
      <c r="E209" s="231" t="str">
        <f>hyperlink("https://www.amazon.com/Strength-Finding-Success-Happiness-Purpose-ebook/dp/B08WCKY8MB/ref=sr_1_1?crid=1I6B4FIVQUSLA&amp;keywords=from+strength+to+strength+arthur+brooks&amp;qid=1694557494&amp;sprefix=from+st%2Caps%2C243&amp;sr=8-1","From Strength to Strength: Finding Success, Happiness, and Deep Purpose in the Second Half of Life")</f>
        <v>From Strength to Strength: Finding Success, Happiness, and Deep Purpose in the Second Half of Life</v>
      </c>
      <c r="F209" s="185" t="s">
        <v>2013</v>
      </c>
      <c r="G209" s="185" t="s">
        <v>2014</v>
      </c>
      <c r="H209" s="185" t="s">
        <v>106</v>
      </c>
      <c r="I209" s="210">
        <v>15.0</v>
      </c>
      <c r="J209" s="185" t="s">
        <v>1496</v>
      </c>
      <c r="K209" s="185">
        <v>270.0</v>
      </c>
      <c r="L209" s="185" t="s">
        <v>1526</v>
      </c>
      <c r="M209" s="227" t="s">
        <v>1527</v>
      </c>
      <c r="N209" s="1"/>
    </row>
    <row r="210" ht="40.5" hidden="1" customHeight="1">
      <c r="A210" s="1"/>
      <c r="B210" s="202">
        <f t="shared" si="2"/>
        <v>208</v>
      </c>
      <c r="C210" s="181">
        <v>45181.0</v>
      </c>
      <c r="D210" s="182">
        <f t="shared" si="1"/>
        <v>2023</v>
      </c>
      <c r="E210" s="231" t="str">
        <f>hyperlink("https://raybould.notion.site/Exercised-Why-Something-We-Never-Evolved-To-Do-Is-Healthy-and-Rewarding-by-Daniel-Lieberman-Sept-1-3570d1d8dfb6483e8f515b644ee2a708?pvs=4","Exercised: Why Something We Never Evolved To Do Is Healthy and Rewarding") </f>
        <v>Exercised: Why Something We Never Evolved To Do Is Healthy and Rewarding</v>
      </c>
      <c r="F210" s="185" t="s">
        <v>2015</v>
      </c>
      <c r="G210" s="185" t="s">
        <v>2016</v>
      </c>
      <c r="H210" s="185" t="s">
        <v>106</v>
      </c>
      <c r="I210" s="210">
        <v>15.0</v>
      </c>
      <c r="J210" s="185" t="s">
        <v>1496</v>
      </c>
      <c r="K210" s="185">
        <v>466.0</v>
      </c>
      <c r="L210" s="185" t="s">
        <v>1526</v>
      </c>
      <c r="M210" s="227" t="s">
        <v>1527</v>
      </c>
      <c r="N210" s="1"/>
    </row>
    <row r="211" ht="40.5" hidden="1" customHeight="1">
      <c r="A211" s="1"/>
      <c r="B211" s="202">
        <f t="shared" si="2"/>
        <v>209</v>
      </c>
      <c r="C211" s="181">
        <v>45277.0</v>
      </c>
      <c r="D211" s="182">
        <f t="shared" si="1"/>
        <v>2023</v>
      </c>
      <c r="E211" s="231" t="str">
        <f>hyperlink("https://a.co/d/gHWvaeO","Master, The: The Long Run and Beautiful Game of Roger Federer")</f>
        <v>Master, The: The Long Run and Beautiful Game of Roger Federer</v>
      </c>
      <c r="F211" s="185" t="s">
        <v>2017</v>
      </c>
      <c r="G211" s="185" t="s">
        <v>2018</v>
      </c>
      <c r="H211" s="185" t="s">
        <v>106</v>
      </c>
      <c r="I211" s="210">
        <v>15.0</v>
      </c>
      <c r="J211" s="185" t="s">
        <v>1502</v>
      </c>
      <c r="K211" s="185">
        <v>433.0</v>
      </c>
      <c r="L211" s="185" t="s">
        <v>1497</v>
      </c>
      <c r="M211" s="227" t="s">
        <v>1527</v>
      </c>
      <c r="N211" s="1"/>
    </row>
    <row r="212" ht="40.5" customHeight="1">
      <c r="A212" s="1"/>
      <c r="B212" s="202">
        <f t="shared" si="2"/>
        <v>210</v>
      </c>
      <c r="C212" s="181">
        <v>45887.0</v>
      </c>
      <c r="D212" s="182">
        <f t="shared" si="1"/>
        <v>2025</v>
      </c>
      <c r="E212" s="231" t="str">
        <f>hyperlink("https://a.co/d/dmCnJPH","Demon Copperhead")</f>
        <v>Demon Copperhead</v>
      </c>
      <c r="F212" s="185" t="s">
        <v>2019</v>
      </c>
      <c r="G212" s="185" t="s">
        <v>2020</v>
      </c>
      <c r="H212" s="185" t="s">
        <v>106</v>
      </c>
      <c r="I212" s="210">
        <v>15.0</v>
      </c>
      <c r="J212" s="185" t="s">
        <v>1509</v>
      </c>
      <c r="K212" s="185">
        <v>556.0</v>
      </c>
      <c r="L212" s="185" t="s">
        <v>1526</v>
      </c>
      <c r="M212" s="227" t="s">
        <v>1527</v>
      </c>
      <c r="N212" s="1"/>
    </row>
    <row r="213" ht="40.5" hidden="1" customHeight="1">
      <c r="A213" s="1"/>
      <c r="B213" s="202">
        <f t="shared" si="2"/>
        <v>211</v>
      </c>
      <c r="C213" s="181">
        <v>36282.0</v>
      </c>
      <c r="D213" s="182">
        <f t="shared" si="1"/>
        <v>1999</v>
      </c>
      <c r="E213" s="203" t="s">
        <v>2021</v>
      </c>
      <c r="F213" s="184" t="s">
        <v>2022</v>
      </c>
      <c r="G213" s="184" t="s">
        <v>2023</v>
      </c>
      <c r="H213" s="184" t="s">
        <v>201</v>
      </c>
      <c r="I213" s="28">
        <v>14.0</v>
      </c>
      <c r="J213" s="184" t="s">
        <v>1509</v>
      </c>
      <c r="K213" s="218"/>
      <c r="L213" s="184" t="s">
        <v>1497</v>
      </c>
      <c r="M213" s="186" t="s">
        <v>804</v>
      </c>
      <c r="N213" s="1"/>
    </row>
    <row r="214" ht="15.0" hidden="1" customHeight="1">
      <c r="A214" s="1"/>
      <c r="B214" s="232">
        <f t="shared" si="2"/>
        <v>212</v>
      </c>
      <c r="C214" s="181">
        <v>36332.0</v>
      </c>
      <c r="D214" s="182">
        <f t="shared" si="1"/>
        <v>1999</v>
      </c>
      <c r="E214" s="203" t="s">
        <v>2024</v>
      </c>
      <c r="F214" s="184" t="s">
        <v>2025</v>
      </c>
      <c r="G214" s="184" t="s">
        <v>2026</v>
      </c>
      <c r="H214" s="184" t="s">
        <v>201</v>
      </c>
      <c r="I214" s="28">
        <v>14.0</v>
      </c>
      <c r="J214" s="184" t="s">
        <v>1496</v>
      </c>
      <c r="K214" s="218"/>
      <c r="L214" s="184" t="s">
        <v>1497</v>
      </c>
      <c r="M214" s="186" t="s">
        <v>804</v>
      </c>
      <c r="N214" s="1"/>
    </row>
    <row r="215" ht="30.0" hidden="1" customHeight="1">
      <c r="A215" s="1"/>
      <c r="B215" s="232">
        <f t="shared" si="2"/>
        <v>213</v>
      </c>
      <c r="C215" s="181">
        <v>36560.0</v>
      </c>
      <c r="D215" s="182">
        <f t="shared" si="1"/>
        <v>2000</v>
      </c>
      <c r="E215" s="203" t="s">
        <v>2027</v>
      </c>
      <c r="F215" s="184" t="s">
        <v>2028</v>
      </c>
      <c r="G215" s="184" t="s">
        <v>2029</v>
      </c>
      <c r="H215" s="184" t="s">
        <v>201</v>
      </c>
      <c r="I215" s="28">
        <v>14.0</v>
      </c>
      <c r="J215" s="184" t="s">
        <v>1496</v>
      </c>
      <c r="K215" s="218"/>
      <c r="L215" s="184" t="s">
        <v>1497</v>
      </c>
      <c r="M215" s="211" t="s">
        <v>804</v>
      </c>
      <c r="N215" s="1"/>
    </row>
    <row r="216" ht="15.0" hidden="1" customHeight="1">
      <c r="A216" s="1"/>
      <c r="B216" s="232">
        <f t="shared" si="2"/>
        <v>214</v>
      </c>
      <c r="C216" s="181">
        <v>36611.0</v>
      </c>
      <c r="D216" s="182">
        <f t="shared" si="1"/>
        <v>2000</v>
      </c>
      <c r="E216" s="203" t="s">
        <v>2030</v>
      </c>
      <c r="F216" s="184" t="s">
        <v>2031</v>
      </c>
      <c r="G216" s="184" t="s">
        <v>2032</v>
      </c>
      <c r="H216" s="184" t="s">
        <v>201</v>
      </c>
      <c r="I216" s="28">
        <v>14.0</v>
      </c>
      <c r="J216" s="184" t="s">
        <v>1496</v>
      </c>
      <c r="K216" s="218"/>
      <c r="L216" s="184" t="s">
        <v>1497</v>
      </c>
      <c r="M216" s="186" t="s">
        <v>804</v>
      </c>
      <c r="N216" s="1"/>
    </row>
    <row r="217" ht="18.0" hidden="1" customHeight="1">
      <c r="A217" s="1"/>
      <c r="B217" s="232">
        <f t="shared" si="2"/>
        <v>215</v>
      </c>
      <c r="C217" s="181">
        <v>36750.0</v>
      </c>
      <c r="D217" s="182">
        <f t="shared" si="1"/>
        <v>2000</v>
      </c>
      <c r="E217" s="203" t="s">
        <v>2033</v>
      </c>
      <c r="F217" s="184" t="s">
        <v>2034</v>
      </c>
      <c r="G217" s="184" t="s">
        <v>2035</v>
      </c>
      <c r="H217" s="184" t="s">
        <v>201</v>
      </c>
      <c r="I217" s="28">
        <v>14.0</v>
      </c>
      <c r="J217" s="184" t="s">
        <v>1760</v>
      </c>
      <c r="K217" s="218"/>
      <c r="L217" s="184" t="s">
        <v>1497</v>
      </c>
      <c r="M217" s="186" t="s">
        <v>804</v>
      </c>
      <c r="N217" s="1"/>
    </row>
    <row r="218" ht="30.0" hidden="1" customHeight="1">
      <c r="A218" s="1"/>
      <c r="B218" s="232">
        <f t="shared" si="2"/>
        <v>216</v>
      </c>
      <c r="C218" s="181">
        <v>36758.0</v>
      </c>
      <c r="D218" s="182">
        <f t="shared" si="1"/>
        <v>2000</v>
      </c>
      <c r="E218" s="203" t="s">
        <v>835</v>
      </c>
      <c r="F218" s="184" t="s">
        <v>2036</v>
      </c>
      <c r="G218" s="184" t="s">
        <v>2037</v>
      </c>
      <c r="H218" s="184" t="s">
        <v>201</v>
      </c>
      <c r="I218" s="28">
        <v>14.0</v>
      </c>
      <c r="J218" s="184" t="s">
        <v>1760</v>
      </c>
      <c r="K218" s="218"/>
      <c r="L218" s="184" t="s">
        <v>1497</v>
      </c>
      <c r="M218" s="186" t="s">
        <v>1498</v>
      </c>
      <c r="N218" s="1"/>
    </row>
    <row r="219" ht="18.0" hidden="1" customHeight="1">
      <c r="A219" s="1"/>
      <c r="B219" s="232">
        <f t="shared" si="2"/>
        <v>217</v>
      </c>
      <c r="C219" s="181">
        <v>36800.0</v>
      </c>
      <c r="D219" s="182">
        <f t="shared" si="1"/>
        <v>2000</v>
      </c>
      <c r="E219" s="203" t="s">
        <v>2038</v>
      </c>
      <c r="F219" s="184" t="s">
        <v>2028</v>
      </c>
      <c r="G219" s="184" t="s">
        <v>2039</v>
      </c>
      <c r="H219" s="184" t="s">
        <v>201</v>
      </c>
      <c r="I219" s="28">
        <v>14.0</v>
      </c>
      <c r="J219" s="184" t="s">
        <v>1496</v>
      </c>
      <c r="K219" s="218"/>
      <c r="L219" s="184" t="s">
        <v>1497</v>
      </c>
      <c r="M219" s="186" t="s">
        <v>1498</v>
      </c>
      <c r="N219" s="1"/>
    </row>
    <row r="220" ht="30.0" hidden="1" customHeight="1">
      <c r="A220" s="1"/>
      <c r="B220" s="232">
        <f t="shared" si="2"/>
        <v>218</v>
      </c>
      <c r="C220" s="181">
        <v>37054.0</v>
      </c>
      <c r="D220" s="182">
        <f t="shared" si="1"/>
        <v>2001</v>
      </c>
      <c r="E220" s="203" t="s">
        <v>2040</v>
      </c>
      <c r="F220" s="184" t="s">
        <v>2041</v>
      </c>
      <c r="G220" s="184" t="s">
        <v>2042</v>
      </c>
      <c r="H220" s="184" t="s">
        <v>201</v>
      </c>
      <c r="I220" s="28">
        <v>14.0</v>
      </c>
      <c r="J220" s="184" t="s">
        <v>1509</v>
      </c>
      <c r="K220" s="218"/>
      <c r="L220" s="184" t="s">
        <v>1497</v>
      </c>
      <c r="M220" s="186" t="s">
        <v>804</v>
      </c>
      <c r="N220" s="1"/>
    </row>
    <row r="221" ht="20.25" hidden="1" customHeight="1">
      <c r="A221" s="1"/>
      <c r="B221" s="232">
        <f t="shared" si="2"/>
        <v>219</v>
      </c>
      <c r="C221" s="181">
        <v>37084.0</v>
      </c>
      <c r="D221" s="182">
        <f t="shared" si="1"/>
        <v>2001</v>
      </c>
      <c r="E221" s="203" t="s">
        <v>2043</v>
      </c>
      <c r="F221" s="184" t="s">
        <v>2044</v>
      </c>
      <c r="G221" s="184" t="s">
        <v>2045</v>
      </c>
      <c r="H221" s="219" t="s">
        <v>201</v>
      </c>
      <c r="I221" s="28">
        <v>14.0</v>
      </c>
      <c r="J221" s="184" t="s">
        <v>1502</v>
      </c>
      <c r="K221" s="218"/>
      <c r="L221" s="184" t="s">
        <v>1497</v>
      </c>
      <c r="M221" s="186" t="s">
        <v>804</v>
      </c>
      <c r="N221" s="1"/>
    </row>
    <row r="222" ht="24.0" hidden="1" customHeight="1">
      <c r="A222" s="1"/>
      <c r="B222" s="232">
        <f t="shared" si="2"/>
        <v>220</v>
      </c>
      <c r="C222" s="181">
        <v>37512.0</v>
      </c>
      <c r="D222" s="182">
        <f t="shared" si="1"/>
        <v>2002</v>
      </c>
      <c r="E222" s="203" t="s">
        <v>2046</v>
      </c>
      <c r="F222" s="184" t="s">
        <v>2047</v>
      </c>
      <c r="G222" s="184" t="s">
        <v>2048</v>
      </c>
      <c r="H222" s="184" t="s">
        <v>201</v>
      </c>
      <c r="I222" s="28">
        <v>14.0</v>
      </c>
      <c r="J222" s="184" t="s">
        <v>1496</v>
      </c>
      <c r="K222" s="218"/>
      <c r="L222" s="184" t="s">
        <v>1497</v>
      </c>
      <c r="M222" s="186" t="s">
        <v>1498</v>
      </c>
      <c r="N222" s="1"/>
    </row>
    <row r="223" ht="25.5" hidden="1" customHeight="1">
      <c r="A223" s="1"/>
      <c r="B223" s="232">
        <f t="shared" si="2"/>
        <v>221</v>
      </c>
      <c r="C223" s="181">
        <v>37592.0</v>
      </c>
      <c r="D223" s="182">
        <f t="shared" si="1"/>
        <v>2002</v>
      </c>
      <c r="E223" s="203" t="s">
        <v>2049</v>
      </c>
      <c r="F223" s="184" t="s">
        <v>1762</v>
      </c>
      <c r="G223" s="184" t="s">
        <v>2050</v>
      </c>
      <c r="H223" s="184" t="s">
        <v>201</v>
      </c>
      <c r="I223" s="28">
        <v>14.0</v>
      </c>
      <c r="J223" s="184" t="s">
        <v>1760</v>
      </c>
      <c r="K223" s="218"/>
      <c r="L223" s="184" t="s">
        <v>1497</v>
      </c>
      <c r="M223" s="186" t="s">
        <v>1498</v>
      </c>
      <c r="N223" s="1"/>
    </row>
    <row r="224" ht="30.0" hidden="1" customHeight="1">
      <c r="A224" s="1"/>
      <c r="B224" s="232">
        <f t="shared" si="2"/>
        <v>222</v>
      </c>
      <c r="C224" s="181">
        <v>37620.0</v>
      </c>
      <c r="D224" s="182">
        <f t="shared" si="1"/>
        <v>2002</v>
      </c>
      <c r="E224" s="203" t="s">
        <v>2051</v>
      </c>
      <c r="F224" s="184" t="s">
        <v>1762</v>
      </c>
      <c r="G224" s="184" t="s">
        <v>2052</v>
      </c>
      <c r="H224" s="184" t="s">
        <v>201</v>
      </c>
      <c r="I224" s="28">
        <v>14.0</v>
      </c>
      <c r="J224" s="184" t="s">
        <v>1760</v>
      </c>
      <c r="K224" s="218"/>
      <c r="L224" s="184" t="s">
        <v>1497</v>
      </c>
      <c r="M224" s="186" t="s">
        <v>1498</v>
      </c>
      <c r="N224" s="1"/>
    </row>
    <row r="225" ht="15.0" hidden="1" customHeight="1">
      <c r="A225" s="1"/>
      <c r="B225" s="232">
        <f t="shared" si="2"/>
        <v>223</v>
      </c>
      <c r="C225" s="181">
        <v>37640.0</v>
      </c>
      <c r="D225" s="182">
        <f t="shared" si="1"/>
        <v>2003</v>
      </c>
      <c r="E225" s="203" t="s">
        <v>2053</v>
      </c>
      <c r="F225" s="184" t="s">
        <v>2054</v>
      </c>
      <c r="G225" s="184" t="s">
        <v>2055</v>
      </c>
      <c r="H225" s="184" t="s">
        <v>201</v>
      </c>
      <c r="I225" s="28">
        <v>14.0</v>
      </c>
      <c r="J225" s="184" t="s">
        <v>1760</v>
      </c>
      <c r="K225" s="218"/>
      <c r="L225" s="184" t="s">
        <v>1497</v>
      </c>
      <c r="M225" s="186" t="s">
        <v>1498</v>
      </c>
      <c r="N225" s="1"/>
    </row>
    <row r="226" ht="30.0" hidden="1" customHeight="1">
      <c r="A226" s="1"/>
      <c r="B226" s="232">
        <f t="shared" si="2"/>
        <v>224</v>
      </c>
      <c r="C226" s="181">
        <v>37728.0</v>
      </c>
      <c r="D226" s="182">
        <f t="shared" si="1"/>
        <v>2003</v>
      </c>
      <c r="E226" s="203" t="s">
        <v>2056</v>
      </c>
      <c r="F226" s="184" t="s">
        <v>2057</v>
      </c>
      <c r="G226" s="184" t="s">
        <v>2058</v>
      </c>
      <c r="H226" s="184" t="s">
        <v>201</v>
      </c>
      <c r="I226" s="28">
        <v>14.0</v>
      </c>
      <c r="J226" s="184" t="s">
        <v>1496</v>
      </c>
      <c r="K226" s="218"/>
      <c r="L226" s="184" t="s">
        <v>1497</v>
      </c>
      <c r="M226" s="186" t="s">
        <v>1498</v>
      </c>
      <c r="N226" s="1"/>
    </row>
    <row r="227" ht="39.75" hidden="1" customHeight="1">
      <c r="A227" s="1"/>
      <c r="B227" s="232">
        <f t="shared" si="2"/>
        <v>225</v>
      </c>
      <c r="C227" s="181">
        <v>37974.0</v>
      </c>
      <c r="D227" s="182">
        <f t="shared" si="1"/>
        <v>2003</v>
      </c>
      <c r="E227" s="203" t="s">
        <v>2059</v>
      </c>
      <c r="F227" s="184" t="s">
        <v>2060</v>
      </c>
      <c r="G227" s="184" t="s">
        <v>2061</v>
      </c>
      <c r="H227" s="184" t="s">
        <v>201</v>
      </c>
      <c r="I227" s="28">
        <v>14.0</v>
      </c>
      <c r="J227" s="184" t="s">
        <v>1502</v>
      </c>
      <c r="K227" s="218"/>
      <c r="L227" s="184" t="s">
        <v>1497</v>
      </c>
      <c r="M227" s="186" t="s">
        <v>804</v>
      </c>
      <c r="N227" s="1"/>
    </row>
    <row r="228" ht="42.0" hidden="1" customHeight="1">
      <c r="A228" s="1"/>
      <c r="B228" s="232">
        <f t="shared" si="2"/>
        <v>226</v>
      </c>
      <c r="C228" s="181">
        <v>37978.0</v>
      </c>
      <c r="D228" s="182">
        <f t="shared" si="1"/>
        <v>2003</v>
      </c>
      <c r="E228" s="203" t="s">
        <v>2062</v>
      </c>
      <c r="F228" s="184" t="s">
        <v>2063</v>
      </c>
      <c r="G228" s="184" t="s">
        <v>2064</v>
      </c>
      <c r="H228" s="184" t="s">
        <v>201</v>
      </c>
      <c r="I228" s="28">
        <v>14.0</v>
      </c>
      <c r="J228" s="184" t="s">
        <v>1496</v>
      </c>
      <c r="K228" s="218"/>
      <c r="L228" s="184" t="s">
        <v>1497</v>
      </c>
      <c r="M228" s="186" t="s">
        <v>804</v>
      </c>
      <c r="N228" s="1"/>
    </row>
    <row r="229" ht="15.0" hidden="1" customHeight="1">
      <c r="A229" s="1"/>
      <c r="B229" s="232">
        <f t="shared" si="2"/>
        <v>227</v>
      </c>
      <c r="C229" s="181">
        <v>38029.0</v>
      </c>
      <c r="D229" s="182">
        <f t="shared" si="1"/>
        <v>2004</v>
      </c>
      <c r="E229" s="203" t="s">
        <v>2065</v>
      </c>
      <c r="F229" s="184" t="s">
        <v>2066</v>
      </c>
      <c r="G229" s="184" t="s">
        <v>2067</v>
      </c>
      <c r="H229" s="184" t="s">
        <v>201</v>
      </c>
      <c r="I229" s="28">
        <v>14.0</v>
      </c>
      <c r="J229" s="184" t="s">
        <v>1522</v>
      </c>
      <c r="K229" s="218"/>
      <c r="L229" s="184" t="s">
        <v>1497</v>
      </c>
      <c r="M229" s="186" t="s">
        <v>1498</v>
      </c>
      <c r="N229" s="1"/>
    </row>
    <row r="230" ht="15.0" hidden="1" customHeight="1">
      <c r="A230" s="1"/>
      <c r="B230" s="232">
        <f t="shared" si="2"/>
        <v>228</v>
      </c>
      <c r="C230" s="181">
        <v>38042.0</v>
      </c>
      <c r="D230" s="182">
        <f t="shared" si="1"/>
        <v>2004</v>
      </c>
      <c r="E230" s="203" t="s">
        <v>2068</v>
      </c>
      <c r="F230" s="184" t="s">
        <v>1767</v>
      </c>
      <c r="G230" s="184" t="s">
        <v>2069</v>
      </c>
      <c r="H230" s="184" t="s">
        <v>201</v>
      </c>
      <c r="I230" s="28">
        <v>14.0</v>
      </c>
      <c r="J230" s="184" t="s">
        <v>1522</v>
      </c>
      <c r="K230" s="218"/>
      <c r="L230" s="184" t="s">
        <v>1497</v>
      </c>
      <c r="M230" s="186" t="s">
        <v>1498</v>
      </c>
      <c r="N230" s="1"/>
    </row>
    <row r="231" ht="26.25" hidden="1" customHeight="1">
      <c r="A231" s="1"/>
      <c r="B231" s="232">
        <f t="shared" si="2"/>
        <v>229</v>
      </c>
      <c r="C231" s="181">
        <v>38189.0</v>
      </c>
      <c r="D231" s="182">
        <f t="shared" si="1"/>
        <v>2004</v>
      </c>
      <c r="E231" s="203" t="s">
        <v>2070</v>
      </c>
      <c r="F231" s="184" t="s">
        <v>2071</v>
      </c>
      <c r="G231" s="184" t="s">
        <v>2072</v>
      </c>
      <c r="H231" s="184" t="s">
        <v>201</v>
      </c>
      <c r="I231" s="28">
        <v>14.0</v>
      </c>
      <c r="J231" s="184" t="s">
        <v>1760</v>
      </c>
      <c r="K231" s="218"/>
      <c r="L231" s="184" t="s">
        <v>1497</v>
      </c>
      <c r="M231" s="186" t="s">
        <v>1498</v>
      </c>
      <c r="N231" s="1"/>
    </row>
    <row r="232" ht="15.0" hidden="1" customHeight="1">
      <c r="A232" s="1"/>
      <c r="B232" s="232">
        <f t="shared" si="2"/>
        <v>230</v>
      </c>
      <c r="C232" s="181">
        <v>38211.0</v>
      </c>
      <c r="D232" s="182">
        <f t="shared" si="1"/>
        <v>2004</v>
      </c>
      <c r="E232" s="203" t="s">
        <v>2073</v>
      </c>
      <c r="F232" s="184" t="s">
        <v>2074</v>
      </c>
      <c r="G232" s="184" t="s">
        <v>2075</v>
      </c>
      <c r="H232" s="184" t="s">
        <v>201</v>
      </c>
      <c r="I232" s="28">
        <v>14.0</v>
      </c>
      <c r="J232" s="184" t="s">
        <v>1509</v>
      </c>
      <c r="K232" s="218"/>
      <c r="L232" s="184" t="s">
        <v>1497</v>
      </c>
      <c r="M232" s="186" t="s">
        <v>804</v>
      </c>
      <c r="N232" s="1"/>
    </row>
    <row r="233" ht="15.0" hidden="1" customHeight="1">
      <c r="A233" s="1"/>
      <c r="B233" s="232">
        <f t="shared" si="2"/>
        <v>231</v>
      </c>
      <c r="C233" s="181">
        <v>38219.0</v>
      </c>
      <c r="D233" s="182">
        <f t="shared" si="1"/>
        <v>2004</v>
      </c>
      <c r="E233" s="203" t="s">
        <v>2076</v>
      </c>
      <c r="F233" s="184" t="s">
        <v>1781</v>
      </c>
      <c r="G233" s="184" t="s">
        <v>2077</v>
      </c>
      <c r="H233" s="184" t="s">
        <v>201</v>
      </c>
      <c r="I233" s="28">
        <v>14.0</v>
      </c>
      <c r="J233" s="184" t="s">
        <v>1496</v>
      </c>
      <c r="K233" s="218"/>
      <c r="L233" s="184" t="s">
        <v>1497</v>
      </c>
      <c r="M233" s="186" t="s">
        <v>804</v>
      </c>
      <c r="N233" s="1"/>
    </row>
    <row r="234" ht="24.0" hidden="1" customHeight="1">
      <c r="A234" s="1"/>
      <c r="B234" s="232">
        <f t="shared" si="2"/>
        <v>232</v>
      </c>
      <c r="C234" s="181">
        <v>38504.0</v>
      </c>
      <c r="D234" s="182">
        <f t="shared" si="1"/>
        <v>2005</v>
      </c>
      <c r="E234" s="203" t="s">
        <v>2078</v>
      </c>
      <c r="F234" s="184" t="s">
        <v>1790</v>
      </c>
      <c r="G234" s="184" t="s">
        <v>2079</v>
      </c>
      <c r="H234" s="184" t="s">
        <v>201</v>
      </c>
      <c r="I234" s="28">
        <v>14.0</v>
      </c>
      <c r="J234" s="184" t="s">
        <v>1496</v>
      </c>
      <c r="K234" s="218"/>
      <c r="L234" s="184" t="s">
        <v>1497</v>
      </c>
      <c r="M234" s="186" t="s">
        <v>1498</v>
      </c>
      <c r="N234" s="1"/>
    </row>
    <row r="235" ht="38.25" hidden="1" customHeight="1">
      <c r="A235" s="1"/>
      <c r="B235" s="232">
        <f t="shared" si="2"/>
        <v>233</v>
      </c>
      <c r="C235" s="181">
        <v>38634.0</v>
      </c>
      <c r="D235" s="182">
        <f t="shared" si="1"/>
        <v>2005</v>
      </c>
      <c r="E235" s="203" t="s">
        <v>2080</v>
      </c>
      <c r="F235" s="184" t="s">
        <v>2081</v>
      </c>
      <c r="G235" s="184" t="s">
        <v>2082</v>
      </c>
      <c r="H235" s="184" t="s">
        <v>201</v>
      </c>
      <c r="I235" s="28">
        <v>14.0</v>
      </c>
      <c r="J235" s="184" t="s">
        <v>1496</v>
      </c>
      <c r="K235" s="218"/>
      <c r="L235" s="184" t="s">
        <v>1497</v>
      </c>
      <c r="M235" s="186" t="s">
        <v>1498</v>
      </c>
      <c r="N235" s="1"/>
    </row>
    <row r="236" ht="26.25" hidden="1" customHeight="1">
      <c r="A236" s="1"/>
      <c r="B236" s="232">
        <f t="shared" si="2"/>
        <v>234</v>
      </c>
      <c r="C236" s="181">
        <v>38739.0</v>
      </c>
      <c r="D236" s="182">
        <f t="shared" si="1"/>
        <v>2006</v>
      </c>
      <c r="E236" s="203" t="s">
        <v>2083</v>
      </c>
      <c r="F236" s="184" t="s">
        <v>2084</v>
      </c>
      <c r="G236" s="184" t="s">
        <v>2085</v>
      </c>
      <c r="H236" s="184" t="s">
        <v>201</v>
      </c>
      <c r="I236" s="28">
        <v>14.0</v>
      </c>
      <c r="J236" s="184" t="s">
        <v>1522</v>
      </c>
      <c r="K236" s="218"/>
      <c r="L236" s="184" t="s">
        <v>1497</v>
      </c>
      <c r="M236" s="186" t="s">
        <v>1498</v>
      </c>
      <c r="N236" s="1"/>
    </row>
    <row r="237" ht="51.75" hidden="1" customHeight="1">
      <c r="A237" s="1"/>
      <c r="B237" s="232">
        <f t="shared" si="2"/>
        <v>235</v>
      </c>
      <c r="C237" s="181">
        <v>38893.0</v>
      </c>
      <c r="D237" s="182">
        <f t="shared" si="1"/>
        <v>2006</v>
      </c>
      <c r="E237" s="203" t="s">
        <v>2086</v>
      </c>
      <c r="F237" s="184" t="s">
        <v>2087</v>
      </c>
      <c r="G237" s="184" t="s">
        <v>2088</v>
      </c>
      <c r="H237" s="184" t="s">
        <v>201</v>
      </c>
      <c r="I237" s="28">
        <v>14.0</v>
      </c>
      <c r="J237" s="184" t="s">
        <v>1496</v>
      </c>
      <c r="K237" s="218"/>
      <c r="L237" s="184" t="s">
        <v>1497</v>
      </c>
      <c r="M237" s="186" t="s">
        <v>1498</v>
      </c>
      <c r="N237" s="1"/>
    </row>
    <row r="238" ht="27.0" hidden="1" customHeight="1">
      <c r="A238" s="1"/>
      <c r="B238" s="232">
        <f t="shared" si="2"/>
        <v>236</v>
      </c>
      <c r="C238" s="181">
        <v>38897.0</v>
      </c>
      <c r="D238" s="182">
        <f t="shared" si="1"/>
        <v>2006</v>
      </c>
      <c r="E238" s="203" t="s">
        <v>2089</v>
      </c>
      <c r="F238" s="184" t="s">
        <v>1845</v>
      </c>
      <c r="G238" s="184" t="s">
        <v>2090</v>
      </c>
      <c r="H238" s="184" t="s">
        <v>201</v>
      </c>
      <c r="I238" s="28">
        <v>14.0</v>
      </c>
      <c r="J238" s="184" t="s">
        <v>1509</v>
      </c>
      <c r="K238" s="218"/>
      <c r="L238" s="184" t="s">
        <v>1497</v>
      </c>
      <c r="M238" s="186" t="s">
        <v>804</v>
      </c>
      <c r="N238" s="1"/>
    </row>
    <row r="239" ht="39.0" hidden="1" customHeight="1">
      <c r="A239" s="1"/>
      <c r="B239" s="232">
        <f t="shared" si="2"/>
        <v>237</v>
      </c>
      <c r="C239" s="181">
        <v>39040.0</v>
      </c>
      <c r="D239" s="182">
        <f t="shared" si="1"/>
        <v>2006</v>
      </c>
      <c r="E239" s="203" t="s">
        <v>2091</v>
      </c>
      <c r="F239" s="184" t="s">
        <v>1905</v>
      </c>
      <c r="G239" s="184" t="s">
        <v>2092</v>
      </c>
      <c r="H239" s="184" t="s">
        <v>201</v>
      </c>
      <c r="I239" s="28">
        <v>14.0</v>
      </c>
      <c r="J239" s="184" t="s">
        <v>1522</v>
      </c>
      <c r="K239" s="218"/>
      <c r="L239" s="184" t="s">
        <v>1497</v>
      </c>
      <c r="M239" s="186" t="s">
        <v>1498</v>
      </c>
      <c r="N239" s="1"/>
    </row>
    <row r="240" ht="26.25" hidden="1" customHeight="1">
      <c r="A240" s="1"/>
      <c r="B240" s="232">
        <f t="shared" si="2"/>
        <v>238</v>
      </c>
      <c r="C240" s="181">
        <v>39044.0</v>
      </c>
      <c r="D240" s="182">
        <f t="shared" si="1"/>
        <v>2006</v>
      </c>
      <c r="E240" s="203" t="s">
        <v>440</v>
      </c>
      <c r="F240" s="184" t="s">
        <v>1767</v>
      </c>
      <c r="G240" s="184" t="s">
        <v>2093</v>
      </c>
      <c r="H240" s="184" t="s">
        <v>201</v>
      </c>
      <c r="I240" s="28">
        <v>14.0</v>
      </c>
      <c r="J240" s="184" t="s">
        <v>1502</v>
      </c>
      <c r="K240" s="218"/>
      <c r="L240" s="184" t="s">
        <v>1497</v>
      </c>
      <c r="M240" s="186" t="s">
        <v>1498</v>
      </c>
      <c r="N240" s="1"/>
    </row>
    <row r="241" ht="38.25" hidden="1" customHeight="1">
      <c r="A241" s="1"/>
      <c r="B241" s="232">
        <f t="shared" si="2"/>
        <v>239</v>
      </c>
      <c r="C241" s="181">
        <v>39066.0</v>
      </c>
      <c r="D241" s="182">
        <f t="shared" si="1"/>
        <v>2006</v>
      </c>
      <c r="E241" s="203" t="s">
        <v>2094</v>
      </c>
      <c r="F241" s="184" t="s">
        <v>2095</v>
      </c>
      <c r="G241" s="184" t="s">
        <v>2096</v>
      </c>
      <c r="H241" s="184" t="s">
        <v>201</v>
      </c>
      <c r="I241" s="28">
        <v>14.0</v>
      </c>
      <c r="J241" s="184" t="s">
        <v>1496</v>
      </c>
      <c r="K241" s="218"/>
      <c r="L241" s="184" t="s">
        <v>1497</v>
      </c>
      <c r="M241" s="186" t="s">
        <v>1498</v>
      </c>
      <c r="N241" s="1"/>
    </row>
    <row r="242" ht="30.0" hidden="1" customHeight="1">
      <c r="A242" s="1"/>
      <c r="B242" s="232">
        <f t="shared" si="2"/>
        <v>240</v>
      </c>
      <c r="C242" s="181">
        <v>39078.0</v>
      </c>
      <c r="D242" s="182">
        <f t="shared" si="1"/>
        <v>2006</v>
      </c>
      <c r="E242" s="203" t="s">
        <v>2097</v>
      </c>
      <c r="F242" s="184" t="s">
        <v>2098</v>
      </c>
      <c r="G242" s="184" t="s">
        <v>2099</v>
      </c>
      <c r="H242" s="184" t="s">
        <v>201</v>
      </c>
      <c r="I242" s="28">
        <v>14.0</v>
      </c>
      <c r="J242" s="184" t="s">
        <v>1522</v>
      </c>
      <c r="K242" s="218"/>
      <c r="L242" s="184" t="s">
        <v>1497</v>
      </c>
      <c r="M242" s="186" t="s">
        <v>1498</v>
      </c>
      <c r="N242" s="1"/>
    </row>
    <row r="243" ht="38.25" hidden="1" customHeight="1">
      <c r="A243" s="1"/>
      <c r="B243" s="232">
        <f t="shared" si="2"/>
        <v>241</v>
      </c>
      <c r="C243" s="181">
        <v>39093.0</v>
      </c>
      <c r="D243" s="182">
        <f t="shared" si="1"/>
        <v>2007</v>
      </c>
      <c r="E243" s="203" t="s">
        <v>2100</v>
      </c>
      <c r="F243" s="184" t="s">
        <v>2101</v>
      </c>
      <c r="G243" s="184" t="s">
        <v>2102</v>
      </c>
      <c r="H243" s="184" t="s">
        <v>201</v>
      </c>
      <c r="I243" s="28">
        <v>14.0</v>
      </c>
      <c r="J243" s="184" t="s">
        <v>1522</v>
      </c>
      <c r="K243" s="218"/>
      <c r="L243" s="184" t="s">
        <v>1497</v>
      </c>
      <c r="M243" s="186" t="s">
        <v>1498</v>
      </c>
      <c r="N243" s="1"/>
    </row>
    <row r="244" ht="30.0" hidden="1" customHeight="1">
      <c r="A244" s="1"/>
      <c r="B244" s="232">
        <f t="shared" si="2"/>
        <v>242</v>
      </c>
      <c r="C244" s="181">
        <v>39095.0</v>
      </c>
      <c r="D244" s="182">
        <f t="shared" si="1"/>
        <v>2007</v>
      </c>
      <c r="E244" s="203" t="s">
        <v>2103</v>
      </c>
      <c r="F244" s="184" t="s">
        <v>2104</v>
      </c>
      <c r="G244" s="184" t="s">
        <v>2105</v>
      </c>
      <c r="H244" s="184" t="s">
        <v>201</v>
      </c>
      <c r="I244" s="28">
        <v>14.0</v>
      </c>
      <c r="J244" s="184" t="s">
        <v>1522</v>
      </c>
      <c r="K244" s="218"/>
      <c r="L244" s="184" t="s">
        <v>1497</v>
      </c>
      <c r="M244" s="186" t="s">
        <v>1498</v>
      </c>
      <c r="N244" s="1"/>
    </row>
    <row r="245" ht="15.0" hidden="1" customHeight="1">
      <c r="A245" s="1"/>
      <c r="B245" s="232">
        <f t="shared" si="2"/>
        <v>243</v>
      </c>
      <c r="C245" s="181">
        <v>39097.0</v>
      </c>
      <c r="D245" s="182">
        <f t="shared" si="1"/>
        <v>2007</v>
      </c>
      <c r="E245" s="203" t="s">
        <v>2106</v>
      </c>
      <c r="F245" s="184" t="s">
        <v>2107</v>
      </c>
      <c r="G245" s="184" t="s">
        <v>2108</v>
      </c>
      <c r="H245" s="184" t="s">
        <v>201</v>
      </c>
      <c r="I245" s="28">
        <v>14.0</v>
      </c>
      <c r="J245" s="184" t="s">
        <v>1522</v>
      </c>
      <c r="K245" s="218"/>
      <c r="L245" s="184" t="s">
        <v>1497</v>
      </c>
      <c r="M245" s="186" t="s">
        <v>1498</v>
      </c>
      <c r="N245" s="1"/>
    </row>
    <row r="246" ht="39.0" hidden="1" customHeight="1">
      <c r="A246" s="1"/>
      <c r="B246" s="232">
        <f t="shared" si="2"/>
        <v>244</v>
      </c>
      <c r="C246" s="181">
        <v>39175.0</v>
      </c>
      <c r="D246" s="182">
        <f t="shared" si="1"/>
        <v>2007</v>
      </c>
      <c r="E246" s="203" t="s">
        <v>341</v>
      </c>
      <c r="F246" s="184" t="s">
        <v>2109</v>
      </c>
      <c r="G246" s="184" t="s">
        <v>2110</v>
      </c>
      <c r="H246" s="184" t="s">
        <v>201</v>
      </c>
      <c r="I246" s="28">
        <v>14.0</v>
      </c>
      <c r="J246" s="184" t="s">
        <v>1509</v>
      </c>
      <c r="K246" s="218"/>
      <c r="L246" s="184" t="s">
        <v>1497</v>
      </c>
      <c r="M246" s="186" t="s">
        <v>804</v>
      </c>
      <c r="N246" s="1"/>
    </row>
    <row r="247" ht="30.0" hidden="1" customHeight="1">
      <c r="A247" s="1"/>
      <c r="B247" s="232">
        <f t="shared" si="2"/>
        <v>245</v>
      </c>
      <c r="C247" s="181">
        <v>40734.0</v>
      </c>
      <c r="D247" s="182">
        <f t="shared" si="1"/>
        <v>2011</v>
      </c>
      <c r="E247" s="203" t="s">
        <v>2111</v>
      </c>
      <c r="F247" s="184" t="s">
        <v>2112</v>
      </c>
      <c r="G247" s="184" t="s">
        <v>2113</v>
      </c>
      <c r="H247" s="184" t="s">
        <v>201</v>
      </c>
      <c r="I247" s="28">
        <v>14.0</v>
      </c>
      <c r="J247" s="184" t="s">
        <v>1496</v>
      </c>
      <c r="K247" s="184">
        <v>288.0</v>
      </c>
      <c r="L247" s="184" t="s">
        <v>1526</v>
      </c>
      <c r="M247" s="186" t="s">
        <v>1498</v>
      </c>
      <c r="N247" s="1"/>
    </row>
    <row r="248" ht="30.0" hidden="1" customHeight="1">
      <c r="A248" s="1"/>
      <c r="B248" s="232">
        <f t="shared" si="2"/>
        <v>246</v>
      </c>
      <c r="C248" s="181">
        <v>39306.0</v>
      </c>
      <c r="D248" s="182">
        <f t="shared" si="1"/>
        <v>2007</v>
      </c>
      <c r="E248" s="203" t="s">
        <v>2114</v>
      </c>
      <c r="F248" s="184" t="s">
        <v>1546</v>
      </c>
      <c r="G248" s="184" t="s">
        <v>2115</v>
      </c>
      <c r="H248" s="184" t="s">
        <v>201</v>
      </c>
      <c r="I248" s="28">
        <v>14.0</v>
      </c>
      <c r="J248" s="184" t="s">
        <v>1509</v>
      </c>
      <c r="K248" s="218"/>
      <c r="L248" s="184" t="s">
        <v>1497</v>
      </c>
      <c r="M248" s="186" t="s">
        <v>804</v>
      </c>
      <c r="N248" s="1"/>
    </row>
    <row r="249" ht="38.25" hidden="1" customHeight="1">
      <c r="A249" s="1"/>
      <c r="B249" s="232">
        <f t="shared" si="2"/>
        <v>247</v>
      </c>
      <c r="C249" s="181">
        <v>39318.0</v>
      </c>
      <c r="D249" s="182">
        <f t="shared" si="1"/>
        <v>2007</v>
      </c>
      <c r="E249" s="203" t="s">
        <v>2116</v>
      </c>
      <c r="F249" s="184" t="s">
        <v>1549</v>
      </c>
      <c r="G249" s="184" t="s">
        <v>2117</v>
      </c>
      <c r="H249" s="184" t="s">
        <v>201</v>
      </c>
      <c r="I249" s="28">
        <v>14.0</v>
      </c>
      <c r="J249" s="184" t="s">
        <v>1509</v>
      </c>
      <c r="K249" s="218"/>
      <c r="L249" s="184" t="s">
        <v>1497</v>
      </c>
      <c r="M249" s="186" t="s">
        <v>804</v>
      </c>
      <c r="N249" s="1"/>
    </row>
    <row r="250" ht="24.75" hidden="1" customHeight="1">
      <c r="A250" s="1"/>
      <c r="B250" s="232">
        <f t="shared" si="2"/>
        <v>248</v>
      </c>
      <c r="C250" s="181">
        <v>39322.0</v>
      </c>
      <c r="D250" s="182">
        <f t="shared" si="1"/>
        <v>2007</v>
      </c>
      <c r="E250" s="203" t="s">
        <v>878</v>
      </c>
      <c r="F250" s="184" t="s">
        <v>1808</v>
      </c>
      <c r="G250" s="184" t="s">
        <v>2118</v>
      </c>
      <c r="H250" s="184" t="s">
        <v>201</v>
      </c>
      <c r="I250" s="28">
        <v>14.0</v>
      </c>
      <c r="J250" s="184" t="s">
        <v>1509</v>
      </c>
      <c r="K250" s="218"/>
      <c r="L250" s="184" t="s">
        <v>1497</v>
      </c>
      <c r="M250" s="186" t="s">
        <v>804</v>
      </c>
      <c r="N250" s="1"/>
    </row>
    <row r="251" ht="18.0" hidden="1" customHeight="1">
      <c r="A251" s="1"/>
      <c r="B251" s="232">
        <f t="shared" si="2"/>
        <v>249</v>
      </c>
      <c r="C251" s="181">
        <v>39330.0</v>
      </c>
      <c r="D251" s="182">
        <f t="shared" si="1"/>
        <v>2007</v>
      </c>
      <c r="E251" s="203" t="s">
        <v>2119</v>
      </c>
      <c r="F251" s="184" t="s">
        <v>2120</v>
      </c>
      <c r="G251" s="184" t="s">
        <v>2121</v>
      </c>
      <c r="H251" s="184" t="s">
        <v>201</v>
      </c>
      <c r="I251" s="28">
        <v>14.0</v>
      </c>
      <c r="J251" s="184" t="s">
        <v>1509</v>
      </c>
      <c r="K251" s="218"/>
      <c r="L251" s="184" t="s">
        <v>1497</v>
      </c>
      <c r="M251" s="186" t="s">
        <v>804</v>
      </c>
      <c r="N251" s="1"/>
    </row>
    <row r="252" ht="45.0" hidden="1" customHeight="1">
      <c r="A252" s="1"/>
      <c r="B252" s="232">
        <f t="shared" si="2"/>
        <v>250</v>
      </c>
      <c r="C252" s="181">
        <v>39443.0</v>
      </c>
      <c r="D252" s="182">
        <f t="shared" si="1"/>
        <v>2007</v>
      </c>
      <c r="E252" s="203" t="s">
        <v>2122</v>
      </c>
      <c r="F252" s="184" t="s">
        <v>2123</v>
      </c>
      <c r="G252" s="184" t="s">
        <v>2124</v>
      </c>
      <c r="H252" s="184" t="s">
        <v>201</v>
      </c>
      <c r="I252" s="28">
        <v>14.0</v>
      </c>
      <c r="J252" s="184" t="s">
        <v>1496</v>
      </c>
      <c r="K252" s="218"/>
      <c r="L252" s="184" t="s">
        <v>1497</v>
      </c>
      <c r="M252" s="186" t="s">
        <v>1498</v>
      </c>
      <c r="N252" s="1"/>
    </row>
    <row r="253" ht="45.0" hidden="1" customHeight="1">
      <c r="A253" s="1"/>
      <c r="B253" s="232">
        <f t="shared" si="2"/>
        <v>251</v>
      </c>
      <c r="C253" s="181">
        <v>39473.0</v>
      </c>
      <c r="D253" s="182">
        <f t="shared" si="1"/>
        <v>2008</v>
      </c>
      <c r="E253" s="203" t="s">
        <v>2125</v>
      </c>
      <c r="F253" s="184" t="s">
        <v>2126</v>
      </c>
      <c r="G253" s="184" t="s">
        <v>2127</v>
      </c>
      <c r="H253" s="184" t="s">
        <v>201</v>
      </c>
      <c r="I253" s="28">
        <v>14.0</v>
      </c>
      <c r="J253" s="184" t="s">
        <v>1496</v>
      </c>
      <c r="K253" s="184">
        <v>215.0</v>
      </c>
      <c r="L253" s="184" t="s">
        <v>1497</v>
      </c>
      <c r="M253" s="186" t="s">
        <v>1498</v>
      </c>
      <c r="N253" s="1"/>
    </row>
    <row r="254" ht="18.0" hidden="1" customHeight="1">
      <c r="A254" s="1"/>
      <c r="B254" s="232">
        <f t="shared" si="2"/>
        <v>252</v>
      </c>
      <c r="C254" s="181">
        <v>39634.0</v>
      </c>
      <c r="D254" s="182">
        <f t="shared" si="1"/>
        <v>2008</v>
      </c>
      <c r="E254" s="203" t="s">
        <v>2128</v>
      </c>
      <c r="F254" s="184" t="s">
        <v>2129</v>
      </c>
      <c r="G254" s="184" t="s">
        <v>2130</v>
      </c>
      <c r="H254" s="184" t="s">
        <v>201</v>
      </c>
      <c r="I254" s="28">
        <v>14.0</v>
      </c>
      <c r="J254" s="184" t="s">
        <v>1502</v>
      </c>
      <c r="K254" s="184">
        <v>343.0</v>
      </c>
      <c r="L254" s="184" t="s">
        <v>1497</v>
      </c>
      <c r="M254" s="186" t="s">
        <v>804</v>
      </c>
      <c r="N254" s="1"/>
    </row>
    <row r="255" ht="45.0" hidden="1" customHeight="1">
      <c r="A255" s="1"/>
      <c r="B255" s="232">
        <f t="shared" si="2"/>
        <v>253</v>
      </c>
      <c r="C255" s="181">
        <v>39639.0</v>
      </c>
      <c r="D255" s="182">
        <f t="shared" si="1"/>
        <v>2008</v>
      </c>
      <c r="E255" s="203" t="s">
        <v>2131</v>
      </c>
      <c r="F255" s="184" t="s">
        <v>2132</v>
      </c>
      <c r="G255" s="184" t="s">
        <v>2133</v>
      </c>
      <c r="H255" s="184" t="s">
        <v>201</v>
      </c>
      <c r="I255" s="28">
        <v>14.0</v>
      </c>
      <c r="J255" s="184" t="s">
        <v>1509</v>
      </c>
      <c r="K255" s="184">
        <v>362.0</v>
      </c>
      <c r="L255" s="184" t="s">
        <v>1497</v>
      </c>
      <c r="M255" s="186" t="s">
        <v>804</v>
      </c>
      <c r="N255" s="1"/>
    </row>
    <row r="256" ht="30.0" hidden="1" customHeight="1">
      <c r="A256" s="1"/>
      <c r="B256" s="232">
        <f t="shared" si="2"/>
        <v>254</v>
      </c>
      <c r="C256" s="181">
        <v>39692.0</v>
      </c>
      <c r="D256" s="182">
        <f t="shared" si="1"/>
        <v>2008</v>
      </c>
      <c r="E256" s="203" t="s">
        <v>2134</v>
      </c>
      <c r="F256" s="184" t="s">
        <v>1715</v>
      </c>
      <c r="G256" s="184" t="s">
        <v>2135</v>
      </c>
      <c r="H256" s="184" t="s">
        <v>201</v>
      </c>
      <c r="I256" s="28">
        <v>14.0</v>
      </c>
      <c r="J256" s="184" t="s">
        <v>1560</v>
      </c>
      <c r="K256" s="184">
        <v>250.0</v>
      </c>
      <c r="L256" s="184" t="s">
        <v>1574</v>
      </c>
      <c r="M256" s="186" t="s">
        <v>1498</v>
      </c>
      <c r="N256" s="1"/>
    </row>
    <row r="257" ht="30.0" hidden="1" customHeight="1">
      <c r="A257" s="1"/>
      <c r="B257" s="232">
        <f t="shared" si="2"/>
        <v>255</v>
      </c>
      <c r="C257" s="181">
        <v>39701.0</v>
      </c>
      <c r="D257" s="182">
        <f t="shared" si="1"/>
        <v>2008</v>
      </c>
      <c r="E257" s="203" t="s">
        <v>2136</v>
      </c>
      <c r="F257" s="184" t="s">
        <v>2137</v>
      </c>
      <c r="G257" s="184" t="s">
        <v>2138</v>
      </c>
      <c r="H257" s="184" t="s">
        <v>201</v>
      </c>
      <c r="I257" s="28">
        <v>14.0</v>
      </c>
      <c r="J257" s="184" t="s">
        <v>1560</v>
      </c>
      <c r="K257" s="184" t="s">
        <v>1847</v>
      </c>
      <c r="L257" s="184" t="s">
        <v>1526</v>
      </c>
      <c r="M257" s="186" t="s">
        <v>1498</v>
      </c>
      <c r="N257" s="1"/>
    </row>
    <row r="258" ht="45.0" hidden="1" customHeight="1">
      <c r="A258" s="1"/>
      <c r="B258" s="232">
        <f t="shared" si="2"/>
        <v>256</v>
      </c>
      <c r="C258" s="181">
        <v>39736.0</v>
      </c>
      <c r="D258" s="182">
        <f t="shared" si="1"/>
        <v>2008</v>
      </c>
      <c r="E258" s="203" t="s">
        <v>2139</v>
      </c>
      <c r="F258" s="184" t="s">
        <v>2140</v>
      </c>
      <c r="G258" s="184" t="s">
        <v>2141</v>
      </c>
      <c r="H258" s="184" t="s">
        <v>201</v>
      </c>
      <c r="I258" s="28">
        <v>14.0</v>
      </c>
      <c r="J258" s="184" t="s">
        <v>1496</v>
      </c>
      <c r="K258" s="184">
        <v>256.0</v>
      </c>
      <c r="L258" s="184" t="s">
        <v>1526</v>
      </c>
      <c r="M258" s="186" t="s">
        <v>1498</v>
      </c>
      <c r="N258" s="1"/>
    </row>
    <row r="259" ht="45.0" hidden="1" customHeight="1">
      <c r="A259" s="1"/>
      <c r="B259" s="232">
        <f t="shared" si="2"/>
        <v>257</v>
      </c>
      <c r="C259" s="181">
        <v>39767.0</v>
      </c>
      <c r="D259" s="182">
        <f t="shared" si="1"/>
        <v>2008</v>
      </c>
      <c r="E259" s="203" t="s">
        <v>2142</v>
      </c>
      <c r="F259" s="184" t="s">
        <v>2143</v>
      </c>
      <c r="G259" s="184" t="s">
        <v>2144</v>
      </c>
      <c r="H259" s="184" t="s">
        <v>201</v>
      </c>
      <c r="I259" s="28">
        <v>14.0</v>
      </c>
      <c r="J259" s="184" t="s">
        <v>1509</v>
      </c>
      <c r="K259" s="184">
        <v>288.0</v>
      </c>
      <c r="L259" s="184" t="s">
        <v>1574</v>
      </c>
      <c r="M259" s="186" t="s">
        <v>804</v>
      </c>
      <c r="N259" s="1"/>
    </row>
    <row r="260" ht="30.0" hidden="1" customHeight="1">
      <c r="A260" s="1"/>
      <c r="B260" s="232">
        <f t="shared" si="2"/>
        <v>258</v>
      </c>
      <c r="C260" s="181">
        <v>39772.0</v>
      </c>
      <c r="D260" s="182">
        <f t="shared" si="1"/>
        <v>2008</v>
      </c>
      <c r="E260" s="203" t="s">
        <v>2145</v>
      </c>
      <c r="F260" s="184" t="s">
        <v>2146</v>
      </c>
      <c r="G260" s="184" t="s">
        <v>2147</v>
      </c>
      <c r="H260" s="184" t="s">
        <v>201</v>
      </c>
      <c r="I260" s="28">
        <v>14.0</v>
      </c>
      <c r="J260" s="184" t="s">
        <v>1496</v>
      </c>
      <c r="K260" s="184">
        <v>393.0</v>
      </c>
      <c r="L260" s="184" t="s">
        <v>1497</v>
      </c>
      <c r="M260" s="186" t="s">
        <v>1498</v>
      </c>
      <c r="N260" s="1"/>
    </row>
    <row r="261" ht="45.0" hidden="1" customHeight="1">
      <c r="A261" s="173"/>
      <c r="B261" s="232">
        <f t="shared" si="2"/>
        <v>259</v>
      </c>
      <c r="C261" s="181">
        <v>39781.0</v>
      </c>
      <c r="D261" s="182">
        <f t="shared" si="1"/>
        <v>2008</v>
      </c>
      <c r="E261" s="203" t="s">
        <v>2148</v>
      </c>
      <c r="F261" s="184" t="s">
        <v>2149</v>
      </c>
      <c r="G261" s="184" t="s">
        <v>2150</v>
      </c>
      <c r="H261" s="184" t="s">
        <v>201</v>
      </c>
      <c r="I261" s="28">
        <v>14.0</v>
      </c>
      <c r="J261" s="184" t="s">
        <v>1496</v>
      </c>
      <c r="K261" s="184">
        <v>219.0</v>
      </c>
      <c r="L261" s="184" t="s">
        <v>1497</v>
      </c>
      <c r="M261" s="186" t="s">
        <v>1498</v>
      </c>
      <c r="N261" s="1"/>
    </row>
    <row r="262" ht="30.0" hidden="1" customHeight="1">
      <c r="A262" s="1"/>
      <c r="B262" s="232">
        <f t="shared" si="2"/>
        <v>260</v>
      </c>
      <c r="C262" s="181">
        <v>39807.0</v>
      </c>
      <c r="D262" s="182">
        <f t="shared" si="1"/>
        <v>2008</v>
      </c>
      <c r="E262" s="203" t="s">
        <v>2151</v>
      </c>
      <c r="F262" s="185" t="s">
        <v>2152</v>
      </c>
      <c r="G262" s="184" t="s">
        <v>2153</v>
      </c>
      <c r="H262" s="184" t="s">
        <v>201</v>
      </c>
      <c r="I262" s="28">
        <v>14.0</v>
      </c>
      <c r="J262" s="184" t="s">
        <v>1496</v>
      </c>
      <c r="K262" s="184">
        <v>288.0</v>
      </c>
      <c r="L262" s="184" t="s">
        <v>1526</v>
      </c>
      <c r="M262" s="186" t="s">
        <v>1498</v>
      </c>
      <c r="N262" s="1"/>
    </row>
    <row r="263" ht="30.0" hidden="1" customHeight="1">
      <c r="A263" s="1"/>
      <c r="B263" s="232">
        <f t="shared" si="2"/>
        <v>261</v>
      </c>
      <c r="C263" s="181">
        <v>39838.0</v>
      </c>
      <c r="D263" s="182">
        <f t="shared" si="1"/>
        <v>2009</v>
      </c>
      <c r="E263" s="203" t="s">
        <v>2154</v>
      </c>
      <c r="F263" s="184" t="s">
        <v>1957</v>
      </c>
      <c r="G263" s="184" t="s">
        <v>2155</v>
      </c>
      <c r="H263" s="184" t="s">
        <v>201</v>
      </c>
      <c r="I263" s="28">
        <v>14.0</v>
      </c>
      <c r="J263" s="184" t="s">
        <v>1522</v>
      </c>
      <c r="K263" s="184">
        <v>292.0</v>
      </c>
      <c r="L263" s="184" t="s">
        <v>1497</v>
      </c>
      <c r="M263" s="186" t="s">
        <v>1498</v>
      </c>
      <c r="N263" s="1"/>
    </row>
    <row r="264" ht="30.0" hidden="1" customHeight="1">
      <c r="A264" s="173"/>
      <c r="B264" s="232">
        <f t="shared" si="2"/>
        <v>262</v>
      </c>
      <c r="C264" s="181">
        <v>39890.0</v>
      </c>
      <c r="D264" s="182">
        <f t="shared" si="1"/>
        <v>2009</v>
      </c>
      <c r="E264" s="203" t="s">
        <v>2156</v>
      </c>
      <c r="F264" s="184" t="s">
        <v>2157</v>
      </c>
      <c r="G264" s="184" t="s">
        <v>2158</v>
      </c>
      <c r="H264" s="184" t="s">
        <v>201</v>
      </c>
      <c r="I264" s="28">
        <v>14.0</v>
      </c>
      <c r="J264" s="184" t="s">
        <v>1522</v>
      </c>
      <c r="K264" s="184">
        <v>191.0</v>
      </c>
      <c r="L264" s="184" t="s">
        <v>1497</v>
      </c>
      <c r="M264" s="186" t="s">
        <v>1498</v>
      </c>
      <c r="N264" s="1"/>
    </row>
    <row r="265" ht="15.0" hidden="1" customHeight="1">
      <c r="A265" s="1"/>
      <c r="B265" s="232">
        <f t="shared" si="2"/>
        <v>263</v>
      </c>
      <c r="C265" s="181">
        <v>39999.0</v>
      </c>
      <c r="D265" s="182">
        <f t="shared" si="1"/>
        <v>2009</v>
      </c>
      <c r="E265" s="203" t="s">
        <v>2159</v>
      </c>
      <c r="F265" s="184" t="s">
        <v>2160</v>
      </c>
      <c r="G265" s="184" t="s">
        <v>2161</v>
      </c>
      <c r="H265" s="184" t="s">
        <v>201</v>
      </c>
      <c r="I265" s="28">
        <v>14.0</v>
      </c>
      <c r="J265" s="184" t="s">
        <v>1522</v>
      </c>
      <c r="K265" s="184">
        <v>640.0</v>
      </c>
      <c r="L265" s="184" t="s">
        <v>1526</v>
      </c>
      <c r="M265" s="186" t="s">
        <v>1498</v>
      </c>
      <c r="N265" s="1"/>
    </row>
    <row r="266" ht="15.0" hidden="1" customHeight="1">
      <c r="A266" s="1"/>
      <c r="B266" s="232">
        <f t="shared" si="2"/>
        <v>264</v>
      </c>
      <c r="C266" s="181">
        <v>40145.0</v>
      </c>
      <c r="D266" s="182">
        <f t="shared" si="1"/>
        <v>2009</v>
      </c>
      <c r="E266" s="203" t="s">
        <v>2162</v>
      </c>
      <c r="F266" s="184" t="s">
        <v>2163</v>
      </c>
      <c r="G266" s="184" t="s">
        <v>2164</v>
      </c>
      <c r="H266" s="184" t="s">
        <v>201</v>
      </c>
      <c r="I266" s="28">
        <v>14.0</v>
      </c>
      <c r="J266" s="184" t="s">
        <v>1522</v>
      </c>
      <c r="K266" s="184">
        <v>304.0</v>
      </c>
      <c r="L266" s="184" t="s">
        <v>1497</v>
      </c>
      <c r="M266" s="186" t="s">
        <v>1498</v>
      </c>
      <c r="N266" s="1"/>
    </row>
    <row r="267" ht="30.0" hidden="1" customHeight="1">
      <c r="A267" s="1"/>
      <c r="B267" s="232">
        <f t="shared" si="2"/>
        <v>265</v>
      </c>
      <c r="C267" s="181">
        <v>40422.0</v>
      </c>
      <c r="D267" s="182">
        <f t="shared" si="1"/>
        <v>2010</v>
      </c>
      <c r="E267" s="203" t="s">
        <v>2165</v>
      </c>
      <c r="F267" s="184" t="s">
        <v>2166</v>
      </c>
      <c r="G267" s="184" t="s">
        <v>2167</v>
      </c>
      <c r="H267" s="184" t="s">
        <v>201</v>
      </c>
      <c r="I267" s="28">
        <v>14.0</v>
      </c>
      <c r="J267" s="184" t="s">
        <v>1522</v>
      </c>
      <c r="K267" s="184">
        <v>384.0</v>
      </c>
      <c r="L267" s="184" t="s">
        <v>1526</v>
      </c>
      <c r="M267" s="186" t="s">
        <v>1498</v>
      </c>
      <c r="N267" s="1"/>
    </row>
    <row r="268" ht="30.0" hidden="1" customHeight="1">
      <c r="A268" s="1"/>
      <c r="B268" s="232">
        <f t="shared" si="2"/>
        <v>266</v>
      </c>
      <c r="C268" s="181">
        <v>40339.0</v>
      </c>
      <c r="D268" s="182">
        <f t="shared" si="1"/>
        <v>2010</v>
      </c>
      <c r="E268" s="203" t="s">
        <v>2168</v>
      </c>
      <c r="F268" s="184" t="s">
        <v>2169</v>
      </c>
      <c r="G268" s="184" t="s">
        <v>2170</v>
      </c>
      <c r="H268" s="184" t="s">
        <v>201</v>
      </c>
      <c r="I268" s="28">
        <v>14.0</v>
      </c>
      <c r="J268" s="184" t="s">
        <v>1522</v>
      </c>
      <c r="K268" s="184">
        <v>320.0</v>
      </c>
      <c r="L268" s="184" t="s">
        <v>1526</v>
      </c>
      <c r="M268" s="186" t="s">
        <v>1498</v>
      </c>
      <c r="N268" s="1"/>
    </row>
    <row r="269" ht="30.0" hidden="1" customHeight="1">
      <c r="A269" s="1"/>
      <c r="B269" s="232">
        <f t="shared" si="2"/>
        <v>267</v>
      </c>
      <c r="C269" s="181">
        <v>40466.0</v>
      </c>
      <c r="D269" s="182">
        <f t="shared" si="1"/>
        <v>2010</v>
      </c>
      <c r="E269" s="203" t="s">
        <v>2171</v>
      </c>
      <c r="F269" s="184" t="s">
        <v>2172</v>
      </c>
      <c r="G269" s="184" t="s">
        <v>2173</v>
      </c>
      <c r="H269" s="184" t="s">
        <v>201</v>
      </c>
      <c r="I269" s="28">
        <v>14.0</v>
      </c>
      <c r="J269" s="184" t="s">
        <v>1522</v>
      </c>
      <c r="K269" s="184">
        <v>320.0</v>
      </c>
      <c r="L269" s="184" t="s">
        <v>1526</v>
      </c>
      <c r="M269" s="186" t="s">
        <v>1498</v>
      </c>
      <c r="N269" s="1"/>
    </row>
    <row r="270" ht="30.0" hidden="1" customHeight="1">
      <c r="A270" s="1"/>
      <c r="B270" s="232">
        <f t="shared" si="2"/>
        <v>268</v>
      </c>
      <c r="C270" s="181">
        <v>40642.0</v>
      </c>
      <c r="D270" s="182">
        <f t="shared" si="1"/>
        <v>2011</v>
      </c>
      <c r="E270" s="203" t="s">
        <v>2174</v>
      </c>
      <c r="F270" s="184" t="s">
        <v>2175</v>
      </c>
      <c r="G270" s="184" t="s">
        <v>2176</v>
      </c>
      <c r="H270" s="184" t="s">
        <v>201</v>
      </c>
      <c r="I270" s="28">
        <v>14.0</v>
      </c>
      <c r="J270" s="184" t="s">
        <v>1522</v>
      </c>
      <c r="K270" s="184">
        <v>225.0</v>
      </c>
      <c r="L270" s="184" t="s">
        <v>1497</v>
      </c>
      <c r="M270" s="186" t="s">
        <v>1498</v>
      </c>
      <c r="N270" s="1"/>
    </row>
    <row r="271" ht="30.0" hidden="1" customHeight="1">
      <c r="A271" s="1"/>
      <c r="B271" s="232">
        <f t="shared" si="2"/>
        <v>269</v>
      </c>
      <c r="C271" s="181">
        <v>40709.0</v>
      </c>
      <c r="D271" s="182">
        <f t="shared" si="1"/>
        <v>2011</v>
      </c>
      <c r="E271" s="203" t="s">
        <v>2177</v>
      </c>
      <c r="F271" s="184" t="s">
        <v>2098</v>
      </c>
      <c r="G271" s="184" t="s">
        <v>2178</v>
      </c>
      <c r="H271" s="184" t="s">
        <v>201</v>
      </c>
      <c r="I271" s="28">
        <v>14.0</v>
      </c>
      <c r="J271" s="184" t="s">
        <v>1522</v>
      </c>
      <c r="K271" s="184">
        <v>432.0</v>
      </c>
      <c r="L271" s="184" t="s">
        <v>1526</v>
      </c>
      <c r="M271" s="186" t="s">
        <v>1498</v>
      </c>
      <c r="N271" s="1"/>
    </row>
    <row r="272" ht="30.0" hidden="1" customHeight="1">
      <c r="A272" s="1"/>
      <c r="B272" s="232">
        <f t="shared" si="2"/>
        <v>270</v>
      </c>
      <c r="C272" s="181">
        <v>41000.0</v>
      </c>
      <c r="D272" s="182">
        <f t="shared" si="1"/>
        <v>2012</v>
      </c>
      <c r="E272" s="203" t="s">
        <v>2179</v>
      </c>
      <c r="F272" s="184" t="s">
        <v>2180</v>
      </c>
      <c r="G272" s="184" t="s">
        <v>2181</v>
      </c>
      <c r="H272" s="184" t="s">
        <v>201</v>
      </c>
      <c r="I272" s="28">
        <v>14.0</v>
      </c>
      <c r="J272" s="184" t="s">
        <v>1522</v>
      </c>
      <c r="K272" s="184">
        <v>336.0</v>
      </c>
      <c r="L272" s="184" t="s">
        <v>1526</v>
      </c>
      <c r="M272" s="186" t="s">
        <v>1498</v>
      </c>
      <c r="N272" s="1"/>
    </row>
    <row r="273" ht="30.0" hidden="1" customHeight="1">
      <c r="A273" s="1"/>
      <c r="B273" s="232">
        <f t="shared" si="2"/>
        <v>271</v>
      </c>
      <c r="C273" s="181">
        <v>41110.0</v>
      </c>
      <c r="D273" s="182">
        <f t="shared" si="1"/>
        <v>2012</v>
      </c>
      <c r="E273" s="203" t="s">
        <v>2182</v>
      </c>
      <c r="F273" s="184" t="s">
        <v>2183</v>
      </c>
      <c r="G273" s="184" t="s">
        <v>2184</v>
      </c>
      <c r="H273" s="184" t="s">
        <v>201</v>
      </c>
      <c r="I273" s="28">
        <v>14.0</v>
      </c>
      <c r="J273" s="184" t="s">
        <v>1522</v>
      </c>
      <c r="K273" s="184">
        <v>432.0</v>
      </c>
      <c r="L273" s="184" t="s">
        <v>1526</v>
      </c>
      <c r="M273" s="186" t="s">
        <v>1527</v>
      </c>
      <c r="N273" s="1"/>
    </row>
    <row r="274" ht="30.0" hidden="1" customHeight="1">
      <c r="A274" s="1"/>
      <c r="B274" s="232">
        <f t="shared" si="2"/>
        <v>272</v>
      </c>
      <c r="C274" s="181">
        <v>41202.0</v>
      </c>
      <c r="D274" s="182">
        <f t="shared" si="1"/>
        <v>2012</v>
      </c>
      <c r="E274" s="203" t="s">
        <v>2185</v>
      </c>
      <c r="F274" s="184" t="s">
        <v>2186</v>
      </c>
      <c r="G274" s="184" t="s">
        <v>2187</v>
      </c>
      <c r="H274" s="184" t="s">
        <v>201</v>
      </c>
      <c r="I274" s="28">
        <v>14.0</v>
      </c>
      <c r="J274" s="184" t="s">
        <v>1509</v>
      </c>
      <c r="K274" s="184">
        <v>336.0</v>
      </c>
      <c r="L274" s="184" t="s">
        <v>1526</v>
      </c>
      <c r="M274" s="186" t="s">
        <v>1498</v>
      </c>
      <c r="N274" s="1"/>
    </row>
    <row r="275" ht="30.0" hidden="1" customHeight="1">
      <c r="A275" s="1"/>
      <c r="B275" s="232">
        <f t="shared" si="2"/>
        <v>273</v>
      </c>
      <c r="C275" s="181">
        <v>41271.0</v>
      </c>
      <c r="D275" s="182">
        <f t="shared" si="1"/>
        <v>2012</v>
      </c>
      <c r="E275" s="203" t="s">
        <v>2188</v>
      </c>
      <c r="F275" s="184" t="s">
        <v>1549</v>
      </c>
      <c r="G275" s="184" t="s">
        <v>2189</v>
      </c>
      <c r="H275" s="184" t="s">
        <v>201</v>
      </c>
      <c r="I275" s="28">
        <v>14.0</v>
      </c>
      <c r="J275" s="184" t="s">
        <v>1509</v>
      </c>
      <c r="K275" s="184">
        <v>320.0</v>
      </c>
      <c r="L275" s="184" t="s">
        <v>1526</v>
      </c>
      <c r="M275" s="186" t="s">
        <v>1384</v>
      </c>
      <c r="N275" s="1"/>
    </row>
    <row r="276" ht="30.0" hidden="1" customHeight="1">
      <c r="A276" s="1"/>
      <c r="B276" s="232">
        <f t="shared" si="2"/>
        <v>274</v>
      </c>
      <c r="C276" s="181">
        <v>41274.0</v>
      </c>
      <c r="D276" s="182">
        <f t="shared" si="1"/>
        <v>2012</v>
      </c>
      <c r="E276" s="203" t="s">
        <v>2190</v>
      </c>
      <c r="F276" s="184" t="s">
        <v>2191</v>
      </c>
      <c r="G276" s="184" t="s">
        <v>2192</v>
      </c>
      <c r="H276" s="184" t="s">
        <v>201</v>
      </c>
      <c r="I276" s="28">
        <v>14.0</v>
      </c>
      <c r="J276" s="184" t="s">
        <v>1509</v>
      </c>
      <c r="K276" s="184">
        <v>432.0</v>
      </c>
      <c r="L276" s="184" t="s">
        <v>1526</v>
      </c>
      <c r="M276" s="186" t="s">
        <v>1384</v>
      </c>
      <c r="N276" s="1"/>
    </row>
    <row r="277" ht="30.0" hidden="1" customHeight="1">
      <c r="A277" s="1"/>
      <c r="B277" s="232">
        <f t="shared" si="2"/>
        <v>275</v>
      </c>
      <c r="C277" s="181">
        <v>41286.0</v>
      </c>
      <c r="D277" s="182">
        <f t="shared" si="1"/>
        <v>2013</v>
      </c>
      <c r="E277" s="203" t="s">
        <v>2193</v>
      </c>
      <c r="F277" s="184" t="s">
        <v>2194</v>
      </c>
      <c r="G277" s="184" t="s">
        <v>2195</v>
      </c>
      <c r="H277" s="184" t="s">
        <v>201</v>
      </c>
      <c r="I277" s="28">
        <v>14.0</v>
      </c>
      <c r="J277" s="184" t="s">
        <v>1496</v>
      </c>
      <c r="K277" s="184">
        <v>128.0</v>
      </c>
      <c r="L277" s="184" t="s">
        <v>1526</v>
      </c>
      <c r="M277" s="186" t="s">
        <v>1498</v>
      </c>
      <c r="N277" s="1"/>
    </row>
    <row r="278" ht="30.0" hidden="1" customHeight="1">
      <c r="A278" s="1"/>
      <c r="B278" s="232">
        <f t="shared" si="2"/>
        <v>276</v>
      </c>
      <c r="C278" s="181">
        <v>41364.0</v>
      </c>
      <c r="D278" s="182">
        <f t="shared" si="1"/>
        <v>2013</v>
      </c>
      <c r="E278" s="203" t="s">
        <v>2196</v>
      </c>
      <c r="F278" s="184" t="s">
        <v>1892</v>
      </c>
      <c r="G278" s="184" t="s">
        <v>2197</v>
      </c>
      <c r="H278" s="184" t="s">
        <v>201</v>
      </c>
      <c r="I278" s="28">
        <v>14.0</v>
      </c>
      <c r="J278" s="184" t="s">
        <v>1522</v>
      </c>
      <c r="K278" s="184">
        <v>272.0</v>
      </c>
      <c r="L278" s="184" t="s">
        <v>1526</v>
      </c>
      <c r="M278" s="186" t="s">
        <v>1527</v>
      </c>
      <c r="N278" s="1"/>
    </row>
    <row r="279" ht="30.0" hidden="1" customHeight="1">
      <c r="A279" s="1"/>
      <c r="B279" s="232">
        <f t="shared" si="2"/>
        <v>277</v>
      </c>
      <c r="C279" s="181">
        <v>41443.0</v>
      </c>
      <c r="D279" s="182">
        <f t="shared" si="1"/>
        <v>2013</v>
      </c>
      <c r="E279" s="203" t="s">
        <v>2198</v>
      </c>
      <c r="F279" s="184" t="s">
        <v>2199</v>
      </c>
      <c r="G279" s="184" t="s">
        <v>2200</v>
      </c>
      <c r="H279" s="184" t="s">
        <v>201</v>
      </c>
      <c r="I279" s="28">
        <v>14.0</v>
      </c>
      <c r="J279" s="184" t="s">
        <v>1522</v>
      </c>
      <c r="K279" s="184">
        <v>253.0</v>
      </c>
      <c r="L279" s="184" t="s">
        <v>1526</v>
      </c>
      <c r="M279" s="186" t="s">
        <v>1527</v>
      </c>
      <c r="N279" s="1"/>
    </row>
    <row r="280" ht="30.0" hidden="1" customHeight="1">
      <c r="A280" s="1"/>
      <c r="B280" s="232">
        <f t="shared" si="2"/>
        <v>278</v>
      </c>
      <c r="C280" s="181">
        <v>41445.0</v>
      </c>
      <c r="D280" s="182">
        <f t="shared" si="1"/>
        <v>2013</v>
      </c>
      <c r="E280" s="203" t="s">
        <v>2201</v>
      </c>
      <c r="F280" s="184" t="s">
        <v>2202</v>
      </c>
      <c r="G280" s="184" t="s">
        <v>2203</v>
      </c>
      <c r="H280" s="184" t="s">
        <v>201</v>
      </c>
      <c r="I280" s="28">
        <v>14.0</v>
      </c>
      <c r="J280" s="184" t="s">
        <v>1496</v>
      </c>
      <c r="K280" s="184">
        <v>384.0</v>
      </c>
      <c r="L280" s="184" t="s">
        <v>1526</v>
      </c>
      <c r="M280" s="186" t="s">
        <v>1527</v>
      </c>
      <c r="N280" s="1"/>
    </row>
    <row r="281" ht="30.0" hidden="1" customHeight="1">
      <c r="A281" s="1"/>
      <c r="B281" s="232">
        <f t="shared" si="2"/>
        <v>279</v>
      </c>
      <c r="C281" s="181">
        <v>41553.0</v>
      </c>
      <c r="D281" s="182">
        <f t="shared" si="1"/>
        <v>2013</v>
      </c>
      <c r="E281" s="203" t="s">
        <v>2204</v>
      </c>
      <c r="F281" s="184" t="s">
        <v>2205</v>
      </c>
      <c r="G281" s="184" t="s">
        <v>2206</v>
      </c>
      <c r="H281" s="184" t="s">
        <v>201</v>
      </c>
      <c r="I281" s="28">
        <v>14.0</v>
      </c>
      <c r="J281" s="184" t="s">
        <v>1496</v>
      </c>
      <c r="K281" s="184">
        <v>226.0</v>
      </c>
      <c r="L281" s="184" t="s">
        <v>2207</v>
      </c>
      <c r="M281" s="186" t="s">
        <v>1527</v>
      </c>
      <c r="N281" s="1"/>
    </row>
    <row r="282" ht="30.0" hidden="1" customHeight="1">
      <c r="A282" s="1"/>
      <c r="B282" s="232">
        <f t="shared" si="2"/>
        <v>280</v>
      </c>
      <c r="C282" s="181">
        <v>41573.0</v>
      </c>
      <c r="D282" s="182">
        <f t="shared" si="1"/>
        <v>2013</v>
      </c>
      <c r="E282" s="203" t="s">
        <v>2208</v>
      </c>
      <c r="F282" s="184" t="s">
        <v>2209</v>
      </c>
      <c r="G282" s="184" t="s">
        <v>2210</v>
      </c>
      <c r="H282" s="184" t="s">
        <v>201</v>
      </c>
      <c r="I282" s="28">
        <v>14.0</v>
      </c>
      <c r="J282" s="184" t="s">
        <v>1522</v>
      </c>
      <c r="K282" s="184">
        <v>224.0</v>
      </c>
      <c r="L282" s="184" t="s">
        <v>1526</v>
      </c>
      <c r="M282" s="186" t="s">
        <v>1527</v>
      </c>
      <c r="N282" s="1"/>
    </row>
    <row r="283" ht="30.0" hidden="1" customHeight="1">
      <c r="A283" s="1"/>
      <c r="B283" s="232">
        <f t="shared" si="2"/>
        <v>281</v>
      </c>
      <c r="C283" s="181">
        <v>41587.0</v>
      </c>
      <c r="D283" s="182">
        <f t="shared" si="1"/>
        <v>2013</v>
      </c>
      <c r="E283" s="212" t="str">
        <f>hyperlink("http://www.amazon.com/Hatching-Twitter-Nick-Bilton-ebook/dp/B00CDUVSQ0/ref=sr_1_1?ie=UTF8&amp;qid=1385799872&amp;sr=8-1&amp;keywords=hatching+twitter","Hatching Twitter: A True Story of Money, Power, Friendship, and Betrayal")</f>
        <v>Hatching Twitter: A True Story of Money, Power, Friendship, and Betrayal</v>
      </c>
      <c r="F283" s="184" t="s">
        <v>2211</v>
      </c>
      <c r="G283" s="184" t="s">
        <v>2212</v>
      </c>
      <c r="H283" s="184" t="s">
        <v>201</v>
      </c>
      <c r="I283" s="28">
        <v>14.0</v>
      </c>
      <c r="J283" s="184" t="s">
        <v>1522</v>
      </c>
      <c r="K283" s="184">
        <v>304.0</v>
      </c>
      <c r="L283" s="184" t="s">
        <v>1526</v>
      </c>
      <c r="M283" s="186" t="s">
        <v>1527</v>
      </c>
      <c r="N283" s="1"/>
    </row>
    <row r="284" ht="30.0" hidden="1" customHeight="1">
      <c r="A284" s="1"/>
      <c r="B284" s="232">
        <f t="shared" si="2"/>
        <v>282</v>
      </c>
      <c r="C284" s="181">
        <v>41607.0</v>
      </c>
      <c r="D284" s="182">
        <f t="shared" si="1"/>
        <v>2013</v>
      </c>
      <c r="E284" s="212" t="str">
        <f>hyperlink("http://www.amazon.com/Made-Stick-ideas-others-unstuck-ebook/dp/B000N2HCKQ/ref=sr_1_1?ie=UTF8&amp;qid=1385799565&amp;sr=8-1&amp;keywords=made+to+stick", "Made To Stick: Why some ideas stick and others die")</f>
        <v>Made To Stick: Why some ideas stick and others die</v>
      </c>
      <c r="F284" s="184" t="s">
        <v>2213</v>
      </c>
      <c r="G284" s="184" t="s">
        <v>2214</v>
      </c>
      <c r="H284" s="184" t="s">
        <v>201</v>
      </c>
      <c r="I284" s="28">
        <v>14.0</v>
      </c>
      <c r="J284" s="184" t="s">
        <v>1522</v>
      </c>
      <c r="K284" s="184">
        <v>291.0</v>
      </c>
      <c r="L284" s="184" t="s">
        <v>1526</v>
      </c>
      <c r="M284" s="186" t="s">
        <v>1527</v>
      </c>
      <c r="N284" s="1"/>
    </row>
    <row r="285" ht="30.0" hidden="1" customHeight="1">
      <c r="A285" s="1"/>
      <c r="B285" s="232">
        <f t="shared" si="2"/>
        <v>283</v>
      </c>
      <c r="C285" s="181">
        <v>41634.0</v>
      </c>
      <c r="D285" s="182">
        <f t="shared" si="1"/>
        <v>2013</v>
      </c>
      <c r="E285" s="212" t="str">
        <f>hyperlink("http://www.amazon.com/Focus-Hidden-Excellence-Daniel-Goleman-ebook/dp/B00BATG220/ref=sr_1_1?s=digital-text&amp;ie=UTF8&amp;qid=1388903843&amp;sr=1-1&amp;keywords=focus+the+hidden+driver+of+excellence","Focus: The Hidden Driver of Excellence")</f>
        <v>Focus: The Hidden Driver of Excellence</v>
      </c>
      <c r="F285" s="184" t="s">
        <v>2202</v>
      </c>
      <c r="G285" s="184" t="s">
        <v>2215</v>
      </c>
      <c r="H285" s="184" t="s">
        <v>201</v>
      </c>
      <c r="I285" s="28">
        <v>14.0</v>
      </c>
      <c r="J285" s="184" t="s">
        <v>1496</v>
      </c>
      <c r="K285" s="184">
        <v>325.0</v>
      </c>
      <c r="L285" s="184" t="s">
        <v>1526</v>
      </c>
      <c r="M285" s="186" t="s">
        <v>1527</v>
      </c>
      <c r="N285" s="1"/>
    </row>
    <row r="286" ht="30.0" hidden="1" customHeight="1">
      <c r="A286" s="1"/>
      <c r="B286" s="232">
        <f t="shared" si="2"/>
        <v>284</v>
      </c>
      <c r="C286" s="181">
        <v>41638.0</v>
      </c>
      <c r="D286" s="182">
        <f t="shared" si="1"/>
        <v>2013</v>
      </c>
      <c r="E286" s="212" t="str">
        <f>hyperlink("http://www.amazon.com/The-Little-Book-Talent-Improving-ebook/dp/B007JC1RM2/ref=pd_sim_kstore_1","The Little Book of Talent: 52 Tips for Improving Your Skills")</f>
        <v>The Little Book of Talent: 52 Tips for Improving Your Skills</v>
      </c>
      <c r="F286" s="184" t="s">
        <v>1897</v>
      </c>
      <c r="G286" s="184" t="s">
        <v>2216</v>
      </c>
      <c r="H286" s="184" t="s">
        <v>201</v>
      </c>
      <c r="I286" s="28">
        <v>14.0</v>
      </c>
      <c r="J286" s="184" t="s">
        <v>1496</v>
      </c>
      <c r="K286" s="184">
        <v>161.0</v>
      </c>
      <c r="L286" s="184" t="s">
        <v>1526</v>
      </c>
      <c r="M286" s="186" t="s">
        <v>1527</v>
      </c>
      <c r="N286" s="1"/>
    </row>
    <row r="287" ht="30.0" hidden="1" customHeight="1">
      <c r="A287" s="1"/>
      <c r="B287" s="232">
        <f t="shared" si="2"/>
        <v>285</v>
      </c>
      <c r="C287" s="181">
        <v>41698.0</v>
      </c>
      <c r="D287" s="182">
        <f t="shared" si="1"/>
        <v>2014</v>
      </c>
      <c r="E287" s="203" t="s">
        <v>2217</v>
      </c>
      <c r="F287" s="184" t="s">
        <v>2218</v>
      </c>
      <c r="G287" s="184" t="s">
        <v>2219</v>
      </c>
      <c r="H287" s="184" t="s">
        <v>201</v>
      </c>
      <c r="I287" s="28">
        <v>14.0</v>
      </c>
      <c r="J287" s="184" t="s">
        <v>1522</v>
      </c>
      <c r="K287" s="184">
        <v>228.0</v>
      </c>
      <c r="L287" s="184" t="s">
        <v>1526</v>
      </c>
      <c r="M287" s="233"/>
      <c r="N287" s="1"/>
    </row>
    <row r="288" ht="30.0" hidden="1" customHeight="1">
      <c r="A288" s="1"/>
      <c r="B288" s="232">
        <f t="shared" si="2"/>
        <v>286</v>
      </c>
      <c r="C288" s="181">
        <v>41699.0</v>
      </c>
      <c r="D288" s="182">
        <f t="shared" si="1"/>
        <v>2014</v>
      </c>
      <c r="E288" s="234" t="s">
        <v>2220</v>
      </c>
      <c r="F288" s="185" t="s">
        <v>2221</v>
      </c>
      <c r="G288" s="185" t="s">
        <v>2222</v>
      </c>
      <c r="H288" s="185" t="s">
        <v>201</v>
      </c>
      <c r="I288" s="210">
        <v>14.0</v>
      </c>
      <c r="J288" s="185" t="s">
        <v>1522</v>
      </c>
      <c r="K288" s="185">
        <v>280.0</v>
      </c>
      <c r="L288" s="185" t="s">
        <v>1526</v>
      </c>
      <c r="M288" s="211" t="s">
        <v>1527</v>
      </c>
      <c r="N288" s="1"/>
    </row>
    <row r="289" ht="30.0" hidden="1" customHeight="1">
      <c r="A289" s="1"/>
      <c r="B289" s="232">
        <f t="shared" si="2"/>
        <v>287</v>
      </c>
      <c r="C289" s="181">
        <v>41687.0</v>
      </c>
      <c r="D289" s="182">
        <f t="shared" si="1"/>
        <v>2014</v>
      </c>
      <c r="E289" s="222" t="str">
        <f>hyperlink("http://www.amazon.com/Balancing-Demand-Equation-Adam-Needles-ebook/dp/B005Y2H7GE/ref=sr_1_1?ie=UTF8&amp;qid=1392666992&amp;sr=8-1&amp;keywords=balancing+the+demand+equation","Balancing the Demand Equation: The Elements of a Successful, Modern B2B Demand Generation Model")</f>
        <v>Balancing the Demand Equation: The Elements of a Successful, Modern B2B Demand Generation Model</v>
      </c>
      <c r="F289" s="184" t="s">
        <v>2223</v>
      </c>
      <c r="G289" s="184" t="s">
        <v>2224</v>
      </c>
      <c r="H289" s="184" t="s">
        <v>201</v>
      </c>
      <c r="I289" s="28">
        <v>14.0</v>
      </c>
      <c r="J289" s="184" t="s">
        <v>1522</v>
      </c>
      <c r="K289" s="184">
        <v>192.0</v>
      </c>
      <c r="L289" s="184" t="s">
        <v>1497</v>
      </c>
      <c r="M289" s="186" t="s">
        <v>1527</v>
      </c>
      <c r="N289" s="1"/>
    </row>
    <row r="290" ht="30.0" hidden="1" customHeight="1">
      <c r="A290" s="1"/>
      <c r="B290" s="232">
        <f t="shared" si="2"/>
        <v>288</v>
      </c>
      <c r="C290" s="181">
        <v>41729.0</v>
      </c>
      <c r="D290" s="182">
        <f t="shared" si="1"/>
        <v>2014</v>
      </c>
      <c r="E290" s="222" t="str">
        <f>hyperlink("http://www.amazon.com/Growth-Hacker-Marketing-Advertising-Portfolio-ebook/dp/B00BPDR3JM/ref=kinw_dp_ke","Growth Hacket Marketing: A Primer on the Future of PR, Marketing, and Advertising")</f>
        <v>Growth Hacket Marketing: A Primer on the Future of PR, Marketing, and Advertising</v>
      </c>
      <c r="F290" s="184" t="s">
        <v>2225</v>
      </c>
      <c r="G290" s="184" t="s">
        <v>2226</v>
      </c>
      <c r="H290" s="184" t="s">
        <v>201</v>
      </c>
      <c r="I290" s="28">
        <v>14.0</v>
      </c>
      <c r="J290" s="184" t="s">
        <v>1522</v>
      </c>
      <c r="K290" s="184">
        <v>56.0</v>
      </c>
      <c r="L290" s="184" t="s">
        <v>1526</v>
      </c>
      <c r="M290" s="186" t="s">
        <v>1527</v>
      </c>
      <c r="N290" s="1"/>
    </row>
    <row r="291" ht="30.0" hidden="1" customHeight="1">
      <c r="A291" s="1"/>
      <c r="B291" s="232">
        <f t="shared" si="2"/>
        <v>289</v>
      </c>
      <c r="C291" s="181">
        <v>41744.0</v>
      </c>
      <c r="D291" s="182">
        <f t="shared" si="1"/>
        <v>2014</v>
      </c>
      <c r="E291" s="222" t="str">
        <f>hyperlink("http://www.amazon.com/Essentialism-Disciplined-Pursuit-Greg-Mckeown-ebook/dp/B00G1J1D28/ref=sr_1_1?s=digital-text&amp;ie=UTF8&amp;qid=1398024546&amp;sr=1-1&amp;keywords=essentialism","Essentialism: The Disciplined Pursuit of Less")</f>
        <v>Essentialism: The Disciplined Pursuit of Less</v>
      </c>
      <c r="F291" s="184" t="s">
        <v>2227</v>
      </c>
      <c r="G291" s="184" t="s">
        <v>2228</v>
      </c>
      <c r="H291" s="184" t="s">
        <v>201</v>
      </c>
      <c r="I291" s="28">
        <v>14.0</v>
      </c>
      <c r="J291" s="184" t="s">
        <v>1522</v>
      </c>
      <c r="K291" s="184">
        <v>274.0</v>
      </c>
      <c r="L291" s="184" t="s">
        <v>1526</v>
      </c>
      <c r="M291" s="186" t="s">
        <v>1527</v>
      </c>
      <c r="N291" s="1"/>
    </row>
    <row r="292" ht="30.0" hidden="1" customHeight="1">
      <c r="A292" s="1"/>
      <c r="B292" s="232">
        <f t="shared" si="2"/>
        <v>290</v>
      </c>
      <c r="C292" s="181">
        <v>41902.0</v>
      </c>
      <c r="D292" s="182">
        <f t="shared" si="1"/>
        <v>2014</v>
      </c>
      <c r="E292" s="222" t="str">
        <f>hyperlink("http://www.amazon.com/Give-Take-Helping-Others-Success-ebook/dp/B00AFPTSI0/ref=sr_1_1?s=digital-text&amp;ie=UTF8&amp;qid=1411332243&amp;sr=1-1&amp;keywords=give+and+take+adam+grant","Give and Take: Why Helping Others Drives Our Success")</f>
        <v>Give and Take: Why Helping Others Drives Our Success</v>
      </c>
      <c r="F292" s="184" t="s">
        <v>1717</v>
      </c>
      <c r="G292" s="184" t="s">
        <v>2229</v>
      </c>
      <c r="H292" s="184" t="s">
        <v>201</v>
      </c>
      <c r="I292" s="28">
        <v>14.0</v>
      </c>
      <c r="J292" s="184" t="s">
        <v>1496</v>
      </c>
      <c r="K292" s="184">
        <v>321.0</v>
      </c>
      <c r="L292" s="184" t="s">
        <v>1526</v>
      </c>
      <c r="M292" s="186" t="s">
        <v>1527</v>
      </c>
      <c r="N292" s="1"/>
    </row>
    <row r="293" ht="30.0" hidden="1" customHeight="1">
      <c r="A293" s="1"/>
      <c r="B293" s="232">
        <f t="shared" si="2"/>
        <v>291</v>
      </c>
      <c r="C293" s="181">
        <v>42004.0</v>
      </c>
      <c r="D293" s="182">
        <f t="shared" si="1"/>
        <v>2014</v>
      </c>
      <c r="E293" s="222" t="str">
        <f>hyperlink("http://www.amazon.com/Family-Life-Novel-Akhil-Sharma-ebook/dp/B00FQUDT66/ref=sr_1_1_ha?s=digital-text&amp;ie=UTF8&amp;qid=1431233999&amp;sr=1-1&amp;keywords=family+life","Family Life")</f>
        <v>Family Life</v>
      </c>
      <c r="F293" s="184" t="s">
        <v>2230</v>
      </c>
      <c r="G293" s="184" t="s">
        <v>2231</v>
      </c>
      <c r="H293" s="184" t="s">
        <v>201</v>
      </c>
      <c r="I293" s="28">
        <v>14.0</v>
      </c>
      <c r="J293" s="184" t="s">
        <v>1509</v>
      </c>
      <c r="K293" s="184">
        <v>237.0</v>
      </c>
      <c r="L293" s="184" t="s">
        <v>1526</v>
      </c>
      <c r="M293" s="186" t="s">
        <v>1527</v>
      </c>
      <c r="N293" s="1"/>
    </row>
    <row r="294" ht="30.0" hidden="1" customHeight="1">
      <c r="A294" s="1"/>
      <c r="B294" s="232">
        <f t="shared" si="2"/>
        <v>292</v>
      </c>
      <c r="C294" s="181">
        <v>42007.0</v>
      </c>
      <c r="D294" s="182">
        <f t="shared" si="1"/>
        <v>2015</v>
      </c>
      <c r="E294" s="222" t="str">
        <f>hyperlink("http://www.amazon.com/Sick-True-Story-How-American-ebook/dp/B000PDZFWU/ref=sr_1_3?s=digital-text&amp;ie=UTF8&amp;qid=1431232986&amp;sr=1-3&amp;keywords=sick","Sick: The untold story of America's health care crisis - and the people who pay the price")</f>
        <v>Sick: The untold story of America's health care crisis - and the people who pay the price</v>
      </c>
      <c r="F294" s="184" t="s">
        <v>2232</v>
      </c>
      <c r="G294" s="184" t="s">
        <v>2233</v>
      </c>
      <c r="H294" s="184" t="s">
        <v>201</v>
      </c>
      <c r="I294" s="28">
        <v>14.0</v>
      </c>
      <c r="J294" s="184" t="s">
        <v>1496</v>
      </c>
      <c r="K294" s="184">
        <v>338.0</v>
      </c>
      <c r="L294" s="184" t="s">
        <v>1526</v>
      </c>
      <c r="M294" s="186" t="s">
        <v>1527</v>
      </c>
      <c r="N294" s="1"/>
    </row>
    <row r="295" ht="30.0" hidden="1" customHeight="1">
      <c r="A295" s="1"/>
      <c r="B295" s="232">
        <f t="shared" si="2"/>
        <v>293</v>
      </c>
      <c r="C295" s="181">
        <v>42017.0</v>
      </c>
      <c r="D295" s="182">
        <f t="shared" si="1"/>
        <v>2015</v>
      </c>
      <c r="E295" s="222" t="str">
        <f>hyperlink("http://www.amazon.com/Long-Bright-Future-Laura-Carstensen-ebook/dp/B005GPSKWE/ref=sr_1_1?s=digital-text&amp;ie=UTF8&amp;qid=1431232659&amp;sr=1-1&amp;keywords=carstensen","Long Bright  Future, A")</f>
        <v>Long Bright  Future, A</v>
      </c>
      <c r="F295" s="184" t="s">
        <v>2234</v>
      </c>
      <c r="G295" s="184" t="s">
        <v>2235</v>
      </c>
      <c r="H295" s="184" t="s">
        <v>201</v>
      </c>
      <c r="I295" s="28">
        <v>14.0</v>
      </c>
      <c r="J295" s="184" t="s">
        <v>1496</v>
      </c>
      <c r="K295" s="184">
        <v>354.0</v>
      </c>
      <c r="L295" s="184" t="s">
        <v>1526</v>
      </c>
      <c r="M295" s="186" t="s">
        <v>1527</v>
      </c>
      <c r="N295" s="1"/>
    </row>
    <row r="296" ht="30.0" hidden="1" customHeight="1">
      <c r="A296" s="1"/>
      <c r="B296" s="232">
        <f t="shared" si="2"/>
        <v>294</v>
      </c>
      <c r="C296" s="181">
        <v>42095.0</v>
      </c>
      <c r="D296" s="182">
        <f t="shared" si="1"/>
        <v>2015</v>
      </c>
      <c r="E296" s="222" t="str">
        <f>hyperlink("http://www.amazon.com/Dear-Committee-Members-Julie-Schumacher-ebook/dp/B00ILWUKHM/ref=sr_1_3?s=digital-text&amp;ie=UTF8&amp;qid=1431230559&amp;sr=1-3&amp;keywords=letter+of+recommendation","Dear Committee Members")</f>
        <v>Dear Committee Members</v>
      </c>
      <c r="F296" s="184" t="s">
        <v>2236</v>
      </c>
      <c r="G296" s="184" t="s">
        <v>2237</v>
      </c>
      <c r="H296" s="184" t="s">
        <v>201</v>
      </c>
      <c r="I296" s="28">
        <v>14.0</v>
      </c>
      <c r="J296" s="184" t="s">
        <v>1509</v>
      </c>
      <c r="K296" s="184">
        <v>193.0</v>
      </c>
      <c r="L296" s="184" t="s">
        <v>1526</v>
      </c>
      <c r="M296" s="186" t="s">
        <v>804</v>
      </c>
      <c r="N296" s="1"/>
    </row>
    <row r="297" ht="30.0" hidden="1" customHeight="1">
      <c r="A297" s="1"/>
      <c r="B297" s="232">
        <f t="shared" si="2"/>
        <v>295</v>
      </c>
      <c r="C297" s="181">
        <v>42176.0</v>
      </c>
      <c r="D297" s="182">
        <f t="shared" si="1"/>
        <v>2015</v>
      </c>
      <c r="E297" s="212" t="str">
        <f>hyperlink("http://www.amazon.com/Contagious-Things-Catch-Jonah-Berger-ebook/dp/B008J4GQKW/ref=sr_1_1?s=digital-text&amp;ie=UTF8&amp;qid=1437714246&amp;sr=1-1&amp;keywords=contagious","Contagious: Why Things Catch On")</f>
        <v>Contagious: Why Things Catch On</v>
      </c>
      <c r="F297" s="185" t="s">
        <v>2238</v>
      </c>
      <c r="G297" s="185" t="s">
        <v>2239</v>
      </c>
      <c r="H297" s="185" t="s">
        <v>201</v>
      </c>
      <c r="I297" s="210">
        <v>14.0</v>
      </c>
      <c r="J297" s="185" t="s">
        <v>1522</v>
      </c>
      <c r="K297" s="185">
        <v>257.0</v>
      </c>
      <c r="L297" s="185" t="s">
        <v>1526</v>
      </c>
      <c r="M297" s="211" t="s">
        <v>1527</v>
      </c>
      <c r="N297" s="1"/>
    </row>
    <row r="298" ht="30.0" hidden="1" customHeight="1">
      <c r="A298" s="1"/>
      <c r="B298" s="232">
        <f t="shared" si="2"/>
        <v>296</v>
      </c>
      <c r="C298" s="181">
        <v>42136.0</v>
      </c>
      <c r="D298" s="182">
        <f t="shared" si="1"/>
        <v>2015</v>
      </c>
      <c r="E298" s="212" t="str">
        <f>hyperlink("http://www.amazon.com/Boys-Boat-Americans-Berlin-Olympics-ebook/dp/B00AEBETU2/ref=sr_1_1_ha?s=digital-text&amp;ie=UTF8&amp;qid=1437714711&amp;sr=1-1&amp;keywords=the+boys+in+the+boat","Boys in the boat, The: Nine Americans and Their Epic Quest for Gold at the 1936 Berlin Olympics")</f>
        <v>Boys in the boat, The: Nine Americans and Their Epic Quest for Gold at the 1936 Berlin Olympics</v>
      </c>
      <c r="F298" s="185" t="s">
        <v>2240</v>
      </c>
      <c r="G298" s="185" t="s">
        <v>2241</v>
      </c>
      <c r="H298" s="185" t="s">
        <v>201</v>
      </c>
      <c r="I298" s="210">
        <v>14.0</v>
      </c>
      <c r="J298" s="185" t="s">
        <v>1496</v>
      </c>
      <c r="K298" s="185">
        <v>417.0</v>
      </c>
      <c r="L298" s="185" t="s">
        <v>1526</v>
      </c>
      <c r="M298" s="211" t="s">
        <v>1527</v>
      </c>
      <c r="N298" s="1"/>
    </row>
    <row r="299" ht="30.0" hidden="1" customHeight="1">
      <c r="A299" s="1"/>
      <c r="B299" s="232">
        <f t="shared" si="2"/>
        <v>297</v>
      </c>
      <c r="C299" s="181">
        <v>42211.0</v>
      </c>
      <c r="D299" s="182">
        <f t="shared" si="1"/>
        <v>2015</v>
      </c>
      <c r="E299" s="212" t="str">
        <f>hyperlink("http://www.amazon.com/Martian-Novel-Andy-Weir-ebook/dp/B00EMXBDMA/ref=sr_1_1_twi_2_kin?ie=UTF8&amp;qid=1438059361&amp;sr=8-1&amp;keywords=the+martian","Martian, The")</f>
        <v>Martian, The</v>
      </c>
      <c r="F299" s="185" t="s">
        <v>2242</v>
      </c>
      <c r="G299" s="185" t="s">
        <v>2243</v>
      </c>
      <c r="H299" s="185" t="s">
        <v>201</v>
      </c>
      <c r="I299" s="210">
        <v>14.0</v>
      </c>
      <c r="J299" s="185" t="s">
        <v>1509</v>
      </c>
      <c r="K299" s="185">
        <v>385.0</v>
      </c>
      <c r="L299" s="185" t="s">
        <v>1526</v>
      </c>
      <c r="M299" s="186"/>
      <c r="N299" s="1"/>
    </row>
    <row r="300" ht="30.0" hidden="1" customHeight="1">
      <c r="A300" s="1"/>
      <c r="B300" s="232">
        <f t="shared" si="2"/>
        <v>298</v>
      </c>
      <c r="C300" s="181">
        <v>42259.0</v>
      </c>
      <c r="D300" s="182">
        <f t="shared" si="1"/>
        <v>2015</v>
      </c>
      <c r="E300" s="212" t="str">
        <f>hyperlink("http://www.amazon.com/Lying-Sam-Harris-ebook/dp/B00G1SRB6Q/ref=sr_1_1?s=digital-text&amp;ie=UTF8&amp;qid=1445231317&amp;sr=1-1&amp;keywords=lying","Lying")</f>
        <v>Lying</v>
      </c>
      <c r="F300" s="185" t="s">
        <v>2244</v>
      </c>
      <c r="G300" s="185" t="s">
        <v>2245</v>
      </c>
      <c r="H300" s="185" t="s">
        <v>201</v>
      </c>
      <c r="I300" s="210">
        <v>14.0</v>
      </c>
      <c r="J300" s="185" t="s">
        <v>1496</v>
      </c>
      <c r="K300" s="185">
        <v>108.0</v>
      </c>
      <c r="L300" s="185" t="s">
        <v>1526</v>
      </c>
      <c r="M300" s="211" t="s">
        <v>1527</v>
      </c>
      <c r="N300" s="1"/>
    </row>
    <row r="301" ht="30.0" hidden="1" customHeight="1">
      <c r="A301" s="1"/>
      <c r="B301" s="232">
        <f t="shared" si="2"/>
        <v>299</v>
      </c>
      <c r="C301" s="181">
        <v>42251.0</v>
      </c>
      <c r="D301" s="182">
        <f t="shared" si="1"/>
        <v>2015</v>
      </c>
      <c r="E301" s="212" t="str">
        <f>hyperlink("http://www.amazon.com/Blockbusters-Hit-making-Risk-taking-Business-Entertainment-ebook/dp/B00C74OXLO/ref=sr_1_1?s=digital-text&amp;ie=UTF8&amp;qid=1441665626&amp;sr=1-1&amp;keywords=blockbusters","Blockbusters: Hit-making, Risk-taking, and the Big Business of Entertainment")</f>
        <v>Blockbusters: Hit-making, Risk-taking, and the Big Business of Entertainment</v>
      </c>
      <c r="F301" s="185" t="s">
        <v>2246</v>
      </c>
      <c r="G301" s="185" t="s">
        <v>2247</v>
      </c>
      <c r="H301" s="185" t="s">
        <v>201</v>
      </c>
      <c r="I301" s="210">
        <v>14.0</v>
      </c>
      <c r="J301" s="185" t="s">
        <v>1522</v>
      </c>
      <c r="K301" s="185">
        <v>320.0</v>
      </c>
      <c r="L301" s="185" t="s">
        <v>1526</v>
      </c>
      <c r="M301" s="211" t="s">
        <v>1527</v>
      </c>
      <c r="N301" s="1"/>
    </row>
    <row r="302" ht="30.0" hidden="1" customHeight="1">
      <c r="A302" s="1"/>
      <c r="B302" s="232">
        <f t="shared" si="2"/>
        <v>300</v>
      </c>
      <c r="C302" s="181">
        <v>42295.0</v>
      </c>
      <c r="D302" s="182">
        <f t="shared" si="1"/>
        <v>2015</v>
      </c>
      <c r="E302" s="212" t="str">
        <f>hyperlink("http://www.amazon.com/gp/product/B00FUZQYBO?keywords=creativity%20inc&amp;qid=1445230649&amp;redirect=true&amp;ref_=nav_custrec_signin&amp;ref_=sr_1_1_ha&amp;s=digital-text&amp;sr=1-1","Creativity, Inc.: Overcoming the Unseen Forces That Stand in the Way of True Inspiration")</f>
        <v>Creativity, Inc.: Overcoming the Unseen Forces That Stand in the Way of True Inspiration</v>
      </c>
      <c r="F302" s="185" t="s">
        <v>2248</v>
      </c>
      <c r="G302" s="185" t="s">
        <v>2249</v>
      </c>
      <c r="H302" s="185" t="s">
        <v>201</v>
      </c>
      <c r="I302" s="210">
        <v>14.0</v>
      </c>
      <c r="J302" s="185" t="s">
        <v>1522</v>
      </c>
      <c r="K302" s="185">
        <v>358.0</v>
      </c>
      <c r="L302" s="185" t="s">
        <v>1526</v>
      </c>
      <c r="M302" s="211" t="s">
        <v>1527</v>
      </c>
      <c r="N302" s="1"/>
    </row>
    <row r="303" ht="30.0" hidden="1" customHeight="1">
      <c r="A303" s="1"/>
      <c r="B303" s="232">
        <f t="shared" si="2"/>
        <v>301</v>
      </c>
      <c r="C303" s="181">
        <v>42386.0</v>
      </c>
      <c r="D303" s="182">
        <f t="shared" si="1"/>
        <v>2016</v>
      </c>
      <c r="E303" s="212" t="str">
        <f>hyperlink("http://www.amazon.com/Life-Keith-Richards-ebook/dp/B003UBTX72","Life")</f>
        <v>Life</v>
      </c>
      <c r="F303" s="185" t="s">
        <v>2250</v>
      </c>
      <c r="G303" s="185" t="s">
        <v>2251</v>
      </c>
      <c r="H303" s="185" t="s">
        <v>201</v>
      </c>
      <c r="I303" s="210">
        <v>14.0</v>
      </c>
      <c r="J303" s="185" t="s">
        <v>1496</v>
      </c>
      <c r="K303" s="185">
        <v>536.0</v>
      </c>
      <c r="L303" s="185" t="s">
        <v>1574</v>
      </c>
      <c r="M303" s="211" t="s">
        <v>804</v>
      </c>
      <c r="N303" s="1"/>
    </row>
    <row r="304" ht="30.0" hidden="1" customHeight="1">
      <c r="A304" s="1"/>
      <c r="B304" s="232">
        <f t="shared" si="2"/>
        <v>302</v>
      </c>
      <c r="C304" s="181">
        <v>42404.0</v>
      </c>
      <c r="D304" s="182">
        <f t="shared" si="1"/>
        <v>2016</v>
      </c>
      <c r="E304" s="212" t="str">
        <f>hyperlink("http://www.amazon.com/Paddle-Your-Own-Canoe-Fundamentals-ebook/dp/B00C1N5WRU/ref=tmm_kin_swatch_0?_encoding=UTF8&amp;qid=1454905580&amp;sr=8-1","Paddle Your Own Canoe: One Man's Fundamentals for Delicious Living")</f>
        <v>Paddle Your Own Canoe: One Man's Fundamentals for Delicious Living</v>
      </c>
      <c r="F304" s="185" t="s">
        <v>2252</v>
      </c>
      <c r="G304" s="185" t="s">
        <v>2253</v>
      </c>
      <c r="H304" s="185" t="s">
        <v>201</v>
      </c>
      <c r="I304" s="210">
        <v>14.0</v>
      </c>
      <c r="J304" s="185" t="s">
        <v>1496</v>
      </c>
      <c r="K304" s="185">
        <v>353.0</v>
      </c>
      <c r="L304" s="185" t="s">
        <v>1574</v>
      </c>
      <c r="M304" s="211" t="s">
        <v>804</v>
      </c>
      <c r="N304" s="1"/>
    </row>
    <row r="305" ht="30.0" hidden="1" customHeight="1">
      <c r="A305" s="1"/>
      <c r="B305" s="232">
        <f t="shared" si="2"/>
        <v>303</v>
      </c>
      <c r="C305" s="181">
        <v>42430.0</v>
      </c>
      <c r="D305" s="182">
        <f t="shared" si="1"/>
        <v>2016</v>
      </c>
      <c r="E305" s="212" t="str">
        <f>hyperlink("http://www.amazon.com/Life-We-Bury-Allen-Eskens-ebook/dp/B00JTA9Z7G/ref=sr_1_1?s=digital-text&amp;ie=UTF8&amp;qid=1457326130&amp;sr=1-1&amp;keywords=the+life+we+bury","The Life We Bury")</f>
        <v>The Life We Bury</v>
      </c>
      <c r="F305" s="185" t="s">
        <v>2254</v>
      </c>
      <c r="G305" s="185" t="s">
        <v>2255</v>
      </c>
      <c r="H305" s="185" t="s">
        <v>201</v>
      </c>
      <c r="I305" s="210">
        <v>14.0</v>
      </c>
      <c r="J305" s="185" t="s">
        <v>1509</v>
      </c>
      <c r="K305" s="185">
        <v>306.0</v>
      </c>
      <c r="L305" s="185" t="s">
        <v>1574</v>
      </c>
      <c r="M305" s="211" t="s">
        <v>169</v>
      </c>
      <c r="N305" s="1"/>
    </row>
    <row r="306" ht="30.0" hidden="1" customHeight="1">
      <c r="A306" s="1"/>
      <c r="B306" s="232">
        <f t="shared" si="2"/>
        <v>304</v>
      </c>
      <c r="C306" s="181">
        <v>42439.0</v>
      </c>
      <c r="D306" s="182">
        <f t="shared" si="1"/>
        <v>2016</v>
      </c>
      <c r="E306" s="212" t="str">
        <f>hyperlink("https://smile.amazon.com/Saw-Man-Novel-Owen-Sheers-ebook/dp/B00NKDMBQA?ie=UTF8&amp;qid=1462404690&amp;ref_=tmm_kin_swatch_0&amp;sr=8-1","I Saw a Man")</f>
        <v>I Saw a Man</v>
      </c>
      <c r="F306" s="185" t="s">
        <v>2256</v>
      </c>
      <c r="G306" s="185" t="s">
        <v>2257</v>
      </c>
      <c r="H306" s="185" t="s">
        <v>201</v>
      </c>
      <c r="I306" s="210">
        <v>14.0</v>
      </c>
      <c r="J306" s="185" t="s">
        <v>1509</v>
      </c>
      <c r="K306" s="185">
        <v>274.0</v>
      </c>
      <c r="L306" s="185" t="s">
        <v>1526</v>
      </c>
      <c r="M306" s="211" t="s">
        <v>1527</v>
      </c>
      <c r="N306" s="1"/>
    </row>
    <row r="307" ht="30.0" hidden="1" customHeight="1">
      <c r="A307" s="1"/>
      <c r="B307" s="232">
        <f t="shared" si="2"/>
        <v>305</v>
      </c>
      <c r="C307" s="181">
        <v>42456.0</v>
      </c>
      <c r="D307" s="182">
        <f t="shared" si="1"/>
        <v>2016</v>
      </c>
      <c r="E307" s="212" t="str">
        <f>hyperlink("https://www.amazon.com/Smarter-Faster-Better-Transformative-Productivity-ebook/dp/B00Z3FRYB0/ref=sr_1_1_twi_kin_2?ie=UTF8&amp;qid=1524700574&amp;sr=8-1&amp;keywords=faster+stronger+better","Faster, Stronger, Better")</f>
        <v>Faster, Stronger, Better</v>
      </c>
      <c r="F307" s="185" t="s">
        <v>1667</v>
      </c>
      <c r="G307" s="185" t="s">
        <v>2258</v>
      </c>
      <c r="H307" s="185" t="s">
        <v>201</v>
      </c>
      <c r="I307" s="210">
        <v>14.0</v>
      </c>
      <c r="J307" s="185" t="s">
        <v>1522</v>
      </c>
      <c r="K307" s="185">
        <v>401.0</v>
      </c>
      <c r="L307" s="185" t="s">
        <v>1574</v>
      </c>
      <c r="M307" s="211" t="s">
        <v>1527</v>
      </c>
      <c r="N307" s="1"/>
    </row>
    <row r="308" ht="30.0" hidden="1" customHeight="1">
      <c r="A308" s="1"/>
      <c r="B308" s="232">
        <f t="shared" si="2"/>
        <v>306</v>
      </c>
      <c r="C308" s="181">
        <v>42495.0</v>
      </c>
      <c r="D308" s="182">
        <f t="shared" si="1"/>
        <v>2016</v>
      </c>
      <c r="E308" s="212" t="str">
        <f>hyperlink("https://www.amazon.com/Deep-Work-Focused-Success-Distracted-ebook/dp/B00X47ZVXM?ie=UTF8&amp;qid=&amp;ref_=tmm_kin_swatch_0&amp;sr=","Deep Work: Rules for Focused Success in a Distracted World")</f>
        <v>Deep Work: Rules for Focused Success in a Distracted World</v>
      </c>
      <c r="F308" s="185" t="s">
        <v>2259</v>
      </c>
      <c r="G308" s="185" t="s">
        <v>2260</v>
      </c>
      <c r="H308" s="185" t="s">
        <v>201</v>
      </c>
      <c r="I308" s="210">
        <v>14.0</v>
      </c>
      <c r="J308" s="185" t="s">
        <v>1496</v>
      </c>
      <c r="K308" s="185">
        <v>287.0</v>
      </c>
      <c r="L308" s="185" t="s">
        <v>1526</v>
      </c>
      <c r="M308" s="211" t="s">
        <v>1527</v>
      </c>
      <c r="N308" s="1"/>
    </row>
    <row r="309" ht="30.0" hidden="1" customHeight="1">
      <c r="A309" s="1"/>
      <c r="B309" s="232">
        <f t="shared" si="2"/>
        <v>307</v>
      </c>
      <c r="C309" s="181">
        <v>42496.0</v>
      </c>
      <c r="D309" s="182">
        <f t="shared" si="1"/>
        <v>2016</v>
      </c>
      <c r="E309" s="212" t="str">
        <f>hyperlink("https://www.amazon.com/Quiet-Power-Introverts-World-Talking-ebook/dp/B004J4WNL2/ref=sr_1_1_ha?s=digital-text&amp;ie=UTF8&amp;qid=1462562503&amp;sr=1-1&amp;keywords=quiet+the+power+of+introverts+in+a+world+that+can%27t+stop+talking","Quiet: The Power of Introverts in a World That Can't Stop Talking")</f>
        <v>Quiet: The Power of Introverts in a World That Can't Stop Talking</v>
      </c>
      <c r="F309" s="185" t="s">
        <v>2261</v>
      </c>
      <c r="G309" s="185" t="s">
        <v>2262</v>
      </c>
      <c r="H309" s="185" t="s">
        <v>201</v>
      </c>
      <c r="I309" s="210">
        <v>14.0</v>
      </c>
      <c r="J309" s="185" t="s">
        <v>1496</v>
      </c>
      <c r="K309" s="185">
        <v>370.0</v>
      </c>
      <c r="L309" s="185" t="s">
        <v>1526</v>
      </c>
      <c r="M309" s="211" t="s">
        <v>1527</v>
      </c>
      <c r="N309" s="1"/>
    </row>
    <row r="310" ht="30.0" hidden="1" customHeight="1">
      <c r="A310" s="1"/>
      <c r="B310" s="232">
        <f t="shared" si="2"/>
        <v>308</v>
      </c>
      <c r="C310" s="181">
        <v>42499.0</v>
      </c>
      <c r="D310" s="182">
        <f t="shared" si="1"/>
        <v>2016</v>
      </c>
      <c r="E310" s="212" t="str">
        <f>hyperlink("https://www.amazon.com/Surviving-AI-promise-artificial-intelligence-ebook/dp/B014RFZJVI?ie=UTF8&amp;ref_=r_soa_w_d","Surviving AI: The Promise and Peril of artificial intelligence")</f>
        <v>Surviving AI: The Promise and Peril of artificial intelligence</v>
      </c>
      <c r="F310" s="185" t="s">
        <v>2263</v>
      </c>
      <c r="G310" s="185" t="s">
        <v>2264</v>
      </c>
      <c r="H310" s="185" t="s">
        <v>201</v>
      </c>
      <c r="I310" s="210">
        <v>14.0</v>
      </c>
      <c r="J310" s="185" t="s">
        <v>1496</v>
      </c>
      <c r="K310" s="185">
        <v>208.0</v>
      </c>
      <c r="L310" s="185" t="s">
        <v>1526</v>
      </c>
      <c r="M310" s="211" t="s">
        <v>1527</v>
      </c>
      <c r="N310" s="1"/>
    </row>
    <row r="311" ht="30.0" hidden="1" customHeight="1">
      <c r="A311" s="1"/>
      <c r="B311" s="232">
        <f t="shared" si="2"/>
        <v>309</v>
      </c>
      <c r="C311" s="181">
        <v>42566.0</v>
      </c>
      <c r="D311" s="182">
        <f t="shared" si="1"/>
        <v>2016</v>
      </c>
      <c r="E311" s="212" t="str">
        <f>hyperlink("https://www.amazon.com/Elon-Musk-SpaceX-Fantastic-Future-ebook/dp/B00KVI76ZS/ref=tmm_kin_swatch_0?_encoding=UTF8&amp;qid=1468102622&amp;sr=1-1","Elon Musk: Tesla, SpaceX, and the Quest for a Fantastic Future")</f>
        <v>Elon Musk: Tesla, SpaceX, and the Quest for a Fantastic Future</v>
      </c>
      <c r="F311" s="185" t="s">
        <v>2265</v>
      </c>
      <c r="G311" s="185" t="s">
        <v>2266</v>
      </c>
      <c r="H311" s="185" t="s">
        <v>201</v>
      </c>
      <c r="I311" s="210">
        <v>14.0</v>
      </c>
      <c r="J311" s="185" t="s">
        <v>1522</v>
      </c>
      <c r="K311" s="185">
        <v>421.0</v>
      </c>
      <c r="L311" s="185" t="s">
        <v>1526</v>
      </c>
      <c r="M311" s="211" t="s">
        <v>1527</v>
      </c>
      <c r="N311" s="1"/>
    </row>
    <row r="312" ht="30.0" hidden="1" customHeight="1">
      <c r="A312" s="1"/>
      <c r="B312" s="232">
        <f t="shared" si="2"/>
        <v>310</v>
      </c>
      <c r="C312" s="181">
        <v>42584.0</v>
      </c>
      <c r="D312" s="182">
        <f t="shared" si="1"/>
        <v>2016</v>
      </c>
      <c r="E312" s="212" t="str">
        <f>hyperlink("https://www.amazon.com/Better-Under-Pressure-Justin-Menkes-ebook/dp/B004V3TGLG/ref=sr_1_1?s=digital-text&amp;ie=UTF8&amp;qid=1470198360&amp;sr=1-1&amp;keywords=better+under+pressure#navbar","Better Under Pressure: How Great Leaders Bring Out the best in Themselves and Others")</f>
        <v>Better Under Pressure: How Great Leaders Bring Out the best in Themselves and Others</v>
      </c>
      <c r="F312" s="185" t="s">
        <v>2267</v>
      </c>
      <c r="G312" s="185" t="s">
        <v>2268</v>
      </c>
      <c r="H312" s="185" t="s">
        <v>201</v>
      </c>
      <c r="I312" s="210">
        <v>14.0</v>
      </c>
      <c r="J312" s="185" t="s">
        <v>1522</v>
      </c>
      <c r="K312" s="185">
        <v>208.0</v>
      </c>
      <c r="L312" s="185" t="s">
        <v>1526</v>
      </c>
      <c r="M312" s="211" t="s">
        <v>1527</v>
      </c>
      <c r="N312" s="1"/>
    </row>
    <row r="313" ht="30.0" hidden="1" customHeight="1">
      <c r="A313" s="1"/>
      <c r="B313" s="232">
        <f t="shared" si="2"/>
        <v>311</v>
      </c>
      <c r="C313" s="181">
        <v>42600.0</v>
      </c>
      <c r="D313" s="182">
        <f t="shared" si="1"/>
        <v>2016</v>
      </c>
      <c r="E313" s="212" t="str">
        <f>hyperlink("https://www.amazon.com/Obstacle-Way-Timeless-Turning-Triumph-ebook/dp/B00G3L1B8K/ref=sr_1_1?s=digital-text&amp;ie=UTF8&amp;qid=1478409144&amp;sr=1-1&amp;keywords=the+obstacle+is+the+way+by+ryan+holiday","Obstacle is the Way, The: The Timeless Art of Turning Trials into Triumph ")</f>
        <v>Obstacle is the Way, The: The Timeless Art of Turning Trials into Triumph </v>
      </c>
      <c r="F313" s="185" t="s">
        <v>2225</v>
      </c>
      <c r="G313" s="185" t="s">
        <v>2269</v>
      </c>
      <c r="H313" s="185" t="s">
        <v>201</v>
      </c>
      <c r="I313" s="210">
        <v>14.0</v>
      </c>
      <c r="J313" s="185" t="s">
        <v>1496</v>
      </c>
      <c r="K313" s="185">
        <v>202.0</v>
      </c>
      <c r="L313" s="185" t="s">
        <v>1574</v>
      </c>
      <c r="M313" s="211" t="s">
        <v>169</v>
      </c>
      <c r="N313" s="1"/>
    </row>
    <row r="314" ht="30.0" hidden="1" customHeight="1">
      <c r="A314" s="1"/>
      <c r="B314" s="232">
        <f t="shared" si="2"/>
        <v>312</v>
      </c>
      <c r="C314" s="181">
        <v>42605.0</v>
      </c>
      <c r="D314" s="182">
        <f t="shared" si="1"/>
        <v>2016</v>
      </c>
      <c r="E314" s="212" t="str">
        <f>hyperlink("https://www.amazon.com/Ego-Enemy-Ryan-Holiday-ebook/dp/B015NTIXWE/ref=sr_1_1?s=digital-text&amp;ie=UTF8&amp;qid=1478408915&amp;sr=1-1&amp;keywords=ego+is+the+enemy","Ego is the Enemy")</f>
        <v>Ego is the Enemy</v>
      </c>
      <c r="F314" s="185" t="s">
        <v>2225</v>
      </c>
      <c r="G314" s="185" t="s">
        <v>2270</v>
      </c>
      <c r="H314" s="185" t="s">
        <v>201</v>
      </c>
      <c r="I314" s="210">
        <v>14.0</v>
      </c>
      <c r="J314" s="185" t="s">
        <v>1496</v>
      </c>
      <c r="K314" s="185">
        <v>247.0</v>
      </c>
      <c r="L314" s="185" t="s">
        <v>1526</v>
      </c>
      <c r="M314" s="211" t="s">
        <v>1527</v>
      </c>
      <c r="N314" s="1"/>
    </row>
    <row r="315" ht="30.0" hidden="1" customHeight="1">
      <c r="A315" s="1"/>
      <c r="B315" s="232">
        <f t="shared" si="2"/>
        <v>313</v>
      </c>
      <c r="C315" s="181">
        <v>42611.0</v>
      </c>
      <c r="D315" s="182">
        <f t="shared" si="1"/>
        <v>2016</v>
      </c>
      <c r="E315" s="212" t="str">
        <f>hyperlink("https://www.amazon.com/Leading-Learning-Years-Manchester-United-ebook/dp/B00Z7J7EXK/ref=sr_1_1?s=digital-text&amp;ie=UTF8&amp;qid=1478408601&amp;sr=1-1&amp;keywords=leading+alex+ferguson","Leading: Learning from Life and My Years at Manchester United")</f>
        <v>Leading: Learning from Life and My Years at Manchester United</v>
      </c>
      <c r="F315" s="185" t="s">
        <v>2271</v>
      </c>
      <c r="G315" s="185" t="s">
        <v>2272</v>
      </c>
      <c r="H315" s="185" t="s">
        <v>201</v>
      </c>
      <c r="I315" s="210">
        <v>14.0</v>
      </c>
      <c r="J315" s="185" t="s">
        <v>1522</v>
      </c>
      <c r="K315" s="185">
        <v>372.0</v>
      </c>
      <c r="L315" s="185" t="s">
        <v>1526</v>
      </c>
      <c r="M315" s="211" t="s">
        <v>1527</v>
      </c>
      <c r="N315" s="1"/>
    </row>
    <row r="316" ht="30.0" hidden="1" customHeight="1">
      <c r="A316" s="1"/>
      <c r="B316" s="232">
        <f t="shared" si="2"/>
        <v>314</v>
      </c>
      <c r="C316" s="181">
        <v>42617.0</v>
      </c>
      <c r="D316" s="182">
        <f t="shared" si="1"/>
        <v>2016</v>
      </c>
      <c r="E316" s="212" t="str">
        <f>hyperlink("https://www.amazon.com/Powerhouse-Untold-Hollywoods-Creative-Artists-ebook/dp/B016I3ANU4/ref=sr_1_1?s=digital-text&amp;ie=UTF8&amp;qid=1478409464&amp;sr=1-1&amp;keywords=powerhouse+the+untold+story+of+hollywood%27s+creative+artists+agency","Powerhouse: The Untold Story of Hollywood's Creative Artists Agency")</f>
        <v>Powerhouse: The Untold Story of Hollywood's Creative Artists Agency</v>
      </c>
      <c r="F316" s="185" t="s">
        <v>2273</v>
      </c>
      <c r="G316" s="185" t="s">
        <v>2274</v>
      </c>
      <c r="H316" s="185" t="s">
        <v>201</v>
      </c>
      <c r="I316" s="210">
        <v>14.0</v>
      </c>
      <c r="J316" s="185" t="s">
        <v>1496</v>
      </c>
      <c r="K316" s="185">
        <v>757.0</v>
      </c>
      <c r="L316" s="185" t="s">
        <v>1574</v>
      </c>
      <c r="M316" s="211" t="s">
        <v>169</v>
      </c>
      <c r="N316" s="1"/>
    </row>
    <row r="317" ht="30.0" hidden="1" customHeight="1">
      <c r="A317" s="1"/>
      <c r="B317" s="232">
        <f t="shared" si="2"/>
        <v>315</v>
      </c>
      <c r="C317" s="181">
        <v>42684.0</v>
      </c>
      <c r="D317" s="182">
        <f t="shared" si="1"/>
        <v>2016</v>
      </c>
      <c r="E317" s="212" t="str">
        <f>hyperlink("https://www.amazon.com/Scarcity-Science-Having-Defines-Lives/dp/125005611X/ref=sr_1_1?ie=UTF8&amp;qid=1478980993&amp;sr=8-1&amp;keywords=scarcity+why+having+too+little+means+so+much","Scarcity: The New Science of Having Less and How It Defines Our Lives")</f>
        <v>Scarcity: The New Science of Having Less and How It Defines Our Lives</v>
      </c>
      <c r="F317" s="185" t="s">
        <v>2275</v>
      </c>
      <c r="G317" s="185" t="s">
        <v>2276</v>
      </c>
      <c r="H317" s="185" t="s">
        <v>201</v>
      </c>
      <c r="I317" s="210">
        <v>14.0</v>
      </c>
      <c r="J317" s="185" t="s">
        <v>1496</v>
      </c>
      <c r="K317" s="185">
        <v>304.0</v>
      </c>
      <c r="L317" s="185" t="s">
        <v>1574</v>
      </c>
      <c r="M317" s="211" t="s">
        <v>804</v>
      </c>
      <c r="N317" s="1"/>
    </row>
    <row r="318" ht="30.0" hidden="1" customHeight="1">
      <c r="A318" s="1"/>
      <c r="B318" s="232">
        <f t="shared" si="2"/>
        <v>316</v>
      </c>
      <c r="C318" s="181">
        <v>42696.0</v>
      </c>
      <c r="D318" s="182">
        <f t="shared" si="1"/>
        <v>2016</v>
      </c>
      <c r="E318" s="212" t="str">
        <f>hyperlink("https://www.amazon.com/Never-Edward-Patrick-Melrose-Novels/dp/1447202937/ref=sr_1_cc_2?s=aps&amp;ie=UTF8&amp;qid=1480270702&amp;sr=1-2-catcorr&amp;keywords=edward+st+aubyn+never+mind","Never Mind")</f>
        <v>Never Mind</v>
      </c>
      <c r="F318" s="185" t="s">
        <v>2277</v>
      </c>
      <c r="G318" s="185" t="s">
        <v>2278</v>
      </c>
      <c r="H318" s="185" t="s">
        <v>201</v>
      </c>
      <c r="I318" s="210">
        <v>14.0</v>
      </c>
      <c r="J318" s="185" t="s">
        <v>1509</v>
      </c>
      <c r="K318" s="185">
        <v>208.0</v>
      </c>
      <c r="L318" s="185" t="s">
        <v>1574</v>
      </c>
      <c r="M318" s="211" t="s">
        <v>804</v>
      </c>
      <c r="N318" s="1"/>
    </row>
    <row r="319" ht="30.0" hidden="1" customHeight="1">
      <c r="A319" s="1"/>
      <c r="B319" s="232">
        <f t="shared" si="2"/>
        <v>317</v>
      </c>
      <c r="C319" s="181">
        <v>42709.0</v>
      </c>
      <c r="D319" s="182">
        <f t="shared" si="1"/>
        <v>2016</v>
      </c>
      <c r="E319" s="212" t="str">
        <f>hyperlink("https://www.amazon.com/At-Last-Final-Patrick-Melrose/dp/1250023904/ref=sr_1_1?s=books&amp;ie=UTF8&amp;qid=1482603503&amp;sr=1-1&amp;keywords=edward+st+aubyn+at+last","At Last")</f>
        <v>At Last</v>
      </c>
      <c r="F319" s="185" t="s">
        <v>2277</v>
      </c>
      <c r="G319" s="185" t="s">
        <v>2279</v>
      </c>
      <c r="H319" s="185" t="s">
        <v>201</v>
      </c>
      <c r="I319" s="210">
        <v>14.0</v>
      </c>
      <c r="J319" s="185" t="s">
        <v>1509</v>
      </c>
      <c r="K319" s="185">
        <v>272.0</v>
      </c>
      <c r="L319" s="185" t="s">
        <v>1574</v>
      </c>
      <c r="M319" s="211" t="s">
        <v>804</v>
      </c>
      <c r="N319" s="1"/>
    </row>
    <row r="320" ht="30.0" hidden="1" customHeight="1">
      <c r="A320" s="1"/>
      <c r="B320" s="232">
        <f t="shared" si="2"/>
        <v>318</v>
      </c>
      <c r="C320" s="181">
        <v>42730.0</v>
      </c>
      <c r="D320" s="182">
        <f t="shared" si="1"/>
        <v>2016</v>
      </c>
      <c r="E320" s="212" t="str">
        <f>hyperlink("https://www.amazon.com/Into-Magic-Shop-Neurosurgeons-Mysteries-ebook/dp/B00YBBKMHA/ref=sr_1_1_twi_kin_2?s=books&amp;ie=UTF8&amp;qid=1482774968&amp;sr=1-1&amp;keywords=into+the+magic+shop","Into the Magic Shop: A Neurosurgeon's Quest to Discover the Mysteries of the Brain and the Secrets of the Heart")</f>
        <v>Into the Magic Shop: A Neurosurgeon's Quest to Discover the Mysteries of the Brain and the Secrets of the Heart</v>
      </c>
      <c r="F320" s="185" t="s">
        <v>2280</v>
      </c>
      <c r="G320" s="185" t="s">
        <v>2281</v>
      </c>
      <c r="H320" s="185" t="s">
        <v>201</v>
      </c>
      <c r="I320" s="210">
        <v>14.0</v>
      </c>
      <c r="J320" s="185" t="s">
        <v>1496</v>
      </c>
      <c r="K320" s="185">
        <v>286.0</v>
      </c>
      <c r="L320" s="185" t="s">
        <v>1574</v>
      </c>
      <c r="M320" s="211" t="s">
        <v>804</v>
      </c>
      <c r="N320" s="1"/>
    </row>
    <row r="321" ht="30.0" hidden="1" customHeight="1">
      <c r="A321" s="1"/>
      <c r="B321" s="232">
        <f t="shared" si="2"/>
        <v>319</v>
      </c>
      <c r="C321" s="181">
        <v>42755.0</v>
      </c>
      <c r="D321" s="182">
        <f t="shared" si="1"/>
        <v>2017</v>
      </c>
      <c r="E321" s="212" t="str">
        <f>hyperlink("https://www.amazon.com/Born-Crime-Stories-African-Childhood-ebook/dp/B01DHWACVY/ref=sr_1_1?s=digital-text&amp;ie=UTF8&amp;qid=1485659678&amp;sr=1-1&amp;keywords=trevor+noah+born+a+crime","Born a Crime: Stories of an African Childhood")</f>
        <v>Born a Crime: Stories of an African Childhood</v>
      </c>
      <c r="F321" s="185" t="s">
        <v>2282</v>
      </c>
      <c r="G321" s="185" t="s">
        <v>2283</v>
      </c>
      <c r="H321" s="185" t="s">
        <v>201</v>
      </c>
      <c r="I321" s="210">
        <v>14.0</v>
      </c>
      <c r="J321" s="185" t="s">
        <v>1496</v>
      </c>
      <c r="K321" s="185">
        <v>304.0</v>
      </c>
      <c r="L321" s="185" t="s">
        <v>1574</v>
      </c>
      <c r="M321" s="211" t="s">
        <v>804</v>
      </c>
      <c r="N321" s="1"/>
    </row>
    <row r="322" ht="30.0" hidden="1" customHeight="1">
      <c r="A322" s="1"/>
      <c r="B322" s="232">
        <f t="shared" si="2"/>
        <v>320</v>
      </c>
      <c r="C322" s="181">
        <v>42795.0</v>
      </c>
      <c r="D322" s="182">
        <f t="shared" si="1"/>
        <v>2017</v>
      </c>
      <c r="E322" s="212" t="str">
        <f>hyperlink("https://www.amazon.com/Gifts-Imperfection-Think-Supposed-Embrace-ebook/dp/B00BS03LL6/ref=sr_1_1?s=digital-text&amp;ie=UTF8&amp;qid=1499400411&amp;sr=1-1&amp;keywords=gifts+of+imperfection","
The Gifts of Imperfection: Let Go of Who You Think You're Supposed to Be and Embrace Who You Are")</f>
        <v>
The Gifts of Imperfection: Let Go of Who You Think You're Supposed to Be and Embrace Who You Are</v>
      </c>
      <c r="F322" s="185" t="s">
        <v>2284</v>
      </c>
      <c r="G322" s="185" t="s">
        <v>2285</v>
      </c>
      <c r="H322" s="185" t="s">
        <v>201</v>
      </c>
      <c r="I322" s="210">
        <v>14.0</v>
      </c>
      <c r="J322" s="185" t="s">
        <v>1496</v>
      </c>
      <c r="K322" s="185">
        <v>158.0</v>
      </c>
      <c r="L322" s="185" t="s">
        <v>1574</v>
      </c>
      <c r="M322" s="211" t="s">
        <v>804</v>
      </c>
      <c r="N322" s="1"/>
    </row>
    <row r="323" ht="30.0" hidden="1" customHeight="1">
      <c r="A323" s="1"/>
      <c r="B323" s="232">
        <f t="shared" si="2"/>
        <v>321</v>
      </c>
      <c r="C323" s="181">
        <v>42840.0</v>
      </c>
      <c r="D323" s="182">
        <f t="shared" si="1"/>
        <v>2017</v>
      </c>
      <c r="E323" s="212" t="str">
        <f>hyperlink("https://www.amazon.com/Subtle-Art-Not-Giving-Counterintuitive-ebook/dp/B019MMUA8S/ref=sr_1_1?s=digital-text&amp;ie=UTF8&amp;qid=1496276672&amp;sr=1-1&amp;keywords=the+subtle+art+of+not+giving+a+f---+mark+manson","Subtle Art of Not Giving a F###, The")</f>
        <v>Subtle Art of Not Giving a F###, The</v>
      </c>
      <c r="F323" s="185" t="s">
        <v>2286</v>
      </c>
      <c r="G323" s="185" t="s">
        <v>2287</v>
      </c>
      <c r="H323" s="185" t="s">
        <v>201</v>
      </c>
      <c r="I323" s="210">
        <v>14.0</v>
      </c>
      <c r="J323" s="185" t="s">
        <v>1496</v>
      </c>
      <c r="K323" s="185">
        <v>229.0</v>
      </c>
      <c r="L323" s="185" t="s">
        <v>1574</v>
      </c>
      <c r="M323" s="211" t="s">
        <v>804</v>
      </c>
      <c r="N323" s="1"/>
    </row>
    <row r="324" ht="30.0" hidden="1" customHeight="1">
      <c r="A324" s="1"/>
      <c r="B324" s="232">
        <f t="shared" si="2"/>
        <v>322</v>
      </c>
      <c r="C324" s="181">
        <v>42976.0</v>
      </c>
      <c r="D324" s="182">
        <f t="shared" si="1"/>
        <v>2017</v>
      </c>
      <c r="E324" s="212" t="str">
        <f>hyperlink("https://www.amazon.com/ONE-Thing-Surprisingly-Extraordinary-Results-ebook/dp/B00C1BHQXK/ref=sr_1_1?s=digital-text&amp;ie=UTF8&amp;qid=1504113130&amp;sr=1-1&amp;keywords=the+one+thing+gary+keller","The ONE Thing: The Surprisingly Simple Truth Behind Extraordinary Results")</f>
        <v>The ONE Thing: The Surprisingly Simple Truth Behind Extraordinary Results</v>
      </c>
      <c r="F324" s="185" t="s">
        <v>2288</v>
      </c>
      <c r="G324" s="185" t="s">
        <v>2289</v>
      </c>
      <c r="H324" s="185" t="s">
        <v>201</v>
      </c>
      <c r="I324" s="210">
        <v>14.0</v>
      </c>
      <c r="J324" s="185" t="s">
        <v>1522</v>
      </c>
      <c r="K324" s="185">
        <v>240.0</v>
      </c>
      <c r="L324" s="185" t="s">
        <v>1526</v>
      </c>
      <c r="M324" s="211" t="s">
        <v>1527</v>
      </c>
      <c r="N324" s="1"/>
    </row>
    <row r="325" ht="30.0" hidden="1" customHeight="1">
      <c r="A325" s="1"/>
      <c r="B325" s="232">
        <f t="shared" si="2"/>
        <v>323</v>
      </c>
      <c r="C325" s="181">
        <v>42931.0</v>
      </c>
      <c r="D325" s="182">
        <f t="shared" si="1"/>
        <v>2017</v>
      </c>
      <c r="E325" s="212" t="str">
        <f>hyperlink("https://www.amazon.com/Art-Learning-Journey-Optimal-Performance/dp/B00JE2WEEK/ref=tmm_aud_swatch_0?_encoding=UTF8&amp;qid=1504125802&amp;sr=8-1","The Art of Learning: An Inner Journey to Optimal Performance")</f>
        <v>The Art of Learning: An Inner Journey to Optimal Performance</v>
      </c>
      <c r="F325" s="185" t="s">
        <v>2290</v>
      </c>
      <c r="G325" s="185" t="s">
        <v>2291</v>
      </c>
      <c r="H325" s="185" t="s">
        <v>201</v>
      </c>
      <c r="I325" s="210">
        <v>14.0</v>
      </c>
      <c r="J325" s="185" t="s">
        <v>1496</v>
      </c>
      <c r="K325" s="185">
        <v>288.0</v>
      </c>
      <c r="L325" s="185" t="s">
        <v>1574</v>
      </c>
      <c r="M325" s="211" t="s">
        <v>804</v>
      </c>
      <c r="N325" s="1"/>
    </row>
    <row r="326" ht="30.0" hidden="1" customHeight="1">
      <c r="A326" s="1"/>
      <c r="B326" s="232">
        <f t="shared" si="2"/>
        <v>324</v>
      </c>
      <c r="C326" s="181">
        <v>42936.0</v>
      </c>
      <c r="D326" s="182">
        <f t="shared" si="1"/>
        <v>2017</v>
      </c>
      <c r="E326" s="212" t="str">
        <f>hyperlink("https://www.amazon.com/Overcoming-Five-Dysfunctions-Team-Facilitators-ebook/dp/B008L03WNI/ref=tmm_kin_swatch_0?_encoding=UTF8&amp;qid=1504234996&amp;sr=8-2","Overcoming the Five Dysfunctions of a Team: A Field Guide for Leaders, Managers, and Facilitators")</f>
        <v>Overcoming the Five Dysfunctions of a Team: A Field Guide for Leaders, Managers, and Facilitators</v>
      </c>
      <c r="F326" s="185" t="s">
        <v>2292</v>
      </c>
      <c r="G326" s="185" t="s">
        <v>2293</v>
      </c>
      <c r="H326" s="185" t="s">
        <v>201</v>
      </c>
      <c r="I326" s="210">
        <v>14.0</v>
      </c>
      <c r="J326" s="185" t="s">
        <v>1522</v>
      </c>
      <c r="K326" s="185">
        <v>181.0</v>
      </c>
      <c r="L326" s="185" t="s">
        <v>1574</v>
      </c>
      <c r="M326" s="211" t="s">
        <v>804</v>
      </c>
      <c r="N326" s="1"/>
    </row>
    <row r="327" ht="30.0" hidden="1" customHeight="1">
      <c r="A327" s="1"/>
      <c r="B327" s="232">
        <f t="shared" si="2"/>
        <v>325</v>
      </c>
      <c r="C327" s="181">
        <v>43055.0</v>
      </c>
      <c r="D327" s="182">
        <f t="shared" si="1"/>
        <v>2017</v>
      </c>
      <c r="E327" s="212" t="str">
        <f>hyperlink("https://www.amazon.com/Life-Parts-Bryan-Cranston-ebook/dp/B01E4BC1SE/ref=sr_1_1?s=digital-text&amp;ie=UTF8&amp;qid=1514758821&amp;sr=1-1&amp;keywords=a+life+in+part","A Life in Parts")</f>
        <v>A Life in Parts</v>
      </c>
      <c r="F327" s="185" t="s">
        <v>2294</v>
      </c>
      <c r="G327" s="185" t="s">
        <v>2295</v>
      </c>
      <c r="H327" s="185" t="s">
        <v>201</v>
      </c>
      <c r="I327" s="210">
        <v>14.0</v>
      </c>
      <c r="J327" s="185" t="s">
        <v>1496</v>
      </c>
      <c r="K327" s="185">
        <v>289.0</v>
      </c>
      <c r="L327" s="185" t="s">
        <v>1574</v>
      </c>
      <c r="M327" s="211" t="s">
        <v>804</v>
      </c>
      <c r="N327" s="1"/>
    </row>
    <row r="328" ht="30.0" hidden="1" customHeight="1">
      <c r="A328" s="1"/>
      <c r="B328" s="232">
        <f t="shared" si="2"/>
        <v>326</v>
      </c>
      <c r="C328" s="181">
        <v>43110.0</v>
      </c>
      <c r="D328" s="182">
        <f t="shared" si="1"/>
        <v>2018</v>
      </c>
      <c r="E328" s="212" t="str">
        <f>hyperlink("https://www.amazon.com/Finding-Ultra-Revised-Updated/dp/B07BC2WKKR/ref=sr_1_2?s=books&amp;ie=UTF8&amp;qid=1524513515&amp;sr=1-2&amp;keywords=finding+ultra","Finding Ultra: Rejecting Middle Age, Becoming one of the world's fittest men, and discovering myself")</f>
        <v>Finding Ultra: Rejecting Middle Age, Becoming one of the world's fittest men, and discovering myself</v>
      </c>
      <c r="F328" s="185" t="s">
        <v>2296</v>
      </c>
      <c r="G328" s="185" t="s">
        <v>2297</v>
      </c>
      <c r="H328" s="185" t="s">
        <v>201</v>
      </c>
      <c r="I328" s="210">
        <v>14.0</v>
      </c>
      <c r="J328" s="185" t="s">
        <v>1496</v>
      </c>
      <c r="K328" s="185">
        <v>390.0</v>
      </c>
      <c r="L328" s="185" t="s">
        <v>1574</v>
      </c>
      <c r="M328" s="211" t="s">
        <v>804</v>
      </c>
      <c r="N328" s="1"/>
    </row>
    <row r="329" ht="30.0" hidden="1" customHeight="1">
      <c r="A329" s="1"/>
      <c r="B329" s="232">
        <f t="shared" si="2"/>
        <v>327</v>
      </c>
      <c r="C329" s="181">
        <v>43144.0</v>
      </c>
      <c r="D329" s="182">
        <f t="shared" si="1"/>
        <v>2018</v>
      </c>
      <c r="E329" s="212" t="str">
        <f>hyperlink("https://www.amazon.com/Brotopia-Breaking-Boys-Silicon-Valley/dp/B078SG9X3Q/ref=tmm_aud_swatch_0?_encoding=UTF8&amp;qid=1524012850&amp;sr=1-1","Brotopia: Breaking Up the Boys' Club of Silicon Valley")</f>
        <v>Brotopia: Breaking Up the Boys' Club of Silicon Valley</v>
      </c>
      <c r="F329" s="185" t="s">
        <v>2298</v>
      </c>
      <c r="G329" s="185" t="s">
        <v>2299</v>
      </c>
      <c r="H329" s="185" t="s">
        <v>201</v>
      </c>
      <c r="I329" s="210">
        <v>14.0</v>
      </c>
      <c r="J329" s="185" t="s">
        <v>1496</v>
      </c>
      <c r="K329" s="185">
        <v>317.0</v>
      </c>
      <c r="L329" s="185" t="s">
        <v>1574</v>
      </c>
      <c r="M329" s="211" t="s">
        <v>804</v>
      </c>
      <c r="N329" s="1"/>
    </row>
    <row r="330" ht="30.0" hidden="1" customHeight="1">
      <c r="A330" s="1"/>
      <c r="B330" s="232">
        <f t="shared" si="2"/>
        <v>328</v>
      </c>
      <c r="C330" s="181">
        <v>43202.0</v>
      </c>
      <c r="D330" s="182">
        <f t="shared" si="1"/>
        <v>2018</v>
      </c>
      <c r="E330" s="212" t="str">
        <f>HYPERLINK("https://www.amazon.com/Tiger-Woods-Jeff-Benedict-ebook/dp/B078M5J66Z/ref=sr_1_1?s=digital-text&amp;ie=UTF8&amp;qid=1524012262&amp;sr=1-1&amp;keywords=tiger+woods+kindle&amp;dpID=51wVORga7CL&amp;preST=_SY445_QL70_&amp;dpSrc=srch","Tiger Woods")</f>
        <v>Tiger Woods</v>
      </c>
      <c r="F330" s="185" t="s">
        <v>2300</v>
      </c>
      <c r="G330" s="185" t="s">
        <v>2301</v>
      </c>
      <c r="H330" s="185" t="s">
        <v>201</v>
      </c>
      <c r="I330" s="210">
        <v>14.0</v>
      </c>
      <c r="J330" s="185" t="s">
        <v>1502</v>
      </c>
      <c r="K330" s="185">
        <v>512.0</v>
      </c>
      <c r="L330" s="185" t="s">
        <v>1526</v>
      </c>
      <c r="M330" s="211" t="s">
        <v>1527</v>
      </c>
      <c r="N330" s="1"/>
    </row>
    <row r="331" ht="30.0" hidden="1" customHeight="1">
      <c r="A331" s="1"/>
      <c r="B331" s="232">
        <f t="shared" si="2"/>
        <v>329</v>
      </c>
      <c r="C331" s="181">
        <v>43210.0</v>
      </c>
      <c r="D331" s="182">
        <f t="shared" si="1"/>
        <v>2018</v>
      </c>
      <c r="E331" s="212" t="str">
        <f>hyperlink("https://www.amazon.com/Endure-Curiously-Elastic-Limits-Performance-ebook/dp/B0716GZX33/ref=sr_1_1?s=digital-text&amp;ie=UTF8&amp;qid=1546910656&amp;sr=1-1&amp;keywords=endure","Endure: Mind, Body, and the Curiously Elastic Limits of Human Performance")</f>
        <v>Endure: Mind, Body, and the Curiously Elastic Limits of Human Performance</v>
      </c>
      <c r="F331" s="185" t="s">
        <v>2302</v>
      </c>
      <c r="G331" s="185" t="s">
        <v>2303</v>
      </c>
      <c r="H331" s="185" t="s">
        <v>201</v>
      </c>
      <c r="I331" s="210">
        <v>14.0</v>
      </c>
      <c r="J331" s="185" t="s">
        <v>1502</v>
      </c>
      <c r="K331" s="185">
        <v>321.0</v>
      </c>
      <c r="L331" s="185" t="s">
        <v>1574</v>
      </c>
      <c r="M331" s="211" t="s">
        <v>804</v>
      </c>
      <c r="N331" s="1"/>
    </row>
    <row r="332" ht="30.0" hidden="1" customHeight="1">
      <c r="A332" s="1"/>
      <c r="B332" s="232">
        <f t="shared" si="2"/>
        <v>330</v>
      </c>
      <c r="C332" s="181">
        <v>43266.0</v>
      </c>
      <c r="D332" s="182">
        <f t="shared" si="1"/>
        <v>2018</v>
      </c>
      <c r="E332" s="212" t="str">
        <f>hyperlink("https://www.amazon.com/Inevitable-Understanding-Technological-Forces-Future-ebook/dp/B016JPTOUG/ref=sr_1_1?s=digital-text&amp;ie=UTF8&amp;qid=1530892261&amp;sr=1-1&amp;keywords=the+inevitable","Inevitable, The: Understanding the 12 Technological Forces That Will Shape Our Future")</f>
        <v>Inevitable, The: Understanding the 12 Technological Forces That Will Shape Our Future</v>
      </c>
      <c r="F332" s="185" t="s">
        <v>2304</v>
      </c>
      <c r="G332" s="185" t="s">
        <v>2305</v>
      </c>
      <c r="H332" s="185" t="s">
        <v>201</v>
      </c>
      <c r="I332" s="210">
        <v>14.0</v>
      </c>
      <c r="J332" s="185" t="s">
        <v>1522</v>
      </c>
      <c r="K332" s="185">
        <v>334.0</v>
      </c>
      <c r="L332" s="185" t="s">
        <v>1526</v>
      </c>
      <c r="M332" s="211" t="s">
        <v>1527</v>
      </c>
      <c r="N332" s="1"/>
    </row>
    <row r="333" ht="30.0" hidden="1" customHeight="1">
      <c r="A333" s="1"/>
      <c r="B333" s="232">
        <f t="shared" si="2"/>
        <v>331</v>
      </c>
      <c r="C333" s="181">
        <v>43281.0</v>
      </c>
      <c r="D333" s="182">
        <f t="shared" si="1"/>
        <v>2018</v>
      </c>
      <c r="E333" s="212" t="str">
        <f>hyperlink("https://www.amazon.com/North-Finding-While-Running-Appalachian-ebook/dp/B01N6Z44OZ/ref=sr_1_1?s=digital-text&amp;ie=UTF8&amp;qid=1530894655&amp;sr=1-1&amp;keywords=scott+jurek+north","North: Finding My Way While Running the Appalachian Trail")</f>
        <v>North: Finding My Way While Running the Appalachian Trail</v>
      </c>
      <c r="F333" s="185" t="s">
        <v>2306</v>
      </c>
      <c r="G333" s="185" t="s">
        <v>2307</v>
      </c>
      <c r="H333" s="185" t="s">
        <v>201</v>
      </c>
      <c r="I333" s="210">
        <v>14.0</v>
      </c>
      <c r="J333" s="185" t="s">
        <v>1502</v>
      </c>
      <c r="K333" s="185">
        <v>305.0</v>
      </c>
      <c r="L333" s="185" t="s">
        <v>1574</v>
      </c>
      <c r="M333" s="211" t="s">
        <v>804</v>
      </c>
      <c r="N333" s="1"/>
    </row>
    <row r="334" ht="30.0" hidden="1" customHeight="1">
      <c r="A334" s="1"/>
      <c r="B334" s="232">
        <f t="shared" si="2"/>
        <v>332</v>
      </c>
      <c r="C334" s="181">
        <v>43283.0</v>
      </c>
      <c r="D334" s="182">
        <f t="shared" si="1"/>
        <v>2018</v>
      </c>
      <c r="E334" s="212" t="str">
        <f>hyperlink("https://www.amazon.com/Factfulness-Reasons-World-Things-Better-ebook/dp/B0756J1LLV/ref=sr_1_1?s=digital-text&amp;ie=UTF8&amp;qid=1530894368&amp;sr=1-1&amp;keywords=factfulness","Factfulness: Ten Reasons We're Wrong About the World--and Why Things Are Better Than You Think")</f>
        <v>Factfulness: Ten Reasons We're Wrong About the World--and Why Things Are Better Than You Think</v>
      </c>
      <c r="F334" s="185" t="s">
        <v>2308</v>
      </c>
      <c r="G334" s="185" t="s">
        <v>2309</v>
      </c>
      <c r="H334" s="185" t="s">
        <v>201</v>
      </c>
      <c r="I334" s="210">
        <v>14.0</v>
      </c>
      <c r="J334" s="185" t="s">
        <v>1496</v>
      </c>
      <c r="K334" s="185">
        <v>341.0</v>
      </c>
      <c r="L334" s="185" t="s">
        <v>1574</v>
      </c>
      <c r="M334" s="211" t="s">
        <v>804</v>
      </c>
      <c r="N334" s="1"/>
    </row>
    <row r="335" ht="30.0" hidden="1" customHeight="1">
      <c r="A335" s="1"/>
      <c r="B335" s="232">
        <f t="shared" si="2"/>
        <v>333</v>
      </c>
      <c r="C335" s="181">
        <v>43429.0</v>
      </c>
      <c r="D335" s="182">
        <f t="shared" si="1"/>
        <v>2018</v>
      </c>
      <c r="E335" s="212" t="str">
        <f>hyperlink("https://www.amazon.com/Small-Puddles-Triumphant-Story-Oarsman/dp/B072PZWWRT/ref=sr_1_1?ie=UTF8&amp;qid=1546908245&amp;sr=1-1&amp;keywords=small+puddles","Small Puddles: The Triumphant Story of Yale's Worst Oarsman. Ever.")</f>
        <v>Small Puddles: The Triumphant Story of Yale's Worst Oarsman. Ever.</v>
      </c>
      <c r="F335" s="185" t="s">
        <v>2310</v>
      </c>
      <c r="G335" s="185" t="s">
        <v>2311</v>
      </c>
      <c r="H335" s="185" t="s">
        <v>201</v>
      </c>
      <c r="I335" s="210">
        <v>14.0</v>
      </c>
      <c r="J335" s="185" t="s">
        <v>1496</v>
      </c>
      <c r="K335" s="185">
        <v>320.0</v>
      </c>
      <c r="L335" s="185" t="s">
        <v>1574</v>
      </c>
      <c r="M335" s="211" t="s">
        <v>804</v>
      </c>
      <c r="N335" s="1"/>
    </row>
    <row r="336" ht="30.0" hidden="1" customHeight="1">
      <c r="A336" s="1"/>
      <c r="B336" s="232">
        <f t="shared" si="2"/>
        <v>334</v>
      </c>
      <c r="C336" s="181">
        <v>43434.0</v>
      </c>
      <c r="D336" s="182">
        <f t="shared" si="1"/>
        <v>2018</v>
      </c>
      <c r="E336" s="212" t="str">
        <f>hyperlink("https://www.amazon.com/gp/product/0241354129/ref=oh_aui_detailpage_o00_s00?ie=UTF8&amp;psc=1","A Boy in the Water")</f>
        <v>A Boy in the Water</v>
      </c>
      <c r="F336" s="185" t="s">
        <v>2312</v>
      </c>
      <c r="G336" s="185" t="s">
        <v>2313</v>
      </c>
      <c r="H336" s="185" t="s">
        <v>201</v>
      </c>
      <c r="I336" s="210">
        <v>14.0</v>
      </c>
      <c r="J336" s="185" t="s">
        <v>1502</v>
      </c>
      <c r="K336" s="185">
        <v>200.0</v>
      </c>
      <c r="L336" s="185" t="s">
        <v>1497</v>
      </c>
      <c r="M336" s="211" t="s">
        <v>804</v>
      </c>
      <c r="N336" s="1"/>
    </row>
    <row r="337" ht="30.0" hidden="1" customHeight="1">
      <c r="A337" s="1"/>
      <c r="B337" s="232">
        <f t="shared" si="2"/>
        <v>335</v>
      </c>
      <c r="C337" s="181">
        <v>43462.0</v>
      </c>
      <c r="D337" s="182">
        <f t="shared" si="1"/>
        <v>2018</v>
      </c>
      <c r="E337" s="212" t="str">
        <f>hyperlink("https://www.amazon.com/Living-Monks-Turning-Happiness-Gratitude-ebook/dp/B075CS8VWZ/ref=sr_1_1?s=digital-text&amp;ie=UTF8&amp;qid=1546907024&amp;sr=1-1&amp;keywords=living+with+a+monk","Living with the Monks: What Turning Off My Phone Taught Me about Happiness, Gratitude, and Focus")</f>
        <v>Living with the Monks: What Turning Off My Phone Taught Me about Happiness, Gratitude, and Focus</v>
      </c>
      <c r="F337" s="185" t="s">
        <v>2314</v>
      </c>
      <c r="G337" s="185" t="s">
        <v>2315</v>
      </c>
      <c r="H337" s="185" t="s">
        <v>201</v>
      </c>
      <c r="I337" s="210">
        <v>14.0</v>
      </c>
      <c r="J337" s="185" t="s">
        <v>1496</v>
      </c>
      <c r="K337" s="185">
        <v>295.0</v>
      </c>
      <c r="L337" s="185" t="s">
        <v>1574</v>
      </c>
      <c r="M337" s="211" t="s">
        <v>804</v>
      </c>
      <c r="N337" s="1"/>
    </row>
    <row r="338" ht="30.0" hidden="1" customHeight="1">
      <c r="A338" s="1"/>
      <c r="B338" s="232">
        <f t="shared" si="2"/>
        <v>336</v>
      </c>
      <c r="C338" s="181">
        <v>43492.0</v>
      </c>
      <c r="D338" s="182">
        <f t="shared" si="1"/>
        <v>2019</v>
      </c>
      <c r="E338" s="212" t="str">
        <f>hyperlink("https://www.amazon.com/Queens-Gambit-Walter-Tevis-ebook/dp/B07H185G5T/ref=sr_1_1?crid=UBDJI8EDIOWO&amp;keywords=the+queen%27s+gambit&amp;qid=1550435105&amp;s=digital-text&amp;sprefix=the+queen%27s+g%2Cdigital-text%2C199&amp;sr=1-1","Queen's Gambit, The")</f>
        <v>Queen's Gambit, The</v>
      </c>
      <c r="F338" s="185" t="s">
        <v>2316</v>
      </c>
      <c r="G338" s="185" t="s">
        <v>2317</v>
      </c>
      <c r="H338" s="185" t="s">
        <v>201</v>
      </c>
      <c r="I338" s="210">
        <v>14.0</v>
      </c>
      <c r="J338" s="185" t="s">
        <v>1509</v>
      </c>
      <c r="K338" s="185">
        <v>267.0</v>
      </c>
      <c r="L338" s="185" t="s">
        <v>1526</v>
      </c>
      <c r="M338" s="211" t="s">
        <v>804</v>
      </c>
      <c r="N338" s="1"/>
    </row>
    <row r="339" ht="30.0" hidden="1" customHeight="1">
      <c r="A339" s="1"/>
      <c r="B339" s="232">
        <f t="shared" si="2"/>
        <v>337</v>
      </c>
      <c r="C339" s="181">
        <v>43415.0</v>
      </c>
      <c r="D339" s="182">
        <f t="shared" si="1"/>
        <v>2018</v>
      </c>
      <c r="E339" s="212" t="str">
        <f>hyperlink("https://www.amazon.com/Blitzscaling-Lightning-Fast-Building-Massively-Companies-ebook/dp/B0791239V7/ref=sr_1_2?crid=D7TKBWQHC5K8&amp;keywords=blitzscaling&amp;qid=1550439014&amp;s=books&amp;sprefix=blitz%2Cstripbooks%2C197&amp;sr=1-2","Blitzscaling: The Lightning-Fast Path to Building Massively Valuable Companies")</f>
        <v>Blitzscaling: The Lightning-Fast Path to Building Massively Valuable Companies</v>
      </c>
      <c r="F339" s="185" t="s">
        <v>2318</v>
      </c>
      <c r="G339" s="185" t="s">
        <v>2319</v>
      </c>
      <c r="H339" s="185" t="s">
        <v>201</v>
      </c>
      <c r="I339" s="210">
        <v>14.0</v>
      </c>
      <c r="J339" s="185" t="s">
        <v>1522</v>
      </c>
      <c r="K339" s="185">
        <v>318.0</v>
      </c>
      <c r="L339" s="185" t="s">
        <v>1526</v>
      </c>
      <c r="M339" s="211" t="s">
        <v>1527</v>
      </c>
      <c r="N339" s="1"/>
    </row>
    <row r="340" ht="30.0" hidden="1" customHeight="1">
      <c r="A340" s="1"/>
      <c r="B340" s="232">
        <f t="shared" si="2"/>
        <v>338</v>
      </c>
      <c r="C340" s="181">
        <v>43738.0</v>
      </c>
      <c r="D340" s="182">
        <f t="shared" si="1"/>
        <v>2019</v>
      </c>
      <c r="E340" s="212" t="str">
        <f>hyperlink("https://smile.amazon.com/Ride-Lifetime-Lessons-Learned-Company/dp/0399592091/ref=sr_1_2?crid=3MN4SHCIJM36Q&amp;keywords=the+ride+of+a+lifetime+by+robert+iger&amp;qid=1575239718&amp;s=books&amp;sprefix=the+ride+of+%2Cstripbooks%2C196&amp;sr=1-2","Ride of a Lifetime, The")</f>
        <v>Ride of a Lifetime, The</v>
      </c>
      <c r="F340" s="185" t="s">
        <v>2320</v>
      </c>
      <c r="G340" s="185" t="s">
        <v>2321</v>
      </c>
      <c r="H340" s="185" t="s">
        <v>201</v>
      </c>
      <c r="I340" s="210">
        <v>14.0</v>
      </c>
      <c r="J340" s="185" t="s">
        <v>1522</v>
      </c>
      <c r="K340" s="185">
        <v>272.0</v>
      </c>
      <c r="L340" s="185" t="s">
        <v>1574</v>
      </c>
      <c r="M340" s="211" t="s">
        <v>1527</v>
      </c>
      <c r="N340" s="1"/>
    </row>
    <row r="341" ht="30.0" hidden="1" customHeight="1">
      <c r="A341" s="1"/>
      <c r="B341" s="232">
        <f t="shared" si="2"/>
        <v>339</v>
      </c>
      <c r="C341" s="181">
        <v>43707.0</v>
      </c>
      <c r="D341" s="182">
        <f t="shared" si="1"/>
        <v>2019</v>
      </c>
      <c r="E341" s="212" t="str">
        <f>hyperlink("https://www.amazon.com/Talking-Strangers-Should-about-People-ebook/dp/B07NDKVWZW/ref=sr_1_1?crid=11I9QI27FF0K2&amp;keywords=talking+to+strangers+kindle&amp;qid=1575241432&amp;s=digital-text&amp;sprefix=talking+to+stra%2Cdigital-text%2C195&amp;sr=1-1","Talking to Strangers")</f>
        <v>Talking to Strangers</v>
      </c>
      <c r="F341" s="185" t="s">
        <v>1790</v>
      </c>
      <c r="G341" s="185" t="s">
        <v>2322</v>
      </c>
      <c r="H341" s="185" t="s">
        <v>201</v>
      </c>
      <c r="I341" s="210">
        <v>14.0</v>
      </c>
      <c r="J341" s="185" t="s">
        <v>1496</v>
      </c>
      <c r="K341" s="185">
        <v>401.0</v>
      </c>
      <c r="L341" s="185" t="s">
        <v>1574</v>
      </c>
      <c r="M341" s="211" t="s">
        <v>1527</v>
      </c>
      <c r="N341" s="1"/>
    </row>
    <row r="342" ht="30.0" hidden="1" customHeight="1">
      <c r="A342" s="1"/>
      <c r="B342" s="232">
        <f t="shared" si="2"/>
        <v>340</v>
      </c>
      <c r="C342" s="181">
        <v>43710.0</v>
      </c>
      <c r="D342" s="182">
        <f t="shared" si="1"/>
        <v>2019</v>
      </c>
      <c r="E342" s="212" t="str">
        <f>hyperlink("https://www.amazon.com/David-Goliath-Underdogs-Misfits-Battling-ebook/dp/B00BAXFAOW/ref=sr_1_2?crid=11I9QI27FF0K2&amp;keywords=talking+to+strangers+kindle&amp;qid=1575241432&amp;s=digital-text&amp;sprefix=talking+to+stra%2Cdigital-text%2C195&amp;sr=1-2","David and Goliath: Underdogs, Misfits, and the Art of Battling Giants")</f>
        <v>David and Goliath: Underdogs, Misfits, and the Art of Battling Giants</v>
      </c>
      <c r="F342" s="185" t="s">
        <v>1790</v>
      </c>
      <c r="G342" s="185" t="s">
        <v>2323</v>
      </c>
      <c r="H342" s="185" t="s">
        <v>201</v>
      </c>
      <c r="I342" s="210">
        <v>14.0</v>
      </c>
      <c r="J342" s="185" t="s">
        <v>1496</v>
      </c>
      <c r="K342" s="185">
        <v>332.0</v>
      </c>
      <c r="L342" s="185" t="s">
        <v>1574</v>
      </c>
      <c r="M342" s="211" t="s">
        <v>1527</v>
      </c>
      <c r="N342" s="1"/>
    </row>
    <row r="343" ht="30.0" hidden="1" customHeight="1">
      <c r="A343" s="1"/>
      <c r="B343" s="232">
        <f t="shared" si="2"/>
        <v>341</v>
      </c>
      <c r="C343" s="181">
        <v>43643.0</v>
      </c>
      <c r="D343" s="182">
        <f t="shared" si="1"/>
        <v>2019</v>
      </c>
      <c r="E343" s="212" t="str">
        <f>hyperlink("https://www.amazon.com/Making-Manager-What-Everyone-Looks/dp/0735219567/ref=sr_1_3?crid=QERI7VQXVEDR&amp;keywords=making+of+a+manager&amp;qid=1575245086&amp;s=books&amp;sprefix=making+of+a+%2Cstripbooks%2C196&amp;sr=1-3","The Making of a Manager: What to Do When Everyone Looks to You")</f>
        <v>The Making of a Manager: What to Do When Everyone Looks to You</v>
      </c>
      <c r="F343" s="185" t="s">
        <v>2324</v>
      </c>
      <c r="G343" s="185" t="s">
        <v>2325</v>
      </c>
      <c r="H343" s="185" t="s">
        <v>201</v>
      </c>
      <c r="I343" s="210">
        <v>14.0</v>
      </c>
      <c r="J343" s="185" t="s">
        <v>1522</v>
      </c>
      <c r="K343" s="185">
        <v>288.0</v>
      </c>
      <c r="L343" s="185" t="s">
        <v>1526</v>
      </c>
      <c r="M343" s="211" t="s">
        <v>1527</v>
      </c>
      <c r="N343" s="1"/>
    </row>
    <row r="344" ht="30.0" hidden="1" customHeight="1">
      <c r="A344" s="1"/>
      <c r="B344" s="232">
        <f t="shared" si="2"/>
        <v>342</v>
      </c>
      <c r="C344" s="181">
        <v>43808.0</v>
      </c>
      <c r="D344" s="182">
        <f t="shared" si="1"/>
        <v>2019</v>
      </c>
      <c r="E344" s="212" t="str">
        <f>hyperlink("https://smile.amazon.com/Range-Generalists-Triumph-Specialized-World/dp/0735214484","Range")</f>
        <v>Range</v>
      </c>
      <c r="F344" s="185" t="s">
        <v>2326</v>
      </c>
      <c r="G344" s="185" t="s">
        <v>2327</v>
      </c>
      <c r="H344" s="185" t="s">
        <v>201</v>
      </c>
      <c r="I344" s="210">
        <v>14.0</v>
      </c>
      <c r="J344" s="185" t="s">
        <v>1496</v>
      </c>
      <c r="K344" s="185">
        <v>352.0</v>
      </c>
      <c r="L344" s="185" t="s">
        <v>1526</v>
      </c>
      <c r="M344" s="211" t="s">
        <v>1527</v>
      </c>
      <c r="N344" s="1"/>
    </row>
    <row r="345" ht="30.0" hidden="1" customHeight="1">
      <c r="A345" s="1"/>
      <c r="B345" s="232">
        <f t="shared" si="2"/>
        <v>343</v>
      </c>
      <c r="C345" s="181">
        <v>43814.0</v>
      </c>
      <c r="D345" s="182">
        <f t="shared" si="1"/>
        <v>2019</v>
      </c>
      <c r="E345" s="212" t="str">
        <f>hyperlink("https://www.amazon.com/Cant-Hurt-Me-Master-Your-ebook/dp/B07H453KGH/ref=tmm_kin_swatch_0?_encoding=UTF8&amp;qid=1576713712&amp;sr=8-1","Can't Hurt Me: Master Your Mind and Defy The Odds")</f>
        <v>Can't Hurt Me: Master Your Mind and Defy The Odds</v>
      </c>
      <c r="F345" s="185" t="s">
        <v>2328</v>
      </c>
      <c r="G345" s="185" t="s">
        <v>2329</v>
      </c>
      <c r="H345" s="185" t="s">
        <v>201</v>
      </c>
      <c r="I345" s="210">
        <v>14.0</v>
      </c>
      <c r="J345" s="185" t="s">
        <v>1496</v>
      </c>
      <c r="K345" s="185">
        <v>344.0</v>
      </c>
      <c r="L345" s="185" t="s">
        <v>1574</v>
      </c>
      <c r="M345" s="228" t="s">
        <v>1527</v>
      </c>
      <c r="N345" s="1"/>
    </row>
    <row r="346" ht="30.0" hidden="1" customHeight="1">
      <c r="A346" s="1"/>
      <c r="B346" s="232">
        <f t="shared" si="2"/>
        <v>344</v>
      </c>
      <c r="C346" s="181">
        <v>43827.0</v>
      </c>
      <c r="D346" s="182">
        <f t="shared" si="1"/>
        <v>2019</v>
      </c>
      <c r="E346" s="212" t="str">
        <f>hyperlink("https://www.amazon.com/Chasing-Daylight-Forthcoming-Death-Transformed-ebook/dp/B000RHIU8A/ref=sr_1_1?crid=15Q1X2KJN7CAE&amp;keywords=chasing+daylight&amp;qid=1577747837&amp;s=digital-text&amp;sprefix=chasing+day%2Caps%2C197&amp;sr=1-1","Chasing Daylight: How My Forthcoming Death Transformed My Life")
</f>
        <v>Chasing Daylight: How My Forthcoming Death Transformed My Life</v>
      </c>
      <c r="F346" s="185" t="s">
        <v>2330</v>
      </c>
      <c r="G346" s="185" t="s">
        <v>2331</v>
      </c>
      <c r="H346" s="185" t="s">
        <v>201</v>
      </c>
      <c r="I346" s="210">
        <v>14.0</v>
      </c>
      <c r="J346" s="185" t="s">
        <v>1496</v>
      </c>
      <c r="K346" s="185">
        <v>226.0</v>
      </c>
      <c r="L346" s="185" t="s">
        <v>1526</v>
      </c>
      <c r="M346" s="228" t="s">
        <v>1527</v>
      </c>
      <c r="N346" s="1"/>
    </row>
    <row r="347" ht="30.0" hidden="1" customHeight="1">
      <c r="A347" s="1"/>
      <c r="B347" s="232">
        <f t="shared" si="2"/>
        <v>345</v>
      </c>
      <c r="C347" s="181">
        <v>43830.0</v>
      </c>
      <c r="D347" s="182">
        <f t="shared" si="1"/>
        <v>2019</v>
      </c>
      <c r="E347" s="212" t="str">
        <f>hyperlink("https://www.amazon.com/Anger-Seneca-Younger-ebook/dp/B00JQM5UIU/ref=sr_1_1?crid=1E9INIS4RDPB4&amp;keywords=of+anger+seneca&amp;qid=1577998952&amp;s=digital-text&amp;sprefix=of+ange%2Caps%2C204&amp;sr=1-1","Of Anger")</f>
        <v>Of Anger</v>
      </c>
      <c r="F347" s="185" t="s">
        <v>2332</v>
      </c>
      <c r="G347" s="185" t="s">
        <v>2333</v>
      </c>
      <c r="H347" s="185" t="s">
        <v>201</v>
      </c>
      <c r="I347" s="210">
        <v>14.0</v>
      </c>
      <c r="J347" s="185" t="s">
        <v>1496</v>
      </c>
      <c r="K347" s="185">
        <v>92.0</v>
      </c>
      <c r="L347" s="185" t="s">
        <v>1526</v>
      </c>
      <c r="M347" s="228" t="s">
        <v>1527</v>
      </c>
      <c r="N347" s="1"/>
    </row>
    <row r="348" ht="30.0" hidden="1" customHeight="1">
      <c r="A348" s="1"/>
      <c r="B348" s="232">
        <f t="shared" si="2"/>
        <v>346</v>
      </c>
      <c r="C348" s="181">
        <v>43835.0</v>
      </c>
      <c r="D348" s="182">
        <f t="shared" si="1"/>
        <v>2020</v>
      </c>
      <c r="E348" s="212" t="str">
        <f>hyperlink("https://smile.amazon.com/What-Makes-Love-Last-Betrayal/dp/1451608489/ref=sr_1_1?crid=2N6GORF6MP9QT&amp;keywords=what+makes+love+last+john+gottman&amp;qid=1578342228&amp;sprefix=what+makes+love+last%2Caps%2C194&amp;sr=8-1","What Makes Love Last: How to build trust and avoid betrayal")</f>
        <v>What Makes Love Last: How to build trust and avoid betrayal</v>
      </c>
      <c r="F348" s="185" t="s">
        <v>2334</v>
      </c>
      <c r="G348" s="185" t="s">
        <v>2335</v>
      </c>
      <c r="H348" s="185" t="s">
        <v>201</v>
      </c>
      <c r="I348" s="210">
        <v>14.0</v>
      </c>
      <c r="J348" s="185" t="s">
        <v>1496</v>
      </c>
      <c r="K348" s="185">
        <v>304.0</v>
      </c>
      <c r="L348" s="185" t="s">
        <v>1526</v>
      </c>
      <c r="M348" s="211" t="s">
        <v>1527</v>
      </c>
      <c r="N348" s="1"/>
    </row>
    <row r="349" ht="30.0" hidden="1" customHeight="1">
      <c r="A349" s="1"/>
      <c r="B349" s="232">
        <f t="shared" si="2"/>
        <v>347</v>
      </c>
      <c r="C349" s="181">
        <v>43839.0</v>
      </c>
      <c r="D349" s="182">
        <f t="shared" si="1"/>
        <v>2020</v>
      </c>
      <c r="E349" s="212" t="str">
        <f>hyperlink("https://www.amazon.com/gp/product/1558534903/ref=ppx_yo_dt_b_search_asin_title?ie=UTF8&amp;psc=1","The Complete Life's Little Instruction Book")</f>
        <v>The Complete Life's Little Instruction Book</v>
      </c>
      <c r="F349" s="185" t="s">
        <v>2336</v>
      </c>
      <c r="G349" s="185" t="s">
        <v>2337</v>
      </c>
      <c r="H349" s="185" t="s">
        <v>201</v>
      </c>
      <c r="I349" s="210">
        <v>14.0</v>
      </c>
      <c r="J349" s="185" t="s">
        <v>1496</v>
      </c>
      <c r="K349" s="185">
        <v>320.0</v>
      </c>
      <c r="L349" s="185" t="s">
        <v>1497</v>
      </c>
      <c r="M349" s="228" t="s">
        <v>1527</v>
      </c>
      <c r="N349" s="1"/>
    </row>
    <row r="350" ht="30.0" hidden="1" customHeight="1">
      <c r="A350" s="1"/>
      <c r="B350" s="232">
        <f t="shared" si="2"/>
        <v>348</v>
      </c>
      <c r="C350" s="181">
        <v>43856.0</v>
      </c>
      <c r="D350" s="182">
        <f t="shared" si="1"/>
        <v>2020</v>
      </c>
      <c r="E350" s="212" t="str">
        <f>hyperlink("https://www.amazon.com/Unfu-Yourself-Your-Head-into-ebook/dp/B071F7C5NQ/ref=sr_1_2?crid=2KA3IKDUWP10&amp;keywords=unfuk+yourself&amp;qid=1580143805&amp;sprefix=unfuck+your%2Caps%2C255&amp;sr=8-2","Unfu*k yourself: get out of your head and into your life")</f>
        <v>Unfu*k yourself: get out of your head and into your life</v>
      </c>
      <c r="F350" s="185" t="s">
        <v>2338</v>
      </c>
      <c r="G350" s="185" t="s">
        <v>2339</v>
      </c>
      <c r="H350" s="185" t="s">
        <v>201</v>
      </c>
      <c r="I350" s="210">
        <v>14.0</v>
      </c>
      <c r="J350" s="185" t="s">
        <v>1496</v>
      </c>
      <c r="K350" s="185">
        <v>218.0</v>
      </c>
      <c r="L350" s="185" t="s">
        <v>1526</v>
      </c>
      <c r="M350" s="228" t="str">
        <f>HYPERLINK("https://www.notion.so/raybould/Unfu-k-Yourself-Get-Out-of-Your-Head-and-into-Your-Life-by-Gary-John-Bishop-B-Jan-27-2020-a8d465d7bf2b423597da54f6d19f94db","YES")</f>
        <v>YES</v>
      </c>
      <c r="N350" s="1"/>
    </row>
    <row r="351" ht="30.0" hidden="1" customHeight="1">
      <c r="A351" s="1"/>
      <c r="B351" s="232">
        <f t="shared" si="2"/>
        <v>349</v>
      </c>
      <c r="C351" s="181">
        <v>44075.0</v>
      </c>
      <c r="D351" s="182">
        <f t="shared" si="1"/>
        <v>2020</v>
      </c>
      <c r="E351" s="212" t="str">
        <f>hyperlink("https://www.amazon.com/Diamond-Cutter-Buddha-Managing-Business-ebook/dp/B002MHOCZ8/ref=tmm_kin_swatch_0?_encoding=UTF8&amp;qid=1600488013&amp;sr=1-1-791c2399-d602-4248-afbb-8a79de2d236f","Diamond Cutter, The: The Buddha on Managing Your Business and Your Life")</f>
        <v>Diamond Cutter, The: The Buddha on Managing Your Business and Your Life</v>
      </c>
      <c r="F351" s="185" t="s">
        <v>2340</v>
      </c>
      <c r="G351" s="185" t="s">
        <v>2341</v>
      </c>
      <c r="H351" s="185" t="s">
        <v>201</v>
      </c>
      <c r="I351" s="210">
        <v>14.0</v>
      </c>
      <c r="J351" s="185" t="s">
        <v>1496</v>
      </c>
      <c r="K351" s="185">
        <v>368.0</v>
      </c>
      <c r="L351" s="185" t="s">
        <v>1497</v>
      </c>
      <c r="M351" s="211" t="s">
        <v>1498</v>
      </c>
      <c r="N351" s="1"/>
    </row>
    <row r="352" ht="30.0" hidden="1" customHeight="1">
      <c r="A352" s="1"/>
      <c r="B352" s="232">
        <f t="shared" si="2"/>
        <v>350</v>
      </c>
      <c r="C352" s="181">
        <v>43968.0</v>
      </c>
      <c r="D352" s="182">
        <f t="shared" si="1"/>
        <v>2020</v>
      </c>
      <c r="E352" s="212" t="str">
        <f>hyperlink("https://www.amazon.com/No-Filter-Inside-Story-Instagram/dp/1982126809/ref=sr_1_1?crid=1P7QF72OCHLNV&amp;dchild=1&amp;keywords=no+filter&amp;qid=1600490723&amp;sprefix=no+filter%2Caps%2C227&amp;sr=8-1","No Filter: The Inside Story of Instagram")</f>
        <v>No Filter: The Inside Story of Instagram</v>
      </c>
      <c r="F352" s="185" t="s">
        <v>2342</v>
      </c>
      <c r="G352" s="185" t="s">
        <v>2343</v>
      </c>
      <c r="H352" s="185" t="s">
        <v>201</v>
      </c>
      <c r="I352" s="210">
        <v>14.0</v>
      </c>
      <c r="J352" s="185" t="s">
        <v>1522</v>
      </c>
      <c r="K352" s="185">
        <v>352.0</v>
      </c>
      <c r="L352" s="185" t="s">
        <v>1526</v>
      </c>
      <c r="M352" s="228" t="s">
        <v>1527</v>
      </c>
      <c r="N352" s="1"/>
    </row>
    <row r="353" ht="30.0" hidden="1" customHeight="1">
      <c r="A353" s="1"/>
      <c r="B353" s="232">
        <f t="shared" si="2"/>
        <v>351</v>
      </c>
      <c r="C353" s="181">
        <v>43975.0</v>
      </c>
      <c r="D353" s="182">
        <f t="shared" si="1"/>
        <v>2020</v>
      </c>
      <c r="E353" s="212" t="str">
        <f>hyperlink("https://www.amazon.com/Facebook-Inside-Story-Steven-Levy-ebook/dp/B07V8CL7RH/ref=sr_1_1?crid=1F46S60Z3A5NV&amp;dchild=1&amp;keywords=the+facebook+story&amp;qid=1600489104&amp;sprefix=the+facebook+story%2Cdigital-text%2C203&amp;sr=8-1","Facebook: The Inside Story")</f>
        <v>Facebook: The Inside Story</v>
      </c>
      <c r="F353" s="185" t="s">
        <v>2098</v>
      </c>
      <c r="G353" s="185" t="s">
        <v>2344</v>
      </c>
      <c r="H353" s="185" t="s">
        <v>201</v>
      </c>
      <c r="I353" s="210">
        <v>14.0</v>
      </c>
      <c r="J353" s="185" t="s">
        <v>1522</v>
      </c>
      <c r="K353" s="185">
        <v>592.0</v>
      </c>
      <c r="L353" s="185" t="s">
        <v>1526</v>
      </c>
      <c r="M353" s="228" t="s">
        <v>1527</v>
      </c>
      <c r="N353" s="1"/>
    </row>
    <row r="354" ht="30.0" hidden="1" customHeight="1">
      <c r="A354" s="1"/>
      <c r="B354" s="232">
        <f t="shared" si="2"/>
        <v>352</v>
      </c>
      <c r="C354" s="181">
        <v>44086.0</v>
      </c>
      <c r="D354" s="182">
        <f t="shared" si="1"/>
        <v>2020</v>
      </c>
      <c r="E354" s="212" t="str">
        <f>hyperlink("https://www.amazon.com/Carry-That-Quota-Tactics-Stories/dp/154451476X/ref=sr_1_1?dchild=1&amp;keywords=%22carry+that+quota%22&amp;qid=1600493916&amp;sr=8-1","Carry That Quota: Sales Stories and Tactics for the Rep")</f>
        <v>Carry That Quota: Sales Stories and Tactics for the Rep</v>
      </c>
      <c r="F354" s="185" t="s">
        <v>2345</v>
      </c>
      <c r="G354" s="185" t="s">
        <v>2346</v>
      </c>
      <c r="H354" s="185" t="s">
        <v>201</v>
      </c>
      <c r="I354" s="210">
        <v>14.0</v>
      </c>
      <c r="J354" s="185" t="s">
        <v>1522</v>
      </c>
      <c r="K354" s="185">
        <v>226.0</v>
      </c>
      <c r="L354" s="185" t="s">
        <v>1497</v>
      </c>
      <c r="M354" s="228" t="s">
        <v>1527</v>
      </c>
      <c r="N354" s="1"/>
    </row>
    <row r="355" ht="30.0" hidden="1" customHeight="1">
      <c r="A355" s="1"/>
      <c r="B355" s="232">
        <f t="shared" si="2"/>
        <v>353</v>
      </c>
      <c r="C355" s="181">
        <v>44087.0</v>
      </c>
      <c r="D355" s="182">
        <f t="shared" si="1"/>
        <v>2020</v>
      </c>
      <c r="E355" s="212" t="str">
        <f>hyperlink("https://www.amazon.com/Life-Worth-Living-Finding-Imagined/dp/1735405205/ref=pd_sbs_14_1/143-5200954-1481067?_encoding=UTF8&amp;pd_rd_i=1735405205&amp;pd_rd_r=82405835-bca2-459b-9b63-e43b39913eba&amp;pd_rd_w=tMCKx&amp;pd_rd_wg=D8Ib3&amp;pf_rd_p=703f3758-d945-4136-8df6-a43d19d"&amp;"750d1&amp;pf_rd_r=4DH9DPRHKWHYZBYQS9F5&amp;psc=1&amp;refRID=4DH9DPRHKWHYZBYQS9F5","A Life Worth Living: Finding Your Purpose and Daring to Live the Life You've Imagined")</f>
        <v>A Life Worth Living: Finding Your Purpose and Daring to Live the Life You've Imagined</v>
      </c>
      <c r="F355" s="185" t="s">
        <v>2347</v>
      </c>
      <c r="G355" s="235" t="s">
        <v>2348</v>
      </c>
      <c r="H355" s="185" t="s">
        <v>201</v>
      </c>
      <c r="I355" s="210">
        <v>14.0</v>
      </c>
      <c r="J355" s="185" t="s">
        <v>1496</v>
      </c>
      <c r="K355" s="185">
        <v>280.0</v>
      </c>
      <c r="L355" s="185" t="s">
        <v>1526</v>
      </c>
      <c r="M355" s="228" t="s">
        <v>1527</v>
      </c>
      <c r="N355" s="1"/>
    </row>
    <row r="356" ht="30.0" hidden="1" customHeight="1">
      <c r="A356" s="1"/>
      <c r="B356" s="232">
        <f t="shared" si="2"/>
        <v>354</v>
      </c>
      <c r="C356" s="181">
        <v>44100.0</v>
      </c>
      <c r="D356" s="182">
        <f t="shared" si="1"/>
        <v>2020</v>
      </c>
      <c r="E356" s="212" t="str">
        <f>hyperlink("https://www.amazon.com/How-Talk-Kids-Will-Listen/dp/1451663889/ref=sr_1_2?crid=343MJS415T8VV&amp;dchild=1&amp;keywords=how+to+talk+so+little+kids+will+listen+book&amp;qid=1601275191&amp;sprefix=how+to+talk+%2Caps%2C207&amp;sr=8-2","How to Talk So Kids Will Listen &amp; Listen So Kids Will Talk")</f>
        <v>How to Talk So Kids Will Listen &amp; Listen So Kids Will Talk</v>
      </c>
      <c r="F356" s="185" t="s">
        <v>2349</v>
      </c>
      <c r="G356" s="185" t="s">
        <v>2350</v>
      </c>
      <c r="H356" s="185" t="s">
        <v>201</v>
      </c>
      <c r="I356" s="210">
        <v>14.0</v>
      </c>
      <c r="J356" s="185" t="s">
        <v>1496</v>
      </c>
      <c r="K356" s="185">
        <v>368.0</v>
      </c>
      <c r="L356" s="185" t="s">
        <v>1497</v>
      </c>
      <c r="M356" s="228" t="s">
        <v>1527</v>
      </c>
      <c r="N356" s="1"/>
    </row>
    <row r="357" ht="30.0" hidden="1" customHeight="1">
      <c r="A357" s="1"/>
      <c r="B357" s="232">
        <f t="shared" si="2"/>
        <v>355</v>
      </c>
      <c r="C357" s="181">
        <v>44115.0</v>
      </c>
      <c r="D357" s="182">
        <f t="shared" si="1"/>
        <v>2020</v>
      </c>
      <c r="E357" s="212" t="str">
        <f>hyperlink("https://www.amazon.com/Siblings-Without-Rivalry-Children-Together-ebook/dp/B007HXL1V0/ref=sr_1_1?crid=2TY5UT2ECYS3R&amp;dchild=1&amp;keywords=siblings+without+rivalry&amp;qid=1609622922&amp;s=digital-text&amp;sprefix=siblings+with%2Cdigital-text%2C220&amp;sr=1-1","Siblings Without Rivalry: How to Help Your Children Live Together So You Can Live Too")</f>
        <v>Siblings Without Rivalry: How to Help Your Children Live Together So You Can Live Too</v>
      </c>
      <c r="F357" s="185" t="s">
        <v>2349</v>
      </c>
      <c r="G357" s="185" t="s">
        <v>2351</v>
      </c>
      <c r="H357" s="185" t="s">
        <v>201</v>
      </c>
      <c r="I357" s="210">
        <v>14.0</v>
      </c>
      <c r="J357" s="185" t="s">
        <v>1496</v>
      </c>
      <c r="K357" s="185">
        <v>287.0</v>
      </c>
      <c r="L357" s="185" t="s">
        <v>1497</v>
      </c>
      <c r="M357" s="211" t="s">
        <v>1498</v>
      </c>
      <c r="N357" s="1"/>
    </row>
    <row r="358" ht="30.0" hidden="1" customHeight="1">
      <c r="A358" s="1"/>
      <c r="B358" s="232">
        <f t="shared" si="2"/>
        <v>356</v>
      </c>
      <c r="C358" s="181">
        <v>44138.0</v>
      </c>
      <c r="D358" s="182">
        <f t="shared" si="1"/>
        <v>2020</v>
      </c>
      <c r="E358" s="212" t="str">
        <f>hyperlink("https://www.amazon.com/Takes-What-Think-Neutrally-Control-ebook/dp/B07R8VDNMJ/ref=sr_1_1?crid=2BUZLD7VYLA3Z&amp;dchild=1&amp;keywords=it+takes+what+it+takes&amp;qid=1609614507&amp;s=digital-text&amp;sprefix=it+takes+what+i%2Cdigital-text%2C217&amp;sr=1-1","It Takes What It Takes: How to Think Neutrally and Gain Control of Your Life
")</f>
        <v>It Takes What It Takes: How to Think Neutrally and Gain Control of Your Life
</v>
      </c>
      <c r="F358" s="185" t="s">
        <v>2352</v>
      </c>
      <c r="G358" s="185" t="s">
        <v>2353</v>
      </c>
      <c r="H358" s="185" t="s">
        <v>201</v>
      </c>
      <c r="I358" s="210">
        <v>14.0</v>
      </c>
      <c r="J358" s="185" t="s">
        <v>1496</v>
      </c>
      <c r="K358" s="185">
        <v>277.0</v>
      </c>
      <c r="L358" s="185" t="s">
        <v>1526</v>
      </c>
      <c r="M358" s="228" t="s">
        <v>1527</v>
      </c>
      <c r="N358" s="1"/>
    </row>
    <row r="359" ht="30.0" hidden="1" customHeight="1">
      <c r="A359" s="1"/>
      <c r="B359" s="232">
        <f t="shared" si="2"/>
        <v>357</v>
      </c>
      <c r="C359" s="181">
        <v>44233.0</v>
      </c>
      <c r="D359" s="182">
        <f t="shared" si="1"/>
        <v>2021</v>
      </c>
      <c r="E359" s="212" t="str">
        <f>hyperlink("https://www.amazon.com/Thanks-Feedback-Science-Receiving-Well/dp/0143127136/ref=sr_1_1?crid=3MUJTW38KV8LW&amp;dchild=1&amp;keywords=thanks+for+the+feedback&amp;qid=1613456392&amp;sprefix=thanks+for+the+feedback%2Caps%2C222&amp;sr=8-1","Thanks for the Feedback: The Science and Art of Receiving Feedback Well")</f>
        <v>Thanks for the Feedback: The Science and Art of Receiving Feedback Well</v>
      </c>
      <c r="F359" s="185" t="s">
        <v>1985</v>
      </c>
      <c r="G359" s="185" t="s">
        <v>2354</v>
      </c>
      <c r="H359" s="185" t="s">
        <v>201</v>
      </c>
      <c r="I359" s="210">
        <v>14.0</v>
      </c>
      <c r="J359" s="185" t="s">
        <v>1496</v>
      </c>
      <c r="K359" s="185">
        <v>368.0</v>
      </c>
      <c r="L359" s="185" t="s">
        <v>1526</v>
      </c>
      <c r="M359" s="211" t="s">
        <v>1498</v>
      </c>
      <c r="N359" s="1"/>
    </row>
    <row r="360" ht="30.0" hidden="1" customHeight="1">
      <c r="A360" s="1"/>
      <c r="B360" s="232">
        <f t="shared" si="2"/>
        <v>358</v>
      </c>
      <c r="C360" s="181">
        <v>44403.0</v>
      </c>
      <c r="D360" s="182">
        <f t="shared" si="1"/>
        <v>2021</v>
      </c>
      <c r="E360" s="229" t="s">
        <v>2355</v>
      </c>
      <c r="F360" s="185" t="s">
        <v>2356</v>
      </c>
      <c r="G360" s="185" t="s">
        <v>2357</v>
      </c>
      <c r="H360" s="185" t="s">
        <v>201</v>
      </c>
      <c r="I360" s="210">
        <v>14.0</v>
      </c>
      <c r="J360" s="185" t="s">
        <v>1496</v>
      </c>
      <c r="K360" s="185">
        <v>239.0</v>
      </c>
      <c r="L360" s="185" t="s">
        <v>1526</v>
      </c>
      <c r="M360" s="228" t="s">
        <v>1527</v>
      </c>
      <c r="N360" s="1"/>
    </row>
    <row r="361" ht="30.0" hidden="1" customHeight="1">
      <c r="A361" s="1"/>
      <c r="B361" s="232">
        <f t="shared" si="2"/>
        <v>359</v>
      </c>
      <c r="C361" s="181">
        <v>44406.0</v>
      </c>
      <c r="D361" s="182">
        <f t="shared" si="1"/>
        <v>2021</v>
      </c>
      <c r="E361" s="229" t="s">
        <v>2358</v>
      </c>
      <c r="F361" s="185" t="s">
        <v>2359</v>
      </c>
      <c r="G361" s="185" t="s">
        <v>2360</v>
      </c>
      <c r="H361" s="185" t="s">
        <v>201</v>
      </c>
      <c r="I361" s="210">
        <v>14.0</v>
      </c>
      <c r="J361" s="185" t="s">
        <v>1496</v>
      </c>
      <c r="K361" s="185">
        <v>322.0</v>
      </c>
      <c r="L361" s="185" t="s">
        <v>1526</v>
      </c>
      <c r="M361" s="211" t="s">
        <v>1527</v>
      </c>
      <c r="N361" s="1"/>
    </row>
    <row r="362" ht="30.0" hidden="1" customHeight="1">
      <c r="A362" s="1"/>
      <c r="B362" s="232">
        <f t="shared" si="2"/>
        <v>360</v>
      </c>
      <c r="C362" s="181">
        <v>44304.0</v>
      </c>
      <c r="D362" s="182">
        <f t="shared" si="1"/>
        <v>2021</v>
      </c>
      <c r="E362" s="229" t="s">
        <v>2361</v>
      </c>
      <c r="F362" s="185" t="s">
        <v>2362</v>
      </c>
      <c r="G362" s="185" t="s">
        <v>2363</v>
      </c>
      <c r="H362" s="185" t="s">
        <v>201</v>
      </c>
      <c r="I362" s="210">
        <v>14.0</v>
      </c>
      <c r="J362" s="185" t="s">
        <v>1496</v>
      </c>
      <c r="K362" s="185">
        <v>402.0</v>
      </c>
      <c r="L362" s="185" t="s">
        <v>1526</v>
      </c>
      <c r="M362" s="211" t="s">
        <v>1527</v>
      </c>
      <c r="N362" s="1"/>
    </row>
    <row r="363" ht="30.0" hidden="1" customHeight="1">
      <c r="A363" s="1"/>
      <c r="B363" s="232">
        <f t="shared" si="2"/>
        <v>361</v>
      </c>
      <c r="C363" s="181">
        <v>44490.0</v>
      </c>
      <c r="D363" s="182">
        <f t="shared" si="1"/>
        <v>2021</v>
      </c>
      <c r="E363" s="229" t="str">
        <f>hyperlink("https://www.amazon.com/New-One-Minute-Manager-Manager-updated/dp/8172234996/ref=sr_1_1?crid=1XH5JCXS50SV5&amp;keywords=the+new+one+minute+manager&amp;qid=1637795794&amp;sprefix=the+new+one+%2Caps%2C216&amp;sr=8-1","New One Minute Manager, The")</f>
        <v>New One Minute Manager, The</v>
      </c>
      <c r="F363" s="185" t="s">
        <v>2364</v>
      </c>
      <c r="G363" s="185" t="s">
        <v>2365</v>
      </c>
      <c r="H363" s="185" t="s">
        <v>201</v>
      </c>
      <c r="I363" s="210">
        <v>14.0</v>
      </c>
      <c r="J363" s="185" t="s">
        <v>1522</v>
      </c>
      <c r="K363" s="185">
        <v>100.0</v>
      </c>
      <c r="L363" s="185" t="s">
        <v>1497</v>
      </c>
      <c r="M363" s="228" t="s">
        <v>1527</v>
      </c>
      <c r="N363" s="1"/>
    </row>
    <row r="364" ht="30.0" hidden="1" customHeight="1">
      <c r="A364" s="1"/>
      <c r="B364" s="232">
        <f t="shared" si="2"/>
        <v>362</v>
      </c>
      <c r="C364" s="181">
        <v>44522.0</v>
      </c>
      <c r="D364" s="182">
        <f t="shared" si="1"/>
        <v>2021</v>
      </c>
      <c r="E364" s="229" t="str">
        <f>hyperlink("https://www.amazon.com/Mom-Test-customers-business-everyone-ebook/dp/B01H4G2J1U/ref=sr_1_1?crid=WU2WJ3LG691H&amp;keywords=the+mom+test&amp;qid=1637778531&amp;qsid=139-3261547-9305035&amp;sprefix=the+mom+test%2Caps%2C224&amp;sr=8-1&amp;sres=1492180742%2CB082L4FT8S%2C0316497355%2C"&amp;"0997943912%2C1492670022%2CB08LNBVFDT%2C0997768037%2C0997943955%2C0307887898%2C1948255529%2C1948255006%2CB08N37KC1N%2CB09LX442R8%2C006288834X%2C099794398X%2C1492677698","Mom Test, The: How to talk to customers &amp; learn if your business is a good idea when everyone is lying to you")</f>
        <v>Mom Test, The: How to talk to customers &amp; learn if your business is a good idea when everyone is lying to you</v>
      </c>
      <c r="F364" s="185" t="s">
        <v>2002</v>
      </c>
      <c r="G364" s="185" t="s">
        <v>2366</v>
      </c>
      <c r="H364" s="185" t="s">
        <v>201</v>
      </c>
      <c r="I364" s="210">
        <v>14.0</v>
      </c>
      <c r="J364" s="185" t="s">
        <v>1522</v>
      </c>
      <c r="K364" s="185">
        <v>138.0</v>
      </c>
      <c r="L364" s="185" t="s">
        <v>1526</v>
      </c>
      <c r="M364" s="228" t="s">
        <v>1527</v>
      </c>
      <c r="N364" s="1"/>
    </row>
    <row r="365" ht="32.25" hidden="1" customHeight="1">
      <c r="A365" s="1"/>
      <c r="B365" s="232">
        <f t="shared" si="2"/>
        <v>363</v>
      </c>
      <c r="C365" s="181">
        <v>44521.0</v>
      </c>
      <c r="D365" s="182">
        <f t="shared" si="1"/>
        <v>2021</v>
      </c>
      <c r="E365" s="212" t="str">
        <f>hyperlink("https://www.amazon.com/No-Hard-Feelings-Embracing-Emotions-ebook/dp/B07CWGBZ4S/ref=tmm_kin_swatch_0?_encoding=UTF8&amp;qid=1637781096&amp;sr=8-1","No Hard Feelings: The Secret Power of Embracing Emotions at Work")</f>
        <v>No Hard Feelings: The Secret Power of Embracing Emotions at Work</v>
      </c>
      <c r="F365" s="185" t="s">
        <v>2367</v>
      </c>
      <c r="G365" s="185" t="s">
        <v>2368</v>
      </c>
      <c r="H365" s="185" t="s">
        <v>201</v>
      </c>
      <c r="I365" s="210">
        <v>14.0</v>
      </c>
      <c r="J365" s="185" t="s">
        <v>1522</v>
      </c>
      <c r="K365" s="185">
        <v>304.0</v>
      </c>
      <c r="L365" s="185" t="s">
        <v>1526</v>
      </c>
      <c r="M365" s="228" t="s">
        <v>1527</v>
      </c>
      <c r="N365" s="1"/>
    </row>
    <row r="366" ht="30.0" hidden="1" customHeight="1">
      <c r="A366" s="1"/>
      <c r="B366" s="232">
        <f t="shared" si="2"/>
        <v>364</v>
      </c>
      <c r="C366" s="181">
        <v>44538.0</v>
      </c>
      <c r="D366" s="182">
        <f t="shared" si="1"/>
        <v>2021</v>
      </c>
      <c r="E366" s="212" t="str">
        <f>hyperlink("https://smile.amazon.com/Will-Mark-Manson-ebook/dp/B096LPZXCH/ref=sr_1_1?crid=5GKO8EBAZXNS&amp;keywords=will&amp;qid=1644695711&amp;sprefix=will%2Caps%2C177&amp;sr=8-1","Will")</f>
        <v>Will</v>
      </c>
      <c r="F366" s="185" t="s">
        <v>2369</v>
      </c>
      <c r="G366" s="185" t="s">
        <v>2370</v>
      </c>
      <c r="H366" s="185" t="s">
        <v>201</v>
      </c>
      <c r="I366" s="210">
        <v>14.0</v>
      </c>
      <c r="J366" s="185" t="s">
        <v>1496</v>
      </c>
      <c r="K366" s="185">
        <v>432.0</v>
      </c>
      <c r="L366" s="185" t="s">
        <v>1574</v>
      </c>
      <c r="M366" s="211" t="s">
        <v>804</v>
      </c>
      <c r="N366" s="1"/>
    </row>
    <row r="367" ht="30.0" hidden="1" customHeight="1">
      <c r="A367" s="1"/>
      <c r="B367" s="232">
        <f t="shared" si="2"/>
        <v>365</v>
      </c>
      <c r="C367" s="181">
        <v>44557.0</v>
      </c>
      <c r="D367" s="182">
        <f t="shared" si="1"/>
        <v>2021</v>
      </c>
      <c r="E367" s="212" t="str">
        <f>hyperlink("https://smile.amazon.com/Mastery-Robert-Greene-ebook/dp/B007V65PBK/ref=sr_1_1?crid=1Q5RTC7Z5L0AP&amp;keywords=mastery+robert+greene&amp;qid=1644696255&amp;s=digital-text&amp;sprefix=mastery%2Cdigital-text%2C167&amp;sr=1-1","Mastery")</f>
        <v>Mastery</v>
      </c>
      <c r="F367" s="185" t="s">
        <v>2371</v>
      </c>
      <c r="G367" s="185" t="s">
        <v>2372</v>
      </c>
      <c r="H367" s="185" t="s">
        <v>201</v>
      </c>
      <c r="I367" s="210">
        <v>14.0</v>
      </c>
      <c r="J367" s="185" t="s">
        <v>1496</v>
      </c>
      <c r="K367" s="185">
        <v>353.0</v>
      </c>
      <c r="L367" s="185" t="s">
        <v>1526</v>
      </c>
      <c r="M367" s="228" t="s">
        <v>1527</v>
      </c>
      <c r="N367" s="1"/>
    </row>
    <row r="368" ht="30.0" hidden="1" customHeight="1">
      <c r="A368" s="1"/>
      <c r="B368" s="232">
        <f t="shared" si="2"/>
        <v>366</v>
      </c>
      <c r="C368" s="181">
        <v>44480.0</v>
      </c>
      <c r="D368" s="182">
        <f t="shared" si="1"/>
        <v>2021</v>
      </c>
      <c r="E368" s="212" t="str">
        <f>hyperlink("https://smile.amazon.com/High-Habit-Take-Control-Simple-ebook/dp/B096JQSWQ6/ref=sr_1_2?keywords=high+five+habit+mel+robbins&amp;qid=1644700675&amp;s=digital-text&amp;sprefix=high+five+habit%2Cdigital-text%2C120&amp;sr=1-2","High Five Habit, The: Take Control of Your Life with One Simple Habit")</f>
        <v>High Five Habit, The: Take Control of Your Life with One Simple Habit</v>
      </c>
      <c r="F368" s="185" t="s">
        <v>2373</v>
      </c>
      <c r="G368" s="185" t="s">
        <v>2374</v>
      </c>
      <c r="H368" s="185" t="s">
        <v>201</v>
      </c>
      <c r="I368" s="210">
        <v>14.0</v>
      </c>
      <c r="J368" s="185" t="s">
        <v>1522</v>
      </c>
      <c r="K368" s="185">
        <v>241.0</v>
      </c>
      <c r="L368" s="185" t="s">
        <v>1526</v>
      </c>
      <c r="M368" s="228" t="s">
        <v>1527</v>
      </c>
      <c r="N368" s="1"/>
    </row>
    <row r="369" ht="30.0" hidden="1" customHeight="1">
      <c r="A369" s="1"/>
      <c r="B369" s="232">
        <f t="shared" si="2"/>
        <v>367</v>
      </c>
      <c r="C369" s="181">
        <v>44650.0</v>
      </c>
      <c r="D369" s="182">
        <f t="shared" si="1"/>
        <v>2022</v>
      </c>
      <c r="E369" s="212" t="str">
        <f>hyperlink("https://www.amazon.com/Power-Dog-Novel-Thomas-Savage-ebook/dp/B004ZGZBWC/ref=sr_1_1?crid=2ADQADA72U8YW&amp;keywords=the+power+of+the+dog&amp;qid=1650994197&amp;sprefix=the+power+of+the+dog%2Caps%2C164&amp;sr=8-1","Power of the Dog, The")</f>
        <v>Power of the Dog, The</v>
      </c>
      <c r="F369" s="185" t="s">
        <v>2375</v>
      </c>
      <c r="G369" s="185" t="s">
        <v>2376</v>
      </c>
      <c r="H369" s="185" t="s">
        <v>201</v>
      </c>
      <c r="I369" s="210">
        <v>14.0</v>
      </c>
      <c r="J369" s="185" t="s">
        <v>1509</v>
      </c>
      <c r="K369" s="185">
        <v>306.0</v>
      </c>
      <c r="L369" s="185" t="s">
        <v>1526</v>
      </c>
      <c r="M369" s="228" t="s">
        <v>1527</v>
      </c>
      <c r="N369" s="1"/>
    </row>
    <row r="370" ht="30.0" hidden="1" customHeight="1">
      <c r="A370" s="1"/>
      <c r="B370" s="232">
        <f t="shared" si="2"/>
        <v>368</v>
      </c>
      <c r="C370" s="181">
        <v>44633.0</v>
      </c>
      <c r="D370" s="182">
        <f t="shared" si="1"/>
        <v>2022</v>
      </c>
      <c r="E370" s="212" t="str">
        <f>hyperlink("https://www.amazon.com/Year-Magical-Thinking-Vintage-International-ebook/dp/B000OI0FS0/ref=tmm_kin_swatch_0?_encoding=UTF8&amp;qid=1650995617&amp;sr=8-1","Year of Magical Thinking, The")</f>
        <v>Year of Magical Thinking, The</v>
      </c>
      <c r="F370" s="185" t="s">
        <v>2377</v>
      </c>
      <c r="G370" s="185" t="s">
        <v>2378</v>
      </c>
      <c r="H370" s="185" t="s">
        <v>201</v>
      </c>
      <c r="I370" s="210">
        <v>14.0</v>
      </c>
      <c r="J370" s="185" t="s">
        <v>1509</v>
      </c>
      <c r="K370" s="185">
        <v>242.0</v>
      </c>
      <c r="L370" s="185" t="s">
        <v>1497</v>
      </c>
      <c r="M370" s="211" t="s">
        <v>1498</v>
      </c>
      <c r="N370" s="1"/>
    </row>
    <row r="371" ht="30.0" hidden="1" customHeight="1">
      <c r="A371" s="1"/>
      <c r="B371" s="232">
        <f t="shared" si="2"/>
        <v>369</v>
      </c>
      <c r="C371" s="181">
        <v>44634.0</v>
      </c>
      <c r="D371" s="182">
        <f t="shared" si="1"/>
        <v>2022</v>
      </c>
      <c r="E371" s="212" t="str">
        <f>hyperlink("https://www.amazon.com/Power-Regret-Looking-Backward-Forward-ebook/dp/B097XNT4RT/ref=sr_1_1?crid=C5OLN4IT9KR3&amp;keywords=the+power+of+regret&amp;qid=1650995815&amp;sprefix=the+power+of+reg%2Caps%2C126&amp;sr=8-1","Power of Regret, The")</f>
        <v>Power of Regret, The</v>
      </c>
      <c r="F371" s="185" t="s">
        <v>1892</v>
      </c>
      <c r="G371" s="185" t="s">
        <v>2379</v>
      </c>
      <c r="H371" s="185" t="s">
        <v>201</v>
      </c>
      <c r="I371" s="210">
        <v>14.0</v>
      </c>
      <c r="J371" s="185" t="s">
        <v>1496</v>
      </c>
      <c r="K371" s="185">
        <v>255.0</v>
      </c>
      <c r="L371" s="185" t="s">
        <v>1497</v>
      </c>
      <c r="M371" s="211" t="s">
        <v>1498</v>
      </c>
      <c r="N371" s="1"/>
    </row>
    <row r="372" ht="30.0" hidden="1" customHeight="1">
      <c r="A372" s="1"/>
      <c r="B372" s="232">
        <f t="shared" si="2"/>
        <v>370</v>
      </c>
      <c r="C372" s="181">
        <v>44766.0</v>
      </c>
      <c r="D372" s="182">
        <f t="shared" si="1"/>
        <v>2022</v>
      </c>
      <c r="E372" s="212" t="str">
        <f>hyperlink("https://www.amazon.com/Unbroken-World-Survival-Resilience-Redemption-ebook/dp/B003WUYPPG/ref=sr_1_1?crid=2OEQ6FI7TJEMH&amp;keywords=unbroken&amp;qid=1672289092&amp;s=digital-text&amp;sprefix=unbroken%2Cdigital-text%2C176&amp;sr=1-1","Unbroken: A World War II Story of Survival, Resilience, and Redemption")</f>
        <v>Unbroken: A World War II Story of Survival, Resilience, and Redemption</v>
      </c>
      <c r="F372" s="185" t="s">
        <v>2380</v>
      </c>
      <c r="G372" s="185" t="s">
        <v>2381</v>
      </c>
      <c r="H372" s="185" t="s">
        <v>201</v>
      </c>
      <c r="I372" s="210">
        <v>14.0</v>
      </c>
      <c r="J372" s="185" t="s">
        <v>1496</v>
      </c>
      <c r="K372" s="185">
        <v>530.0</v>
      </c>
      <c r="L372" s="185" t="s">
        <v>1526</v>
      </c>
      <c r="M372" s="227" t="s">
        <v>1527</v>
      </c>
      <c r="N372" s="1"/>
    </row>
    <row r="373" ht="30.0" hidden="1" customHeight="1">
      <c r="A373" s="1"/>
      <c r="B373" s="232">
        <f t="shared" si="2"/>
        <v>371</v>
      </c>
      <c r="C373" s="181">
        <v>44768.0</v>
      </c>
      <c r="D373" s="182">
        <f t="shared" si="1"/>
        <v>2022</v>
      </c>
      <c r="E373" s="212" t="str">
        <f>hyperlink("https://www.amazon.com/Welcome-Dunder-Mifflin-Ultimate-History-ebook/dp/B08LDK5BJH/ref=tmm_kin_swatch_0?_encoding=UTF8&amp;qid=1659128052&amp;sr=1-1","Welcome to Dunder Mifflin: The Ultimate Oral History of The Office")</f>
        <v>Welcome to Dunder Mifflin: The Ultimate Oral History of The Office</v>
      </c>
      <c r="F373" s="185" t="s">
        <v>2382</v>
      </c>
      <c r="G373" s="185" t="s">
        <v>2383</v>
      </c>
      <c r="H373" s="185" t="s">
        <v>201</v>
      </c>
      <c r="I373" s="210">
        <v>14.0</v>
      </c>
      <c r="J373" s="185" t="s">
        <v>1496</v>
      </c>
      <c r="K373" s="185">
        <v>464.0</v>
      </c>
      <c r="L373" s="185" t="s">
        <v>1526</v>
      </c>
      <c r="M373" s="227" t="s">
        <v>1527</v>
      </c>
      <c r="N373" s="1"/>
    </row>
    <row r="374" ht="30.0" hidden="1" customHeight="1">
      <c r="A374" s="1"/>
      <c r="B374" s="232">
        <f t="shared" si="2"/>
        <v>372</v>
      </c>
      <c r="C374" s="181">
        <v>44825.0</v>
      </c>
      <c r="D374" s="182">
        <f t="shared" si="1"/>
        <v>2022</v>
      </c>
      <c r="E374" s="212" t="str">
        <f>hyperlink("https://www.amazon.com/Stories-I-Only-Tell-My-Friends-audiobook/dp/B004XXVSS8/ref=tmm_aud_swatch_0?_encoding=UTF8&amp;qid=1672292634&amp;sr=1-1","Stories I Only Tell My Friends")</f>
        <v>Stories I Only Tell My Friends</v>
      </c>
      <c r="F374" s="185" t="s">
        <v>2384</v>
      </c>
      <c r="G374" s="185" t="s">
        <v>2385</v>
      </c>
      <c r="H374" s="185" t="s">
        <v>201</v>
      </c>
      <c r="I374" s="210">
        <v>14.0</v>
      </c>
      <c r="J374" s="185" t="s">
        <v>1496</v>
      </c>
      <c r="K374" s="185">
        <v>321.0</v>
      </c>
      <c r="L374" s="185" t="s">
        <v>1574</v>
      </c>
      <c r="M374" s="236" t="s">
        <v>804</v>
      </c>
      <c r="N374" s="1"/>
    </row>
    <row r="375" ht="30.0" hidden="1" customHeight="1">
      <c r="A375" s="1"/>
      <c r="B375" s="232">
        <f t="shared" si="2"/>
        <v>373</v>
      </c>
      <c r="C375" s="181">
        <v>44873.0</v>
      </c>
      <c r="D375" s="182">
        <f t="shared" si="1"/>
        <v>2022</v>
      </c>
      <c r="E375" s="212" t="str">
        <f>hyperlink("https://www.amazon.com/Underground-Railroad-Pulitzer-Winner-National-ebook/dp/B01A4ATV0A/ref=sr_1_1?keywords=the+underground+railroad+a+novel+by+colson+whitehead&amp;qid=1672290765&amp;s=digital-text&amp;sprefix=the+undergr%2Cdigital-text%2C154&amp;sr=1-1","Underground Railroad, The")</f>
        <v>Underground Railroad, The</v>
      </c>
      <c r="F375" s="185" t="s">
        <v>1711</v>
      </c>
      <c r="G375" s="185" t="s">
        <v>2386</v>
      </c>
      <c r="H375" s="185" t="s">
        <v>201</v>
      </c>
      <c r="I375" s="210">
        <v>14.0</v>
      </c>
      <c r="J375" s="185" t="s">
        <v>1509</v>
      </c>
      <c r="K375" s="185">
        <v>300.0</v>
      </c>
      <c r="L375" s="185" t="s">
        <v>1526</v>
      </c>
      <c r="M375" s="227" t="s">
        <v>1527</v>
      </c>
      <c r="N375" s="1"/>
    </row>
    <row r="376" ht="30.0" hidden="1" customHeight="1">
      <c r="A376" s="1"/>
      <c r="B376" s="232">
        <f t="shared" si="2"/>
        <v>374</v>
      </c>
      <c r="C376" s="181">
        <v>44922.0</v>
      </c>
      <c r="D376" s="182">
        <f t="shared" si="1"/>
        <v>2022</v>
      </c>
      <c r="E376" s="212" t="str">
        <f>hyperlink("https://www.amazon.com/Psychology-Money-Timeless-lessons-happiness-ebook/dp/B084HJSJJ2/ref=sr_1_1?crid=1DVZQCRJUWLWP&amp;keywords=psychology+of+money&amp;qid=1672291178&amp;s=digital-text&amp;sprefix=psychology+of+money%2Cdigital-text%2C158&amp;sr=1-1","Psychology of Money, The")</f>
        <v>Psychology of Money, The</v>
      </c>
      <c r="F376" s="185" t="s">
        <v>2387</v>
      </c>
      <c r="G376" s="185" t="s">
        <v>2388</v>
      </c>
      <c r="H376" s="185" t="s">
        <v>201</v>
      </c>
      <c r="I376" s="210">
        <v>14.0</v>
      </c>
      <c r="J376" s="185" t="s">
        <v>1496</v>
      </c>
      <c r="K376" s="185">
        <v>224.0</v>
      </c>
      <c r="L376" s="185" t="s">
        <v>1526</v>
      </c>
      <c r="M376" s="227" t="s">
        <v>1527</v>
      </c>
      <c r="N376" s="1"/>
    </row>
    <row r="377" ht="30.0" hidden="1" customHeight="1">
      <c r="A377" s="1"/>
      <c r="B377" s="232">
        <f t="shared" si="2"/>
        <v>375</v>
      </c>
      <c r="C377" s="181">
        <v>44869.0</v>
      </c>
      <c r="D377" s="182">
        <f t="shared" si="1"/>
        <v>2022</v>
      </c>
      <c r="E377" s="212" t="str">
        <f>hyperlink("https://www.amazon.com/Awareness-Conversations-SJ-Anthony-Mello-ebook/dp/B005GFBP6W/ref=sr_1_1?crid=2S4R85CBAU0LY&amp;keywords=awareness+anthony+de+mello&amp;qid=1672293212&amp;s=digital-text&amp;sprefix=awareness%2Cdigital-text%2C162&amp;sr=1-1","Awareness: Conversations with the Masters")</f>
        <v>Awareness: Conversations with the Masters</v>
      </c>
      <c r="F377" s="185" t="s">
        <v>2389</v>
      </c>
      <c r="G377" s="185" t="s">
        <v>2390</v>
      </c>
      <c r="H377" s="185" t="s">
        <v>201</v>
      </c>
      <c r="I377" s="210">
        <v>14.0</v>
      </c>
      <c r="J377" s="185" t="s">
        <v>1496</v>
      </c>
      <c r="K377" s="185">
        <v>194.0</v>
      </c>
      <c r="L377" s="185" t="s">
        <v>1526</v>
      </c>
      <c r="M377" s="227" t="s">
        <v>1527</v>
      </c>
      <c r="N377" s="1"/>
    </row>
    <row r="378" ht="30.0" hidden="1" customHeight="1">
      <c r="A378" s="1"/>
      <c r="B378" s="232">
        <f t="shared" si="2"/>
        <v>376</v>
      </c>
      <c r="C378" s="181">
        <v>44968.0</v>
      </c>
      <c r="D378" s="182">
        <f t="shared" si="1"/>
        <v>2023</v>
      </c>
      <c r="E378" s="212" t="str">
        <f>hyperlink("https://www.amazon.com/Never-Finished-Unshackle-Your-Within-ebook/dp/B0BJMN7RMV/ref=sr_1_1?crid=1UQO40F6EPK7U&amp;keywords=never+finished+david+goggins&amp;qid=1676343462&amp;s=digital-text&amp;sprefix=goggins%2Cdigital-text%2C176&amp;sr=1-1","Never Finished: Unshackle Your Mind and Win the War Within")</f>
        <v>Never Finished: Unshackle Your Mind and Win the War Within</v>
      </c>
      <c r="F378" s="185" t="s">
        <v>2328</v>
      </c>
      <c r="G378" s="185" t="s">
        <v>2391</v>
      </c>
      <c r="H378" s="185" t="s">
        <v>201</v>
      </c>
      <c r="I378" s="210">
        <v>14.0</v>
      </c>
      <c r="J378" s="185" t="s">
        <v>1496</v>
      </c>
      <c r="K378" s="185">
        <v>299.0</v>
      </c>
      <c r="L378" s="185" t="s">
        <v>1526</v>
      </c>
      <c r="M378" s="227" t="s">
        <v>1527</v>
      </c>
      <c r="N378" s="1"/>
    </row>
    <row r="379" ht="30.0" hidden="1" customHeight="1">
      <c r="A379" s="1"/>
      <c r="B379" s="232">
        <f t="shared" si="2"/>
        <v>377</v>
      </c>
      <c r="C379" s="181">
        <v>44994.0</v>
      </c>
      <c r="D379" s="182">
        <f t="shared" si="1"/>
        <v>2023</v>
      </c>
      <c r="E379" s="212" t="str">
        <f>hyperlink("https://www.amazon.com/Tomorrow-novel-Gabrielle-Zevin-ebook/dp/B09JBCGQB8/ref=sr_1_1?keywords=tomorrow+and+tomorrow+and+tomorow&amp;qid=1687138494&amp;sprefix=tomorrow+and+to%2Caps%2C188&amp;sr=8-1","Tomorrow, and Tomorrow, and Tomorrow")</f>
        <v>Tomorrow, and Tomorrow, and Tomorrow</v>
      </c>
      <c r="F379" s="185" t="s">
        <v>2392</v>
      </c>
      <c r="G379" s="185" t="s">
        <v>2393</v>
      </c>
      <c r="H379" s="185" t="s">
        <v>201</v>
      </c>
      <c r="I379" s="210">
        <v>14.0</v>
      </c>
      <c r="J379" s="185" t="s">
        <v>1509</v>
      </c>
      <c r="K379" s="185">
        <v>418.0</v>
      </c>
      <c r="L379" s="185" t="s">
        <v>1526</v>
      </c>
      <c r="M379" s="227" t="s">
        <v>1527</v>
      </c>
      <c r="N379" s="1"/>
    </row>
    <row r="380" ht="30.0" hidden="1" customHeight="1">
      <c r="A380" s="1"/>
      <c r="B380" s="232">
        <f t="shared" si="2"/>
        <v>378</v>
      </c>
      <c r="C380" s="181">
        <v>45092.0</v>
      </c>
      <c r="D380" s="182">
        <f t="shared" si="1"/>
        <v>2023</v>
      </c>
      <c r="E380" s="212" t="str">
        <f>hyperlink("https://www.amazon.com/Will-Wild-Adventures-Great-Change-ebook/dp/B0BHTM8QXV/ref=sr_1_1?keywords=will+to+wild&amp;qid=1686974585&amp;s=digital-text&amp;sprefix=will+to+wild%2Cdigital-text%2C158&amp;sr=1-1","Will To Wild: Adventures Great and Small to Change Your Life")</f>
        <v>Will To Wild: Adventures Great and Small to Change Your Life</v>
      </c>
      <c r="F380" s="185" t="s">
        <v>2394</v>
      </c>
      <c r="G380" s="185" t="s">
        <v>2395</v>
      </c>
      <c r="H380" s="185" t="s">
        <v>201</v>
      </c>
      <c r="I380" s="210">
        <v>14.0</v>
      </c>
      <c r="J380" s="185" t="s">
        <v>1502</v>
      </c>
      <c r="K380" s="185">
        <v>287.0</v>
      </c>
      <c r="L380" s="185" t="s">
        <v>1526</v>
      </c>
      <c r="M380" s="227" t="s">
        <v>1527</v>
      </c>
      <c r="N380" s="1"/>
    </row>
    <row r="381" ht="30.0" hidden="1" customHeight="1">
      <c r="A381" s="1"/>
      <c r="B381" s="232">
        <f t="shared" si="2"/>
        <v>379</v>
      </c>
      <c r="C381" s="181">
        <v>45099.0</v>
      </c>
      <c r="D381" s="182">
        <f t="shared" si="1"/>
        <v>2023</v>
      </c>
      <c r="E381" s="212" t="str">
        <f>hyperlink("https://www.amazon.com/Will-Teach-You-Rich-Second-ebook/dp/B07GNXPP4P/ref=sr_1_1?keywords=i+will+teach+you+to+be+rich+ramit+sethi&amp;qid=1687575850&amp;sprefix=I+wil+te%2Caps%2C208&amp;sr=8-1","I Will Teach You to be Rich: No Guilt. No Excuses. Just a 6-Week Program That Works")</f>
        <v>I Will Teach You to be Rich: No Guilt. No Excuses. Just a 6-Week Program That Works</v>
      </c>
      <c r="F381" s="185" t="s">
        <v>2396</v>
      </c>
      <c r="G381" s="185" t="s">
        <v>2397</v>
      </c>
      <c r="H381" s="185" t="s">
        <v>201</v>
      </c>
      <c r="I381" s="210">
        <v>14.0</v>
      </c>
      <c r="J381" s="185" t="s">
        <v>1496</v>
      </c>
      <c r="K381" s="185">
        <v>353.0</v>
      </c>
      <c r="L381" s="185" t="s">
        <v>1526</v>
      </c>
      <c r="M381" s="227" t="s">
        <v>1527</v>
      </c>
      <c r="N381" s="1"/>
    </row>
    <row r="382" ht="30.0" hidden="1" customHeight="1">
      <c r="A382" s="1"/>
      <c r="B382" s="232">
        <f t="shared" si="2"/>
        <v>380</v>
      </c>
      <c r="C382" s="181">
        <v>45163.0</v>
      </c>
      <c r="D382" s="182">
        <f t="shared" si="1"/>
        <v>2023</v>
      </c>
      <c r="E382" s="212" t="str">
        <f>hyperlink("https://www.amazon.com/Anatomy-Scandal-Novel-Sarah-Vaughan-ebook/dp/B06ZZ1YD8M/ref=sr_1_1?crid=2K30IAVBQ6YTZ&amp;keywords=anatomy+of+a+scandal+by+sarah+vaughan&amp;qid=1693259126&amp;sprefix=anatomy+of+a+scandal%2Caps%2C1419&amp;sr=8-1","Anatomy of a Scandal")</f>
        <v>Anatomy of a Scandal</v>
      </c>
      <c r="F382" s="185" t="s">
        <v>2398</v>
      </c>
      <c r="G382" s="185" t="s">
        <v>2399</v>
      </c>
      <c r="H382" s="185" t="s">
        <v>201</v>
      </c>
      <c r="I382" s="210">
        <v>14.0</v>
      </c>
      <c r="J382" s="185" t="s">
        <v>1509</v>
      </c>
      <c r="K382" s="185">
        <v>399.0</v>
      </c>
      <c r="L382" s="185" t="s">
        <v>1497</v>
      </c>
      <c r="M382" s="211" t="s">
        <v>804</v>
      </c>
      <c r="N382" s="1"/>
    </row>
    <row r="383" ht="30.0" hidden="1" customHeight="1">
      <c r="A383" s="1"/>
      <c r="B383" s="232">
        <f t="shared" si="2"/>
        <v>381</v>
      </c>
      <c r="C383" s="181">
        <v>45190.0</v>
      </c>
      <c r="D383" s="182">
        <f t="shared" si="1"/>
        <v>2023</v>
      </c>
      <c r="E383" s="212" t="str">
        <f>hyperlink("https://www.amazon.com/Elon-Musk-Walter-Isaacson-ebook/dp/B0BW9TRGKV/ref=sr_1_1?crid=1L4SFYCP6J5F1&amp;keywords=elon+musk+walter+isaacson&amp;qid=1695367607&amp;sprefix=elon+m%2Caps%2C149&amp;sr=8-1","Elon Musk")</f>
        <v>Elon Musk</v>
      </c>
      <c r="F383" s="185" t="s">
        <v>1874</v>
      </c>
      <c r="G383" s="185" t="s">
        <v>2400</v>
      </c>
      <c r="H383" s="185" t="s">
        <v>201</v>
      </c>
      <c r="I383" s="210">
        <v>14.0</v>
      </c>
      <c r="J383" s="185" t="s">
        <v>1522</v>
      </c>
      <c r="K383" s="185">
        <v>680.0</v>
      </c>
      <c r="L383" s="185" t="s">
        <v>1526</v>
      </c>
      <c r="M383" s="227" t="s">
        <v>1527</v>
      </c>
      <c r="N383" s="1"/>
    </row>
    <row r="384" ht="30.0" hidden="1" customHeight="1">
      <c r="A384" s="1"/>
      <c r="B384" s="232">
        <f t="shared" si="2"/>
        <v>382</v>
      </c>
      <c r="C384" s="181">
        <v>45215.0</v>
      </c>
      <c r="D384" s="182">
        <f t="shared" si="1"/>
        <v>2023</v>
      </c>
      <c r="E384" s="212" t="str">
        <f>hyperlink("https://a.co/d/3DsR5a5","Die With Zero: Getting All You Can From Your Money and Your Life")</f>
        <v>Die With Zero: Getting All You Can From Your Money and Your Life</v>
      </c>
      <c r="F384" s="185" t="s">
        <v>2401</v>
      </c>
      <c r="G384" s="185" t="s">
        <v>2402</v>
      </c>
      <c r="H384" s="185" t="s">
        <v>201</v>
      </c>
      <c r="I384" s="210">
        <v>14.0</v>
      </c>
      <c r="J384" s="185" t="s">
        <v>1496</v>
      </c>
      <c r="K384" s="185">
        <v>242.0</v>
      </c>
      <c r="L384" s="185" t="s">
        <v>1526</v>
      </c>
      <c r="M384" s="227" t="s">
        <v>1527</v>
      </c>
      <c r="N384" s="1"/>
    </row>
    <row r="385" ht="30.0" hidden="1" customHeight="1">
      <c r="A385" s="1"/>
      <c r="B385" s="232">
        <f t="shared" si="2"/>
        <v>383</v>
      </c>
      <c r="C385" s="181">
        <v>45242.0</v>
      </c>
      <c r="D385" s="182">
        <f t="shared" si="1"/>
        <v>2023</v>
      </c>
      <c r="E385" s="212" t="str">
        <f>hyperlink("https://a.co/d/a4gbQxB","Monetizing Innovation: How Smart Companies Design the Product Around the Price")</f>
        <v>Monetizing Innovation: How Smart Companies Design the Product Around the Price</v>
      </c>
      <c r="F385" s="185" t="s">
        <v>2403</v>
      </c>
      <c r="G385" s="185" t="s">
        <v>2404</v>
      </c>
      <c r="H385" s="185" t="s">
        <v>201</v>
      </c>
      <c r="I385" s="210">
        <v>14.0</v>
      </c>
      <c r="J385" s="185" t="s">
        <v>1522</v>
      </c>
      <c r="K385" s="185">
        <v>245.0</v>
      </c>
      <c r="L385" s="185" t="s">
        <v>1526</v>
      </c>
      <c r="M385" s="227" t="s">
        <v>1527</v>
      </c>
      <c r="N385" s="1"/>
    </row>
    <row r="386" ht="30.0" hidden="1" customHeight="1">
      <c r="A386" s="1"/>
      <c r="B386" s="232">
        <f t="shared" si="2"/>
        <v>384</v>
      </c>
      <c r="C386" s="181">
        <v>45653.0</v>
      </c>
      <c r="D386" s="182">
        <f t="shared" si="1"/>
        <v>2024</v>
      </c>
      <c r="E386" s="212" t="str">
        <f>hyperlink("https://a.co/d/57ahTJG","How Not To Die: Discover the Foods Scientifically Proven to Prevent and Reverse Disease")</f>
        <v>How Not To Die: Discover the Foods Scientifically Proven to Prevent and Reverse Disease</v>
      </c>
      <c r="F386" s="185" t="s">
        <v>2405</v>
      </c>
      <c r="G386" s="185" t="s">
        <v>2406</v>
      </c>
      <c r="H386" s="185" t="s">
        <v>201</v>
      </c>
      <c r="I386" s="210">
        <v>14.0</v>
      </c>
      <c r="J386" s="185" t="s">
        <v>1496</v>
      </c>
      <c r="K386" s="185">
        <v>673.0</v>
      </c>
      <c r="L386" s="185" t="s">
        <v>1526</v>
      </c>
      <c r="M386" s="227" t="s">
        <v>1527</v>
      </c>
      <c r="N386" s="1"/>
    </row>
    <row r="387" ht="30.0" hidden="1" customHeight="1">
      <c r="A387" s="1"/>
      <c r="B387" s="232">
        <f t="shared" si="2"/>
        <v>385</v>
      </c>
      <c r="C387" s="181">
        <v>45289.0</v>
      </c>
      <c r="D387" s="182">
        <f t="shared" si="1"/>
        <v>2023</v>
      </c>
      <c r="E387" s="212" t="str">
        <f>hyperlink("https://a.co/d/67MBYYl","In Defense of Food: An Eater's Manifesto")</f>
        <v>In Defense of Food: An Eater's Manifesto</v>
      </c>
      <c r="F387" s="185" t="s">
        <v>2407</v>
      </c>
      <c r="G387" s="185" t="s">
        <v>2408</v>
      </c>
      <c r="H387" s="185" t="s">
        <v>201</v>
      </c>
      <c r="I387" s="210">
        <v>14.0</v>
      </c>
      <c r="J387" s="185" t="s">
        <v>1496</v>
      </c>
      <c r="K387" s="185">
        <v>256.0</v>
      </c>
      <c r="L387" s="185" t="s">
        <v>1526</v>
      </c>
      <c r="M387" s="227" t="s">
        <v>1527</v>
      </c>
      <c r="N387" s="1"/>
    </row>
    <row r="388" ht="30.0" hidden="1" customHeight="1">
      <c r="A388" s="1"/>
      <c r="B388" s="232">
        <f t="shared" si="2"/>
        <v>386</v>
      </c>
      <c r="C388" s="181">
        <v>45657.0</v>
      </c>
      <c r="D388" s="182">
        <f t="shared" si="1"/>
        <v>2024</v>
      </c>
      <c r="E388" s="212" t="str">
        <f>hyperlink("https://a.co/d/e5weGqn","Storyworthy: Engage, Teach, Persuade, and Change Your Life through the Power of Storytelling")</f>
        <v>Storyworthy: Engage, Teach, Persuade, and Change Your Life through the Power of Storytelling</v>
      </c>
      <c r="F388" s="185" t="s">
        <v>2409</v>
      </c>
      <c r="G388" s="185" t="s">
        <v>2410</v>
      </c>
      <c r="H388" s="185" t="s">
        <v>201</v>
      </c>
      <c r="I388" s="210">
        <v>14.0</v>
      </c>
      <c r="J388" s="185" t="s">
        <v>1522</v>
      </c>
      <c r="K388" s="185">
        <v>368.0</v>
      </c>
      <c r="L388" s="185" t="s">
        <v>1526</v>
      </c>
      <c r="M388" s="227" t="s">
        <v>1527</v>
      </c>
      <c r="N388" s="1"/>
    </row>
    <row r="389" ht="30.0" hidden="1" customHeight="1">
      <c r="A389" s="1"/>
      <c r="B389" s="232">
        <f t="shared" si="2"/>
        <v>387</v>
      </c>
      <c r="C389" s="181">
        <v>45426.0</v>
      </c>
      <c r="D389" s="182">
        <f t="shared" si="1"/>
        <v>2024</v>
      </c>
      <c r="E389" s="212" t="str">
        <f>hyperlink("https://a.co/d/gtvaCUO","High Growth Handbook: Scaling Startups from 10 to 10,000 People")</f>
        <v>High Growth Handbook: Scaling Startups from 10 to 10,000 People</v>
      </c>
      <c r="F389" s="185" t="s">
        <v>2411</v>
      </c>
      <c r="G389" s="185" t="s">
        <v>2412</v>
      </c>
      <c r="H389" s="185" t="s">
        <v>201</v>
      </c>
      <c r="I389" s="210">
        <v>14.0</v>
      </c>
      <c r="J389" s="185" t="s">
        <v>1522</v>
      </c>
      <c r="K389" s="185">
        <v>353.0</v>
      </c>
      <c r="L389" s="185" t="s">
        <v>1526</v>
      </c>
      <c r="M389" s="227" t="s">
        <v>1527</v>
      </c>
      <c r="N389" s="1"/>
    </row>
    <row r="390" ht="30.0" customHeight="1">
      <c r="A390" s="1"/>
      <c r="B390" s="232">
        <f t="shared" si="2"/>
        <v>388</v>
      </c>
      <c r="C390" s="181">
        <v>45662.0</v>
      </c>
      <c r="D390" s="182">
        <f t="shared" si="1"/>
        <v>2025</v>
      </c>
      <c r="E390" s="212" t="str">
        <f>hyperlink("https://a.co/d/94y1bKj","Playing To Win: How Strategy Really Works")</f>
        <v>Playing To Win: How Strategy Really Works</v>
      </c>
      <c r="F390" s="185" t="s">
        <v>2413</v>
      </c>
      <c r="G390" s="185" t="s">
        <v>2414</v>
      </c>
      <c r="H390" s="185" t="s">
        <v>201</v>
      </c>
      <c r="I390" s="210">
        <v>14.0</v>
      </c>
      <c r="J390" s="185" t="s">
        <v>1522</v>
      </c>
      <c r="K390" s="185">
        <v>283.0</v>
      </c>
      <c r="L390" s="185" t="s">
        <v>1526</v>
      </c>
      <c r="M390" s="227" t="s">
        <v>1527</v>
      </c>
      <c r="N390" s="1"/>
    </row>
    <row r="391" ht="30.0" customHeight="1">
      <c r="A391" s="1"/>
      <c r="B391" s="232">
        <f t="shared" si="2"/>
        <v>389</v>
      </c>
      <c r="C391" s="181">
        <v>45879.0</v>
      </c>
      <c r="D391" s="182">
        <f t="shared" si="1"/>
        <v>2025</v>
      </c>
      <c r="E391" s="212" t="str">
        <f>hyperlink("https://a.co/d/1VhhfVP","CBT Workbook for Mental Health: Evidence-Based Exercises to Transform Negative Thoughts and Manage Your Well-Being, The")</f>
        <v>CBT Workbook for Mental Health: Evidence-Based Exercises to Transform Negative Thoughts and Manage Your Well-Being, The</v>
      </c>
      <c r="F391" s="185" t="s">
        <v>2415</v>
      </c>
      <c r="G391" s="185" t="s">
        <v>2416</v>
      </c>
      <c r="H391" s="185" t="s">
        <v>201</v>
      </c>
      <c r="I391" s="210">
        <v>14.0</v>
      </c>
      <c r="J391" s="185" t="s">
        <v>1496</v>
      </c>
      <c r="K391" s="185">
        <v>201.0</v>
      </c>
      <c r="L391" s="185" t="s">
        <v>1526</v>
      </c>
      <c r="M391" s="227" t="s">
        <v>1527</v>
      </c>
      <c r="N391" s="1"/>
    </row>
    <row r="392" ht="30.0" customHeight="1">
      <c r="A392" s="1"/>
      <c r="B392" s="232">
        <f t="shared" si="2"/>
        <v>390</v>
      </c>
      <c r="C392" s="181">
        <v>45901.0</v>
      </c>
      <c r="D392" s="182">
        <f t="shared" si="1"/>
        <v>2025</v>
      </c>
      <c r="E392" s="212" t="str">
        <f>hyperlink("https://a.co/d/2pD7nI9","Train Dreams")</f>
        <v>Train Dreams</v>
      </c>
      <c r="F392" s="185" t="s">
        <v>2417</v>
      </c>
      <c r="G392" s="185" t="s">
        <v>2418</v>
      </c>
      <c r="H392" s="185" t="s">
        <v>201</v>
      </c>
      <c r="I392" s="210">
        <v>14.0</v>
      </c>
      <c r="J392" s="185" t="s">
        <v>1509</v>
      </c>
      <c r="K392" s="185">
        <v>130.0</v>
      </c>
      <c r="L392" s="185" t="s">
        <v>1526</v>
      </c>
      <c r="M392" s="227" t="s">
        <v>1527</v>
      </c>
      <c r="N392" s="1"/>
    </row>
    <row r="393" ht="30.0" customHeight="1">
      <c r="A393" s="1"/>
      <c r="B393" s="232">
        <f t="shared" ref="B393:B396" si="3">B390+1</f>
        <v>389</v>
      </c>
      <c r="C393" s="181">
        <v>45914.0</v>
      </c>
      <c r="D393" s="182">
        <f t="shared" si="1"/>
        <v>2025</v>
      </c>
      <c r="E393" s="212" t="str">
        <f>hyperlink("https://a.co/d/5pEdNij","Crossing to Safety")</f>
        <v>Crossing to Safety</v>
      </c>
      <c r="F393" s="185" t="s">
        <v>2419</v>
      </c>
      <c r="G393" s="185" t="s">
        <v>2420</v>
      </c>
      <c r="H393" s="185" t="s">
        <v>201</v>
      </c>
      <c r="I393" s="210">
        <v>14.0</v>
      </c>
      <c r="J393" s="185" t="s">
        <v>1509</v>
      </c>
      <c r="K393" s="185">
        <v>370.0</v>
      </c>
      <c r="L393" s="185" t="s">
        <v>1526</v>
      </c>
      <c r="M393" s="227" t="s">
        <v>1527</v>
      </c>
      <c r="N393" s="1"/>
    </row>
    <row r="394" ht="30.0" customHeight="1">
      <c r="A394" s="1"/>
      <c r="B394" s="232">
        <f t="shared" si="3"/>
        <v>390</v>
      </c>
      <c r="C394" s="181">
        <v>45928.0</v>
      </c>
      <c r="D394" s="182">
        <f t="shared" si="1"/>
        <v>2025</v>
      </c>
      <c r="E394" s="212" t="str">
        <f>hyperlink("https://a.co/d/ijJcHL9","Olive Kitteridge")</f>
        <v>Olive Kitteridge</v>
      </c>
      <c r="F394" s="185" t="s">
        <v>2421</v>
      </c>
      <c r="G394" s="185" t="s">
        <v>2422</v>
      </c>
      <c r="H394" s="185" t="s">
        <v>201</v>
      </c>
      <c r="I394" s="210">
        <v>14.0</v>
      </c>
      <c r="J394" s="185" t="s">
        <v>1509</v>
      </c>
      <c r="K394" s="185">
        <v>280.0</v>
      </c>
      <c r="L394" s="185" t="s">
        <v>1526</v>
      </c>
      <c r="M394" s="227" t="s">
        <v>1527</v>
      </c>
      <c r="N394" s="1"/>
    </row>
    <row r="395" ht="30.0" customHeight="1">
      <c r="A395" s="1"/>
      <c r="B395" s="232">
        <f t="shared" si="3"/>
        <v>391</v>
      </c>
      <c r="C395" s="181">
        <v>45931.0</v>
      </c>
      <c r="D395" s="182">
        <f t="shared" si="1"/>
        <v>2025</v>
      </c>
      <c r="E395" s="212" t="str">
        <f>hyperlink("https://a.co/d/2uhJeMY","Olive, Again")</f>
        <v>Olive, Again</v>
      </c>
      <c r="F395" s="185" t="s">
        <v>2421</v>
      </c>
      <c r="G395" s="185" t="s">
        <v>2423</v>
      </c>
      <c r="H395" s="185" t="s">
        <v>201</v>
      </c>
      <c r="I395" s="210">
        <v>14.0</v>
      </c>
      <c r="J395" s="185" t="s">
        <v>1509</v>
      </c>
      <c r="K395" s="185">
        <v>306.0</v>
      </c>
      <c r="L395" s="185" t="s">
        <v>1526</v>
      </c>
      <c r="M395" s="227" t="s">
        <v>1527</v>
      </c>
      <c r="N395" s="1"/>
    </row>
    <row r="396" ht="30.0" customHeight="1">
      <c r="A396" s="1"/>
      <c r="B396" s="232">
        <f t="shared" si="3"/>
        <v>390</v>
      </c>
      <c r="C396" s="181">
        <v>45935.0</v>
      </c>
      <c r="D396" s="182">
        <f t="shared" si="1"/>
        <v>2025</v>
      </c>
      <c r="E396" s="212" t="str">
        <f>HYPERLINK("https://a.co/d/9qCgK6f","Buckeye")</f>
        <v>Buckeye</v>
      </c>
      <c r="F396" s="185" t="s">
        <v>2424</v>
      </c>
      <c r="G396" s="185" t="s">
        <v>2425</v>
      </c>
      <c r="H396" s="185" t="s">
        <v>201</v>
      </c>
      <c r="I396" s="210">
        <v>14.0</v>
      </c>
      <c r="J396" s="185" t="s">
        <v>1509</v>
      </c>
      <c r="K396" s="185">
        <v>451.0</v>
      </c>
      <c r="L396" s="185" t="s">
        <v>1526</v>
      </c>
      <c r="M396" s="227" t="s">
        <v>1527</v>
      </c>
      <c r="N396" s="1"/>
    </row>
    <row r="397" ht="30.0" hidden="1" customHeight="1">
      <c r="A397" s="1"/>
      <c r="B397" s="232">
        <f t="shared" ref="B397:B737" si="4">B396+1</f>
        <v>391</v>
      </c>
      <c r="C397" s="181">
        <v>36302.0</v>
      </c>
      <c r="D397" s="182">
        <f t="shared" si="1"/>
        <v>1999</v>
      </c>
      <c r="E397" s="203" t="s">
        <v>2426</v>
      </c>
      <c r="F397" s="184" t="s">
        <v>2427</v>
      </c>
      <c r="G397" s="185" t="s">
        <v>2428</v>
      </c>
      <c r="H397" s="184" t="s">
        <v>422</v>
      </c>
      <c r="I397" s="28">
        <v>13.0</v>
      </c>
      <c r="J397" s="184" t="s">
        <v>1509</v>
      </c>
      <c r="K397" s="218"/>
      <c r="L397" s="184" t="s">
        <v>1497</v>
      </c>
      <c r="M397" s="186" t="s">
        <v>804</v>
      </c>
      <c r="N397" s="1"/>
    </row>
    <row r="398" ht="31.5" hidden="1" customHeight="1">
      <c r="A398" s="1"/>
      <c r="B398" s="232">
        <f t="shared" si="4"/>
        <v>392</v>
      </c>
      <c r="C398" s="181">
        <v>36616.0</v>
      </c>
      <c r="D398" s="182">
        <f t="shared" si="1"/>
        <v>2000</v>
      </c>
      <c r="E398" s="203" t="s">
        <v>2429</v>
      </c>
      <c r="F398" s="184" t="s">
        <v>2430</v>
      </c>
      <c r="G398" s="184" t="s">
        <v>2431</v>
      </c>
      <c r="H398" s="184" t="s">
        <v>422</v>
      </c>
      <c r="I398" s="28">
        <v>13.0</v>
      </c>
      <c r="J398" s="184" t="s">
        <v>1496</v>
      </c>
      <c r="K398" s="218"/>
      <c r="L398" s="184" t="s">
        <v>1497</v>
      </c>
      <c r="M398" s="186" t="s">
        <v>804</v>
      </c>
      <c r="N398" s="1"/>
    </row>
    <row r="399" ht="30.0" hidden="1" customHeight="1">
      <c r="A399" s="1"/>
      <c r="B399" s="232">
        <f t="shared" si="4"/>
        <v>393</v>
      </c>
      <c r="C399" s="181">
        <v>37802.0</v>
      </c>
      <c r="D399" s="182">
        <f t="shared" si="1"/>
        <v>2003</v>
      </c>
      <c r="E399" s="203" t="s">
        <v>2432</v>
      </c>
      <c r="F399" s="184" t="s">
        <v>1543</v>
      </c>
      <c r="G399" s="184" t="s">
        <v>2433</v>
      </c>
      <c r="H399" s="184" t="s">
        <v>422</v>
      </c>
      <c r="I399" s="28">
        <v>13.0</v>
      </c>
      <c r="J399" s="184" t="s">
        <v>1509</v>
      </c>
      <c r="K399" s="218"/>
      <c r="L399" s="184" t="s">
        <v>1497</v>
      </c>
      <c r="M399" s="186" t="s">
        <v>804</v>
      </c>
      <c r="N399" s="1"/>
    </row>
    <row r="400" ht="30.0" hidden="1" customHeight="1">
      <c r="A400" s="1"/>
      <c r="B400" s="232">
        <f t="shared" si="4"/>
        <v>394</v>
      </c>
      <c r="C400" s="181">
        <v>37964.0</v>
      </c>
      <c r="D400" s="182">
        <f t="shared" si="1"/>
        <v>2003</v>
      </c>
      <c r="E400" s="203" t="s">
        <v>2434</v>
      </c>
      <c r="F400" s="184" t="s">
        <v>2435</v>
      </c>
      <c r="G400" s="184" t="s">
        <v>2436</v>
      </c>
      <c r="H400" s="184" t="s">
        <v>422</v>
      </c>
      <c r="I400" s="28">
        <v>13.0</v>
      </c>
      <c r="J400" s="184" t="s">
        <v>1496</v>
      </c>
      <c r="K400" s="218"/>
      <c r="L400" s="184" t="s">
        <v>1497</v>
      </c>
      <c r="M400" s="186" t="s">
        <v>804</v>
      </c>
      <c r="N400" s="1"/>
    </row>
    <row r="401" ht="26.25" hidden="1" customHeight="1">
      <c r="A401" s="1"/>
      <c r="B401" s="232">
        <f t="shared" si="4"/>
        <v>395</v>
      </c>
      <c r="C401" s="181">
        <v>38014.0</v>
      </c>
      <c r="D401" s="182">
        <f t="shared" si="1"/>
        <v>2004</v>
      </c>
      <c r="E401" s="203" t="s">
        <v>2437</v>
      </c>
      <c r="F401" s="184" t="s">
        <v>2438</v>
      </c>
      <c r="G401" s="184" t="s">
        <v>2439</v>
      </c>
      <c r="H401" s="184" t="s">
        <v>422</v>
      </c>
      <c r="I401" s="28">
        <v>13.0</v>
      </c>
      <c r="J401" s="184" t="s">
        <v>1522</v>
      </c>
      <c r="K401" s="218"/>
      <c r="L401" s="184" t="s">
        <v>1497</v>
      </c>
      <c r="M401" s="186" t="s">
        <v>1498</v>
      </c>
      <c r="N401" s="1"/>
    </row>
    <row r="402" ht="30.0" hidden="1" customHeight="1">
      <c r="A402" s="1"/>
      <c r="B402" s="232">
        <f t="shared" si="4"/>
        <v>396</v>
      </c>
      <c r="C402" s="181">
        <v>38066.0</v>
      </c>
      <c r="D402" s="182">
        <f t="shared" si="1"/>
        <v>2004</v>
      </c>
      <c r="E402" s="203" t="s">
        <v>2440</v>
      </c>
      <c r="F402" s="184" t="s">
        <v>2441</v>
      </c>
      <c r="G402" s="184" t="s">
        <v>2442</v>
      </c>
      <c r="H402" s="184" t="s">
        <v>422</v>
      </c>
      <c r="I402" s="28">
        <v>13.0</v>
      </c>
      <c r="J402" s="184" t="s">
        <v>1522</v>
      </c>
      <c r="K402" s="218"/>
      <c r="L402" s="184" t="s">
        <v>1497</v>
      </c>
      <c r="M402" s="186" t="s">
        <v>1527</v>
      </c>
      <c r="N402" s="1"/>
    </row>
    <row r="403" ht="30.0" hidden="1" customHeight="1">
      <c r="A403" s="1"/>
      <c r="B403" s="232">
        <f t="shared" si="4"/>
        <v>397</v>
      </c>
      <c r="C403" s="181">
        <v>38161.0</v>
      </c>
      <c r="D403" s="182">
        <f t="shared" si="1"/>
        <v>2004</v>
      </c>
      <c r="E403" s="203" t="s">
        <v>2443</v>
      </c>
      <c r="F403" s="184" t="s">
        <v>2444</v>
      </c>
      <c r="G403" s="184" t="s">
        <v>2445</v>
      </c>
      <c r="H403" s="184" t="s">
        <v>422</v>
      </c>
      <c r="I403" s="28">
        <v>13.0</v>
      </c>
      <c r="J403" s="184" t="s">
        <v>1522</v>
      </c>
      <c r="K403" s="218"/>
      <c r="L403" s="184" t="s">
        <v>1497</v>
      </c>
      <c r="M403" s="186" t="s">
        <v>1498</v>
      </c>
      <c r="N403" s="1"/>
    </row>
    <row r="404" ht="26.25" hidden="1" customHeight="1">
      <c r="A404" s="1"/>
      <c r="B404" s="232">
        <f t="shared" si="4"/>
        <v>398</v>
      </c>
      <c r="C404" s="181">
        <v>38208.0</v>
      </c>
      <c r="D404" s="182">
        <f t="shared" si="1"/>
        <v>2004</v>
      </c>
      <c r="E404" s="203" t="s">
        <v>2446</v>
      </c>
      <c r="F404" s="184" t="s">
        <v>2447</v>
      </c>
      <c r="G404" s="184" t="s">
        <v>2448</v>
      </c>
      <c r="H404" s="184" t="s">
        <v>422</v>
      </c>
      <c r="I404" s="28">
        <v>13.0</v>
      </c>
      <c r="J404" s="184" t="s">
        <v>1509</v>
      </c>
      <c r="K404" s="218"/>
      <c r="L404" s="184" t="s">
        <v>1497</v>
      </c>
      <c r="M404" s="186" t="s">
        <v>804</v>
      </c>
      <c r="N404" s="1"/>
    </row>
    <row r="405" ht="21.75" hidden="1" customHeight="1">
      <c r="A405" s="1"/>
      <c r="B405" s="232">
        <f t="shared" si="4"/>
        <v>399</v>
      </c>
      <c r="C405" s="181">
        <v>38481.0</v>
      </c>
      <c r="D405" s="182">
        <f t="shared" si="1"/>
        <v>2005</v>
      </c>
      <c r="E405" s="203" t="s">
        <v>2449</v>
      </c>
      <c r="F405" s="184" t="s">
        <v>2450</v>
      </c>
      <c r="G405" s="184" t="s">
        <v>2451</v>
      </c>
      <c r="H405" s="184" t="s">
        <v>422</v>
      </c>
      <c r="I405" s="28">
        <v>13.0</v>
      </c>
      <c r="J405" s="184" t="s">
        <v>1522</v>
      </c>
      <c r="K405" s="218"/>
      <c r="L405" s="184" t="s">
        <v>1497</v>
      </c>
      <c r="M405" s="186" t="s">
        <v>1498</v>
      </c>
      <c r="N405" s="1"/>
    </row>
    <row r="406" ht="27.0" hidden="1" customHeight="1">
      <c r="A406" s="1"/>
      <c r="B406" s="232">
        <f t="shared" si="4"/>
        <v>400</v>
      </c>
      <c r="C406" s="181">
        <v>38808.0</v>
      </c>
      <c r="D406" s="182">
        <f t="shared" si="1"/>
        <v>2006</v>
      </c>
      <c r="E406" s="203" t="s">
        <v>2452</v>
      </c>
      <c r="F406" s="184" t="s">
        <v>2453</v>
      </c>
      <c r="G406" s="184" t="s">
        <v>2454</v>
      </c>
      <c r="H406" s="184" t="s">
        <v>422</v>
      </c>
      <c r="I406" s="28">
        <v>13.0</v>
      </c>
      <c r="J406" s="184" t="s">
        <v>1522</v>
      </c>
      <c r="K406" s="218"/>
      <c r="L406" s="184" t="s">
        <v>1497</v>
      </c>
      <c r="M406" s="186" t="s">
        <v>1498</v>
      </c>
      <c r="N406" s="1"/>
    </row>
    <row r="407" ht="39.0" hidden="1" customHeight="1">
      <c r="A407" s="1"/>
      <c r="B407" s="232">
        <f t="shared" si="4"/>
        <v>401</v>
      </c>
      <c r="C407" s="181">
        <v>39090.0</v>
      </c>
      <c r="D407" s="182">
        <f t="shared" si="1"/>
        <v>2007</v>
      </c>
      <c r="E407" s="203" t="s">
        <v>2455</v>
      </c>
      <c r="F407" s="184" t="s">
        <v>2456</v>
      </c>
      <c r="G407" s="184" t="s">
        <v>2457</v>
      </c>
      <c r="H407" s="184" t="s">
        <v>422</v>
      </c>
      <c r="I407" s="28">
        <v>13.0</v>
      </c>
      <c r="J407" s="184" t="s">
        <v>1522</v>
      </c>
      <c r="K407" s="218"/>
      <c r="L407" s="184" t="s">
        <v>1497</v>
      </c>
      <c r="M407" s="186" t="s">
        <v>1498</v>
      </c>
      <c r="N407" s="1"/>
    </row>
    <row r="408" ht="30.0" hidden="1" customHeight="1">
      <c r="A408" s="1"/>
      <c r="B408" s="232">
        <f t="shared" si="4"/>
        <v>402</v>
      </c>
      <c r="C408" s="181">
        <v>39107.0</v>
      </c>
      <c r="D408" s="182">
        <f t="shared" si="1"/>
        <v>2007</v>
      </c>
      <c r="E408" s="203" t="s">
        <v>2458</v>
      </c>
      <c r="F408" s="184" t="s">
        <v>1494</v>
      </c>
      <c r="G408" s="184" t="s">
        <v>2459</v>
      </c>
      <c r="H408" s="184" t="s">
        <v>422</v>
      </c>
      <c r="I408" s="28">
        <v>13.0</v>
      </c>
      <c r="J408" s="184" t="s">
        <v>1509</v>
      </c>
      <c r="K408" s="218"/>
      <c r="L408" s="184" t="s">
        <v>1497</v>
      </c>
      <c r="M408" s="186" t="s">
        <v>804</v>
      </c>
      <c r="N408" s="1"/>
    </row>
    <row r="409" ht="51.75" hidden="1" customHeight="1">
      <c r="A409" s="1"/>
      <c r="B409" s="232">
        <f t="shared" si="4"/>
        <v>403</v>
      </c>
      <c r="C409" s="181">
        <v>39228.0</v>
      </c>
      <c r="D409" s="182">
        <f t="shared" si="1"/>
        <v>2007</v>
      </c>
      <c r="E409" s="203" t="s">
        <v>2460</v>
      </c>
      <c r="F409" s="184" t="s">
        <v>1494</v>
      </c>
      <c r="G409" s="184" t="s">
        <v>2461</v>
      </c>
      <c r="H409" s="184" t="s">
        <v>422</v>
      </c>
      <c r="I409" s="28">
        <v>13.0</v>
      </c>
      <c r="J409" s="184" t="s">
        <v>1496</v>
      </c>
      <c r="K409" s="218"/>
      <c r="L409" s="184" t="s">
        <v>1497</v>
      </c>
      <c r="M409" s="186" t="s">
        <v>1527</v>
      </c>
      <c r="N409" s="1"/>
    </row>
    <row r="410" ht="26.25" hidden="1" customHeight="1">
      <c r="A410" s="1"/>
      <c r="B410" s="232">
        <f t="shared" si="4"/>
        <v>404</v>
      </c>
      <c r="C410" s="181">
        <v>39285.0</v>
      </c>
      <c r="D410" s="182">
        <f t="shared" si="1"/>
        <v>2007</v>
      </c>
      <c r="E410" s="203" t="s">
        <v>2462</v>
      </c>
      <c r="F410" s="184" t="s">
        <v>1543</v>
      </c>
      <c r="G410" s="184" t="s">
        <v>2463</v>
      </c>
      <c r="H410" s="184" t="s">
        <v>422</v>
      </c>
      <c r="I410" s="28">
        <v>13.0</v>
      </c>
      <c r="J410" s="184" t="s">
        <v>1509</v>
      </c>
      <c r="K410" s="218"/>
      <c r="L410" s="184" t="s">
        <v>1497</v>
      </c>
      <c r="M410" s="186" t="s">
        <v>804</v>
      </c>
      <c r="N410" s="1"/>
    </row>
    <row r="411" ht="35.25" hidden="1" customHeight="1">
      <c r="A411" s="1"/>
      <c r="B411" s="232">
        <f t="shared" si="4"/>
        <v>405</v>
      </c>
      <c r="C411" s="181">
        <v>39303.0</v>
      </c>
      <c r="D411" s="182">
        <f t="shared" si="1"/>
        <v>2007</v>
      </c>
      <c r="E411" s="203" t="s">
        <v>2464</v>
      </c>
      <c r="F411" s="184" t="s">
        <v>2465</v>
      </c>
      <c r="G411" s="184" t="s">
        <v>2466</v>
      </c>
      <c r="H411" s="184" t="s">
        <v>422</v>
      </c>
      <c r="I411" s="28">
        <v>13.0</v>
      </c>
      <c r="J411" s="184" t="s">
        <v>1509</v>
      </c>
      <c r="K411" s="218"/>
      <c r="L411" s="184" t="s">
        <v>1497</v>
      </c>
      <c r="M411" s="186" t="s">
        <v>804</v>
      </c>
      <c r="N411" s="1"/>
    </row>
    <row r="412" ht="26.25" hidden="1" customHeight="1">
      <c r="A412" s="1"/>
      <c r="B412" s="232">
        <f t="shared" si="4"/>
        <v>406</v>
      </c>
      <c r="C412" s="181">
        <v>39351.0</v>
      </c>
      <c r="D412" s="182">
        <f t="shared" si="1"/>
        <v>2007</v>
      </c>
      <c r="E412" s="203" t="s">
        <v>2467</v>
      </c>
      <c r="F412" s="184" t="s">
        <v>2468</v>
      </c>
      <c r="G412" s="184" t="s">
        <v>2469</v>
      </c>
      <c r="H412" s="184" t="s">
        <v>422</v>
      </c>
      <c r="I412" s="28">
        <v>13.0</v>
      </c>
      <c r="J412" s="184" t="s">
        <v>1509</v>
      </c>
      <c r="K412" s="218"/>
      <c r="L412" s="184" t="s">
        <v>1497</v>
      </c>
      <c r="M412" s="186" t="s">
        <v>804</v>
      </c>
      <c r="N412" s="1"/>
    </row>
    <row r="413" ht="39.0" hidden="1" customHeight="1">
      <c r="A413" s="1"/>
      <c r="B413" s="232">
        <f t="shared" si="4"/>
        <v>407</v>
      </c>
      <c r="C413" s="181">
        <v>39421.0</v>
      </c>
      <c r="D413" s="182">
        <f t="shared" si="1"/>
        <v>2007</v>
      </c>
      <c r="E413" s="203" t="s">
        <v>2470</v>
      </c>
      <c r="F413" s="184" t="s">
        <v>2471</v>
      </c>
      <c r="G413" s="184" t="s">
        <v>2472</v>
      </c>
      <c r="H413" s="184" t="s">
        <v>422</v>
      </c>
      <c r="I413" s="28">
        <v>13.0</v>
      </c>
      <c r="J413" s="184" t="s">
        <v>1496</v>
      </c>
      <c r="K413" s="218"/>
      <c r="L413" s="184" t="s">
        <v>1497</v>
      </c>
      <c r="M413" s="186" t="s">
        <v>1498</v>
      </c>
      <c r="N413" s="1"/>
    </row>
    <row r="414" ht="39.0" hidden="1" customHeight="1">
      <c r="A414" s="1"/>
      <c r="B414" s="232">
        <f t="shared" si="4"/>
        <v>408</v>
      </c>
      <c r="C414" s="181">
        <v>39480.0</v>
      </c>
      <c r="D414" s="182">
        <f t="shared" si="1"/>
        <v>2008</v>
      </c>
      <c r="E414" s="203" t="s">
        <v>2473</v>
      </c>
      <c r="F414" s="184" t="s">
        <v>2474</v>
      </c>
      <c r="G414" s="184" t="s">
        <v>2475</v>
      </c>
      <c r="H414" s="184" t="s">
        <v>422</v>
      </c>
      <c r="I414" s="28">
        <v>13.0</v>
      </c>
      <c r="J414" s="184" t="s">
        <v>1496</v>
      </c>
      <c r="K414" s="184">
        <v>207.0</v>
      </c>
      <c r="L414" s="184" t="s">
        <v>1497</v>
      </c>
      <c r="M414" s="186" t="s">
        <v>1498</v>
      </c>
      <c r="N414" s="1"/>
    </row>
    <row r="415" ht="39.0" hidden="1" customHeight="1">
      <c r="A415" s="1"/>
      <c r="B415" s="232">
        <f t="shared" si="4"/>
        <v>409</v>
      </c>
      <c r="C415" s="181">
        <v>39608.0</v>
      </c>
      <c r="D415" s="182">
        <f t="shared" si="1"/>
        <v>2008</v>
      </c>
      <c r="E415" s="203" t="s">
        <v>2476</v>
      </c>
      <c r="F415" s="184" t="s">
        <v>2477</v>
      </c>
      <c r="G415" s="184" t="s">
        <v>2478</v>
      </c>
      <c r="H415" s="184" t="s">
        <v>422</v>
      </c>
      <c r="I415" s="28">
        <v>13.0</v>
      </c>
      <c r="J415" s="184" t="s">
        <v>1509</v>
      </c>
      <c r="K415" s="184">
        <v>304.0</v>
      </c>
      <c r="L415" s="184" t="s">
        <v>1526</v>
      </c>
      <c r="M415" s="186" t="s">
        <v>804</v>
      </c>
      <c r="N415" s="1"/>
    </row>
    <row r="416" ht="39.0" hidden="1" customHeight="1">
      <c r="A416" s="1"/>
      <c r="B416" s="232">
        <f t="shared" si="4"/>
        <v>410</v>
      </c>
      <c r="C416" s="181">
        <v>39618.0</v>
      </c>
      <c r="D416" s="182">
        <f t="shared" si="1"/>
        <v>2008</v>
      </c>
      <c r="E416" s="203" t="s">
        <v>2479</v>
      </c>
      <c r="F416" s="184" t="s">
        <v>2480</v>
      </c>
      <c r="G416" s="184" t="s">
        <v>2481</v>
      </c>
      <c r="H416" s="184" t="s">
        <v>422</v>
      </c>
      <c r="I416" s="28">
        <v>13.0</v>
      </c>
      <c r="J416" s="184" t="s">
        <v>1496</v>
      </c>
      <c r="K416" s="184">
        <v>304.0</v>
      </c>
      <c r="L416" s="184" t="s">
        <v>1526</v>
      </c>
      <c r="M416" s="186" t="s">
        <v>1498</v>
      </c>
      <c r="N416" s="1"/>
    </row>
    <row r="417" ht="39.0" hidden="1" customHeight="1">
      <c r="A417" s="1"/>
      <c r="B417" s="232">
        <f t="shared" si="4"/>
        <v>411</v>
      </c>
      <c r="C417" s="181">
        <v>38232.0</v>
      </c>
      <c r="D417" s="182">
        <f t="shared" si="1"/>
        <v>2004</v>
      </c>
      <c r="E417" s="203" t="s">
        <v>2482</v>
      </c>
      <c r="F417" s="184" t="s">
        <v>2483</v>
      </c>
      <c r="G417" s="184" t="s">
        <v>2484</v>
      </c>
      <c r="H417" s="184" t="s">
        <v>422</v>
      </c>
      <c r="I417" s="28">
        <v>13.0</v>
      </c>
      <c r="J417" s="185" t="s">
        <v>1657</v>
      </c>
      <c r="K417" s="184">
        <v>302.0</v>
      </c>
      <c r="L417" s="184" t="s">
        <v>1526</v>
      </c>
      <c r="M417" s="186" t="s">
        <v>1498</v>
      </c>
      <c r="N417" s="1"/>
    </row>
    <row r="418" ht="39.0" hidden="1" customHeight="1">
      <c r="A418" s="1"/>
      <c r="B418" s="232">
        <f t="shared" si="4"/>
        <v>412</v>
      </c>
      <c r="C418" s="181">
        <v>39702.0</v>
      </c>
      <c r="D418" s="182">
        <f t="shared" si="1"/>
        <v>2008</v>
      </c>
      <c r="E418" s="203" t="s">
        <v>2485</v>
      </c>
      <c r="F418" s="184" t="s">
        <v>2486</v>
      </c>
      <c r="G418" s="184" t="s">
        <v>2487</v>
      </c>
      <c r="H418" s="184" t="s">
        <v>422</v>
      </c>
      <c r="I418" s="28">
        <v>13.0</v>
      </c>
      <c r="J418" s="184" t="s">
        <v>1509</v>
      </c>
      <c r="K418" s="184" t="s">
        <v>1847</v>
      </c>
      <c r="L418" s="184" t="s">
        <v>1497</v>
      </c>
      <c r="M418" s="186" t="s">
        <v>804</v>
      </c>
      <c r="N418" s="1"/>
    </row>
    <row r="419" ht="39.0" hidden="1" customHeight="1">
      <c r="A419" s="1"/>
      <c r="B419" s="232">
        <f t="shared" si="4"/>
        <v>413</v>
      </c>
      <c r="C419" s="181">
        <v>39886.0</v>
      </c>
      <c r="D419" s="182">
        <f t="shared" si="1"/>
        <v>2009</v>
      </c>
      <c r="E419" s="203" t="s">
        <v>2488</v>
      </c>
      <c r="F419" s="184" t="s">
        <v>2489</v>
      </c>
      <c r="G419" s="184" t="s">
        <v>2490</v>
      </c>
      <c r="H419" s="184" t="s">
        <v>422</v>
      </c>
      <c r="I419" s="28">
        <v>13.0</v>
      </c>
      <c r="J419" s="184" t="s">
        <v>1522</v>
      </c>
      <c r="K419" s="184">
        <v>154.0</v>
      </c>
      <c r="L419" s="184" t="s">
        <v>1497</v>
      </c>
      <c r="M419" s="186" t="s">
        <v>1498</v>
      </c>
      <c r="N419" s="1"/>
    </row>
    <row r="420" ht="39.0" hidden="1" customHeight="1">
      <c r="A420" s="1"/>
      <c r="B420" s="232">
        <f t="shared" si="4"/>
        <v>414</v>
      </c>
      <c r="C420" s="181">
        <v>39944.0</v>
      </c>
      <c r="D420" s="182">
        <f t="shared" si="1"/>
        <v>2009</v>
      </c>
      <c r="E420" s="203" t="s">
        <v>2491</v>
      </c>
      <c r="F420" s="184" t="s">
        <v>2492</v>
      </c>
      <c r="G420" s="184" t="s">
        <v>2493</v>
      </c>
      <c r="H420" s="184" t="s">
        <v>422</v>
      </c>
      <c r="I420" s="28">
        <v>13.0</v>
      </c>
      <c r="J420" s="184" t="s">
        <v>1496</v>
      </c>
      <c r="K420" s="184">
        <v>304.0</v>
      </c>
      <c r="L420" s="184" t="s">
        <v>1497</v>
      </c>
      <c r="M420" s="186" t="s">
        <v>1498</v>
      </c>
      <c r="N420" s="1"/>
    </row>
    <row r="421" ht="39.0" hidden="1" customHeight="1">
      <c r="A421" s="1"/>
      <c r="B421" s="232">
        <f t="shared" si="4"/>
        <v>415</v>
      </c>
      <c r="C421" s="181">
        <v>40063.0</v>
      </c>
      <c r="D421" s="182">
        <f t="shared" si="1"/>
        <v>2009</v>
      </c>
      <c r="E421" s="203" t="s">
        <v>2494</v>
      </c>
      <c r="F421" s="184" t="s">
        <v>2495</v>
      </c>
      <c r="G421" s="184" t="s">
        <v>2496</v>
      </c>
      <c r="H421" s="184" t="s">
        <v>422</v>
      </c>
      <c r="I421" s="28">
        <v>13.0</v>
      </c>
      <c r="J421" s="184" t="s">
        <v>1522</v>
      </c>
      <c r="K421" s="184">
        <v>304.0</v>
      </c>
      <c r="L421" s="184" t="s">
        <v>1526</v>
      </c>
      <c r="M421" s="186" t="s">
        <v>1498</v>
      </c>
      <c r="N421" s="1"/>
    </row>
    <row r="422" ht="29.25" hidden="1" customHeight="1">
      <c r="A422" s="1"/>
      <c r="B422" s="232">
        <f t="shared" si="4"/>
        <v>416</v>
      </c>
      <c r="C422" s="181">
        <v>40471.0</v>
      </c>
      <c r="D422" s="182">
        <f t="shared" si="1"/>
        <v>2010</v>
      </c>
      <c r="E422" s="203" t="s">
        <v>2497</v>
      </c>
      <c r="F422" s="184" t="s">
        <v>1767</v>
      </c>
      <c r="G422" s="184" t="s">
        <v>2498</v>
      </c>
      <c r="H422" s="184" t="s">
        <v>422</v>
      </c>
      <c r="I422" s="28">
        <v>13.0</v>
      </c>
      <c r="J422" s="184" t="s">
        <v>1496</v>
      </c>
      <c r="K422" s="184">
        <v>190.0</v>
      </c>
      <c r="L422" s="184" t="s">
        <v>1526</v>
      </c>
      <c r="M422" s="186" t="s">
        <v>1498</v>
      </c>
      <c r="N422" s="1"/>
    </row>
    <row r="423" ht="29.25" hidden="1" customHeight="1">
      <c r="A423" s="1"/>
      <c r="B423" s="232">
        <f t="shared" si="4"/>
        <v>417</v>
      </c>
      <c r="C423" s="181">
        <v>40826.0</v>
      </c>
      <c r="D423" s="182">
        <f t="shared" si="1"/>
        <v>2011</v>
      </c>
      <c r="E423" s="203" t="s">
        <v>2499</v>
      </c>
      <c r="F423" s="184" t="s">
        <v>2500</v>
      </c>
      <c r="G423" s="184" t="s">
        <v>2501</v>
      </c>
      <c r="H423" s="184" t="s">
        <v>422</v>
      </c>
      <c r="I423" s="28">
        <v>13.0</v>
      </c>
      <c r="J423" s="184" t="s">
        <v>1522</v>
      </c>
      <c r="K423" s="184">
        <v>288.0</v>
      </c>
      <c r="L423" s="184" t="s">
        <v>1526</v>
      </c>
      <c r="M423" s="186" t="s">
        <v>1498</v>
      </c>
      <c r="N423" s="1"/>
    </row>
    <row r="424" ht="29.25" hidden="1" customHeight="1">
      <c r="A424" s="1"/>
      <c r="B424" s="232">
        <f t="shared" si="4"/>
        <v>418</v>
      </c>
      <c r="C424" s="181">
        <v>40836.0</v>
      </c>
      <c r="D424" s="182">
        <f t="shared" si="1"/>
        <v>2011</v>
      </c>
      <c r="E424" s="203" t="s">
        <v>2502</v>
      </c>
      <c r="F424" s="184" t="s">
        <v>2503</v>
      </c>
      <c r="G424" s="184" t="s">
        <v>2504</v>
      </c>
      <c r="H424" s="184" t="s">
        <v>422</v>
      </c>
      <c r="I424" s="28">
        <v>13.0</v>
      </c>
      <c r="J424" s="184" t="s">
        <v>1522</v>
      </c>
      <c r="K424" s="184">
        <v>256.0</v>
      </c>
      <c r="L424" s="184" t="s">
        <v>1526</v>
      </c>
      <c r="M424" s="186" t="s">
        <v>1498</v>
      </c>
      <c r="N424" s="1"/>
    </row>
    <row r="425" ht="29.25" hidden="1" customHeight="1">
      <c r="A425" s="1"/>
      <c r="B425" s="232">
        <f t="shared" si="4"/>
        <v>419</v>
      </c>
      <c r="C425" s="181">
        <v>40131.0</v>
      </c>
      <c r="D425" s="182">
        <f t="shared" si="1"/>
        <v>2009</v>
      </c>
      <c r="E425" s="203" t="s">
        <v>2505</v>
      </c>
      <c r="F425" s="184" t="s">
        <v>2506</v>
      </c>
      <c r="G425" s="184" t="s">
        <v>2507</v>
      </c>
      <c r="H425" s="184" t="s">
        <v>422</v>
      </c>
      <c r="I425" s="28">
        <v>13.0</v>
      </c>
      <c r="J425" s="184" t="s">
        <v>1502</v>
      </c>
      <c r="K425" s="184">
        <v>352.0</v>
      </c>
      <c r="L425" s="184" t="s">
        <v>1497</v>
      </c>
      <c r="M425" s="186" t="s">
        <v>1498</v>
      </c>
      <c r="N425" s="1"/>
    </row>
    <row r="426" ht="21.75" hidden="1" customHeight="1">
      <c r="A426" s="1"/>
      <c r="B426" s="232">
        <f t="shared" si="4"/>
        <v>420</v>
      </c>
      <c r="C426" s="181">
        <v>40527.0</v>
      </c>
      <c r="D426" s="182">
        <f t="shared" si="1"/>
        <v>2010</v>
      </c>
      <c r="E426" s="203" t="s">
        <v>2508</v>
      </c>
      <c r="F426" s="184" t="s">
        <v>2509</v>
      </c>
      <c r="G426" s="184" t="s">
        <v>2510</v>
      </c>
      <c r="H426" s="184" t="s">
        <v>422</v>
      </c>
      <c r="I426" s="28">
        <v>13.0</v>
      </c>
      <c r="J426" s="184" t="s">
        <v>1502</v>
      </c>
      <c r="K426" s="184">
        <v>752.0</v>
      </c>
      <c r="L426" s="184" t="s">
        <v>1526</v>
      </c>
      <c r="M426" s="186" t="s">
        <v>1498</v>
      </c>
      <c r="N426" s="1"/>
    </row>
    <row r="427" ht="21.75" hidden="1" customHeight="1">
      <c r="A427" s="1"/>
      <c r="B427" s="232">
        <f t="shared" si="4"/>
        <v>421</v>
      </c>
      <c r="C427" s="181">
        <v>40744.0</v>
      </c>
      <c r="D427" s="182">
        <f t="shared" si="1"/>
        <v>2011</v>
      </c>
      <c r="E427" s="203" t="s">
        <v>2511</v>
      </c>
      <c r="F427" s="184" t="s">
        <v>1849</v>
      </c>
      <c r="G427" s="184" t="s">
        <v>2512</v>
      </c>
      <c r="H427" s="184" t="s">
        <v>422</v>
      </c>
      <c r="I427" s="28">
        <v>13.0</v>
      </c>
      <c r="J427" s="184" t="s">
        <v>1502</v>
      </c>
      <c r="K427" s="184">
        <v>832.0</v>
      </c>
      <c r="L427" s="184" t="s">
        <v>1526</v>
      </c>
      <c r="M427" s="186" t="s">
        <v>1498</v>
      </c>
      <c r="N427" s="1"/>
    </row>
    <row r="428" ht="21.75" hidden="1" customHeight="1">
      <c r="A428" s="1"/>
      <c r="B428" s="232">
        <f t="shared" si="4"/>
        <v>422</v>
      </c>
      <c r="C428" s="181">
        <v>40811.0</v>
      </c>
      <c r="D428" s="182">
        <f t="shared" si="1"/>
        <v>2011</v>
      </c>
      <c r="E428" s="203" t="s">
        <v>2513</v>
      </c>
      <c r="F428" s="184" t="s">
        <v>2514</v>
      </c>
      <c r="G428" s="184" t="s">
        <v>2515</v>
      </c>
      <c r="H428" s="184" t="s">
        <v>422</v>
      </c>
      <c r="I428" s="28">
        <v>13.0</v>
      </c>
      <c r="J428" s="184" t="s">
        <v>1502</v>
      </c>
      <c r="K428" s="184">
        <v>288.0</v>
      </c>
      <c r="L428" s="184" t="s">
        <v>1526</v>
      </c>
      <c r="M428" s="186" t="s">
        <v>1498</v>
      </c>
      <c r="N428" s="1"/>
    </row>
    <row r="429" ht="21.75" hidden="1" customHeight="1">
      <c r="A429" s="1"/>
      <c r="B429" s="232">
        <f t="shared" si="4"/>
        <v>423</v>
      </c>
      <c r="C429" s="181">
        <v>40937.0</v>
      </c>
      <c r="D429" s="182">
        <f t="shared" si="1"/>
        <v>2012</v>
      </c>
      <c r="E429" s="203" t="s">
        <v>2516</v>
      </c>
      <c r="F429" s="184" t="s">
        <v>2517</v>
      </c>
      <c r="G429" s="184" t="s">
        <v>2518</v>
      </c>
      <c r="H429" s="184" t="s">
        <v>422</v>
      </c>
      <c r="I429" s="28">
        <v>13.0</v>
      </c>
      <c r="J429" s="184" t="s">
        <v>1522</v>
      </c>
      <c r="K429" s="184">
        <v>240.0</v>
      </c>
      <c r="L429" s="184" t="s">
        <v>1526</v>
      </c>
      <c r="M429" s="186" t="s">
        <v>1498</v>
      </c>
      <c r="N429" s="1"/>
    </row>
    <row r="430" ht="21.75" hidden="1" customHeight="1">
      <c r="A430" s="1"/>
      <c r="B430" s="232">
        <f t="shared" si="4"/>
        <v>424</v>
      </c>
      <c r="C430" s="181">
        <v>41223.0</v>
      </c>
      <c r="D430" s="182">
        <f t="shared" si="1"/>
        <v>2012</v>
      </c>
      <c r="E430" s="203" t="s">
        <v>2519</v>
      </c>
      <c r="F430" s="184" t="s">
        <v>2520</v>
      </c>
      <c r="G430" s="184" t="s">
        <v>2521</v>
      </c>
      <c r="H430" s="184" t="s">
        <v>422</v>
      </c>
      <c r="I430" s="28">
        <v>13.0</v>
      </c>
      <c r="J430" s="184" t="s">
        <v>1509</v>
      </c>
      <c r="K430" s="184">
        <v>384.0</v>
      </c>
      <c r="L430" s="184" t="s">
        <v>1526</v>
      </c>
      <c r="M430" s="186" t="s">
        <v>1527</v>
      </c>
      <c r="N430" s="1"/>
    </row>
    <row r="431" ht="21.75" hidden="1" customHeight="1">
      <c r="A431" s="1"/>
      <c r="B431" s="232">
        <f t="shared" si="4"/>
        <v>425</v>
      </c>
      <c r="C431" s="181">
        <v>41399.0</v>
      </c>
      <c r="D431" s="182">
        <f t="shared" si="1"/>
        <v>2013</v>
      </c>
      <c r="E431" s="203" t="s">
        <v>2522</v>
      </c>
      <c r="F431" s="184" t="s">
        <v>2523</v>
      </c>
      <c r="G431" s="184" t="s">
        <v>2524</v>
      </c>
      <c r="H431" s="184" t="s">
        <v>422</v>
      </c>
      <c r="I431" s="28">
        <v>13.0</v>
      </c>
      <c r="J431" s="184" t="s">
        <v>1522</v>
      </c>
      <c r="K431" s="184">
        <v>224.0</v>
      </c>
      <c r="L431" s="184" t="s">
        <v>1526</v>
      </c>
      <c r="M431" s="186" t="s">
        <v>1527</v>
      </c>
      <c r="N431" s="1"/>
    </row>
    <row r="432" ht="21.75" hidden="1" customHeight="1">
      <c r="A432" s="1"/>
      <c r="B432" s="232">
        <f t="shared" si="4"/>
        <v>426</v>
      </c>
      <c r="C432" s="181">
        <v>41531.0</v>
      </c>
      <c r="D432" s="182">
        <f t="shared" si="1"/>
        <v>2013</v>
      </c>
      <c r="E432" s="203" t="s">
        <v>2525</v>
      </c>
      <c r="F432" s="184" t="s">
        <v>1650</v>
      </c>
      <c r="G432" s="184" t="s">
        <v>2526</v>
      </c>
      <c r="H432" s="184" t="s">
        <v>422</v>
      </c>
      <c r="I432" s="28">
        <v>13.0</v>
      </c>
      <c r="J432" s="184" t="s">
        <v>1509</v>
      </c>
      <c r="K432" s="184">
        <v>288.0</v>
      </c>
      <c r="L432" s="184" t="s">
        <v>1526</v>
      </c>
      <c r="M432" s="186" t="s">
        <v>1527</v>
      </c>
      <c r="N432" s="1"/>
    </row>
    <row r="433" ht="21.75" hidden="1" customHeight="1">
      <c r="A433" s="1"/>
      <c r="B433" s="232">
        <f t="shared" si="4"/>
        <v>427</v>
      </c>
      <c r="C433" s="181">
        <v>41552.0</v>
      </c>
      <c r="D433" s="182">
        <f t="shared" si="1"/>
        <v>2013</v>
      </c>
      <c r="E433" s="203" t="s">
        <v>2527</v>
      </c>
      <c r="F433" s="184" t="s">
        <v>2528</v>
      </c>
      <c r="G433" s="185" t="s">
        <v>2529</v>
      </c>
      <c r="H433" s="184" t="s">
        <v>422</v>
      </c>
      <c r="I433" s="28">
        <v>13.0</v>
      </c>
      <c r="J433" s="184" t="s">
        <v>1522</v>
      </c>
      <c r="K433" s="184">
        <v>143.0</v>
      </c>
      <c r="L433" s="184" t="s">
        <v>1526</v>
      </c>
      <c r="M433" s="186" t="s">
        <v>1527</v>
      </c>
      <c r="N433" s="1"/>
    </row>
    <row r="434" ht="21.75" hidden="1" customHeight="1">
      <c r="A434" s="1"/>
      <c r="B434" s="232">
        <f t="shared" si="4"/>
        <v>428</v>
      </c>
      <c r="C434" s="181">
        <v>41631.0</v>
      </c>
      <c r="D434" s="182">
        <f t="shared" si="1"/>
        <v>2013</v>
      </c>
      <c r="E434" s="212" t="str">
        <f>hyperlink("http://www.amazon.com/Everything-Store-Jeff-Bezos-Amazon-ebook/dp/B00BWQW73E/ref=sr_1_1?s=digital-text&amp;ie=UTF8&amp;qid=1388902243&amp;sr=1-1&amp;keywords=the+everything+store","The Everything Store: Jeff Bezos and the Age of Amazon")</f>
        <v>The Everything Store: Jeff Bezos and the Age of Amazon</v>
      </c>
      <c r="F434" s="184" t="s">
        <v>2530</v>
      </c>
      <c r="G434" s="184" t="s">
        <v>2531</v>
      </c>
      <c r="H434" s="184" t="s">
        <v>422</v>
      </c>
      <c r="I434" s="28">
        <v>13.0</v>
      </c>
      <c r="J434" s="184" t="s">
        <v>1522</v>
      </c>
      <c r="K434" s="184">
        <v>353.0</v>
      </c>
      <c r="L434" s="184" t="s">
        <v>1526</v>
      </c>
      <c r="M434" s="186" t="s">
        <v>1527</v>
      </c>
      <c r="N434" s="1"/>
    </row>
    <row r="435" ht="21.75" hidden="1" customHeight="1">
      <c r="A435" s="1"/>
      <c r="B435" s="232">
        <f t="shared" si="4"/>
        <v>429</v>
      </c>
      <c r="C435" s="181">
        <v>41660.0</v>
      </c>
      <c r="D435" s="182">
        <f t="shared" si="1"/>
        <v>2014</v>
      </c>
      <c r="E435" s="212" t="str">
        <f>hyperlink("https://www.amazon.com/Leaders-Eat-Last-Together-Others-ebook/dp/B00DGZKQM8/ref=tmm_kin_swatch_0?_encoding=UTF8&amp;qid=1482779360&amp;sr=1-1","Start with Why: How Great Leaders Inspire Everyone to Take Action")</f>
        <v>Start with Why: How Great Leaders Inspire Everyone to Take Action</v>
      </c>
      <c r="F435" s="185" t="s">
        <v>2532</v>
      </c>
      <c r="G435" s="185" t="s">
        <v>2533</v>
      </c>
      <c r="H435" s="185" t="s">
        <v>422</v>
      </c>
      <c r="I435" s="210">
        <v>13.0</v>
      </c>
      <c r="J435" s="185" t="s">
        <v>1496</v>
      </c>
      <c r="K435" s="185">
        <v>258.0</v>
      </c>
      <c r="L435" s="185" t="s">
        <v>1526</v>
      </c>
      <c r="M435" s="211" t="s">
        <v>1527</v>
      </c>
      <c r="N435" s="1"/>
    </row>
    <row r="436" ht="21.75" hidden="1" customHeight="1">
      <c r="A436" s="1"/>
      <c r="B436" s="232">
        <f t="shared" si="4"/>
        <v>430</v>
      </c>
      <c r="C436" s="181">
        <v>41650.0</v>
      </c>
      <c r="D436" s="182">
        <f t="shared" si="1"/>
        <v>2014</v>
      </c>
      <c r="E436" s="212" t="str">
        <f>hyperlink("http://www.amazon.com/Difficult-Men-Creative-Revolution-Sopranos-ebook/dp/B00AEDDPFA/ref=tmm_kin_swatch_0?_encoding=UTF8&amp;sr=&amp;qid=","Difficult Men: Behind the Scenes of a Creative Revolution: From The Sopranos and The Wire to Mad Men and Breaking Bad")</f>
        <v>Difficult Men: Behind the Scenes of a Creative Revolution: From The Sopranos and The Wire to Mad Men and Breaking Bad</v>
      </c>
      <c r="F436" s="184" t="s">
        <v>2534</v>
      </c>
      <c r="G436" s="184" t="s">
        <v>2535</v>
      </c>
      <c r="H436" s="184" t="s">
        <v>422</v>
      </c>
      <c r="I436" s="28">
        <v>13.0</v>
      </c>
      <c r="J436" s="184" t="s">
        <v>1496</v>
      </c>
      <c r="K436" s="184">
        <v>321.0</v>
      </c>
      <c r="L436" s="184" t="s">
        <v>1526</v>
      </c>
      <c r="M436" s="186" t="s">
        <v>1527</v>
      </c>
      <c r="N436" s="1"/>
    </row>
    <row r="437" ht="21.75" hidden="1" customHeight="1">
      <c r="A437" s="1"/>
      <c r="B437" s="232">
        <f t="shared" si="4"/>
        <v>431</v>
      </c>
      <c r="C437" s="181">
        <v>41721.0</v>
      </c>
      <c r="D437" s="182">
        <f t="shared" si="1"/>
        <v>2014</v>
      </c>
      <c r="E437" s="212" t="str">
        <f>hyperlink("http://www.amazon.com/Predictable-Revenue-Business-Practices-Salesforce-com-ebook/dp/B005ERYEGU/ref=tmm_kin_swatch_0?_encoding=UTF8&amp;sr=&amp;qid=","Predictable Revenue")</f>
        <v>Predictable Revenue</v>
      </c>
      <c r="F437" s="184" t="s">
        <v>2536</v>
      </c>
      <c r="G437" s="184" t="s">
        <v>2537</v>
      </c>
      <c r="H437" s="184" t="s">
        <v>422</v>
      </c>
      <c r="I437" s="28">
        <v>13.0</v>
      </c>
      <c r="J437" s="184" t="s">
        <v>1522</v>
      </c>
      <c r="K437" s="184">
        <v>213.0</v>
      </c>
      <c r="L437" s="184" t="s">
        <v>1526</v>
      </c>
      <c r="M437" s="186" t="s">
        <v>1527</v>
      </c>
      <c r="N437" s="1"/>
    </row>
    <row r="438" ht="21.75" hidden="1" customHeight="1">
      <c r="A438" s="1"/>
      <c r="B438" s="232">
        <f t="shared" si="4"/>
        <v>432</v>
      </c>
      <c r="C438" s="181">
        <v>41727.0</v>
      </c>
      <c r="D438" s="182">
        <f t="shared" si="1"/>
        <v>2014</v>
      </c>
      <c r="E438" s="212" t="str">
        <f>hyperlink("http://www.amazon.com/Inbound-Marketing-Google-Social-Series-ebook/dp/B002RTINGU/ref=tmm_kin_title_0","Inbound Marketing: Get Found Using Google, Social Media, and Blogs")</f>
        <v>Inbound Marketing: Get Found Using Google, Social Media, and Blogs</v>
      </c>
      <c r="F438" s="184" t="s">
        <v>2538</v>
      </c>
      <c r="G438" s="184" t="s">
        <v>2539</v>
      </c>
      <c r="H438" s="184" t="s">
        <v>422</v>
      </c>
      <c r="I438" s="28">
        <v>13.0</v>
      </c>
      <c r="J438" s="184" t="s">
        <v>1522</v>
      </c>
      <c r="K438" s="184">
        <v>258.0</v>
      </c>
      <c r="L438" s="184" t="s">
        <v>1526</v>
      </c>
      <c r="M438" s="186" t="s">
        <v>1527</v>
      </c>
      <c r="N438" s="1"/>
    </row>
    <row r="439" ht="21.75" hidden="1" customHeight="1">
      <c r="A439" s="1"/>
      <c r="B439" s="232">
        <f t="shared" si="4"/>
        <v>433</v>
      </c>
      <c r="C439" s="181">
        <v>41820.0</v>
      </c>
      <c r="D439" s="182">
        <f t="shared" si="1"/>
        <v>2014</v>
      </c>
      <c r="E439" s="212" t="str">
        <f>hyperlink("http://www.amazon.com/Hooked-How-Build-Habit-Forming-Products-ebook/dp/B00HJ4A43S/ref=sr_1_1?s=digital-text&amp;ie=UTF8&amp;qid=1404447843&amp;sr=1-1&amp;keywords=hooked+kindle","Hooked: How to Build Habit-Forming Products")</f>
        <v>Hooked: How to Build Habit-Forming Products</v>
      </c>
      <c r="F439" s="184" t="s">
        <v>2540</v>
      </c>
      <c r="G439" s="184" t="s">
        <v>2541</v>
      </c>
      <c r="H439" s="184" t="s">
        <v>422</v>
      </c>
      <c r="I439" s="28">
        <v>13.0</v>
      </c>
      <c r="J439" s="184" t="s">
        <v>1522</v>
      </c>
      <c r="K439" s="184">
        <v>156.0</v>
      </c>
      <c r="L439" s="184" t="s">
        <v>1526</v>
      </c>
      <c r="M439" s="186" t="s">
        <v>1527</v>
      </c>
      <c r="N439" s="1"/>
    </row>
    <row r="440" ht="21.75" hidden="1" customHeight="1">
      <c r="A440" s="1"/>
      <c r="B440" s="232">
        <f t="shared" si="4"/>
        <v>434</v>
      </c>
      <c r="C440" s="181">
        <v>42002.0</v>
      </c>
      <c r="D440" s="182">
        <f t="shared" si="1"/>
        <v>2014</v>
      </c>
      <c r="E440" s="212" t="str">
        <f>hyperlink("http://www.amazon.com/Ignore-Everybody-Other-Keys-Creativity-ebook/dp/B0026NBZFI/ref=sr_1_1?s=digital-text&amp;ie=UTF8&amp;qid=1431234543&amp;sr=1-1&amp;keywords=ignore+everybody","Ignore Everybody: and 39 other keys to creativity")</f>
        <v>Ignore Everybody: and 39 other keys to creativity</v>
      </c>
      <c r="F440" s="184" t="s">
        <v>2542</v>
      </c>
      <c r="G440" s="184" t="s">
        <v>2543</v>
      </c>
      <c r="H440" s="184" t="s">
        <v>422</v>
      </c>
      <c r="I440" s="28">
        <v>13.0</v>
      </c>
      <c r="J440" s="184" t="s">
        <v>1496</v>
      </c>
      <c r="K440" s="184">
        <v>176.0</v>
      </c>
      <c r="L440" s="184" t="s">
        <v>1526</v>
      </c>
      <c r="M440" s="186" t="s">
        <v>1527</v>
      </c>
      <c r="N440" s="1"/>
    </row>
    <row r="441" ht="21.75" hidden="1" customHeight="1">
      <c r="A441" s="1"/>
      <c r="B441" s="232">
        <f t="shared" si="4"/>
        <v>435</v>
      </c>
      <c r="C441" s="181">
        <v>42057.0</v>
      </c>
      <c r="D441" s="182">
        <f t="shared" si="1"/>
        <v>2015</v>
      </c>
      <c r="E441" s="212" t="str">
        <f>hyperlink("http://www.amazon.com/Comic-Toolbox-Funny-Even-Youre-ebook/dp/B00R3KEMMC/ref=sr_1_1?s=digital-text&amp;ie=UTF8&amp;qid=1431231327&amp;sr=1-1&amp;keywords=the+comic+toolbox","The Comic Toolbox: How to be funny even if you're not")</f>
        <v>The Comic Toolbox: How to be funny even if you're not</v>
      </c>
      <c r="F441" s="184" t="s">
        <v>2544</v>
      </c>
      <c r="G441" s="184" t="s">
        <v>2545</v>
      </c>
      <c r="H441" s="184" t="s">
        <v>422</v>
      </c>
      <c r="I441" s="28">
        <v>13.0</v>
      </c>
      <c r="J441" s="184" t="s">
        <v>1496</v>
      </c>
      <c r="K441" s="184">
        <v>191.0</v>
      </c>
      <c r="L441" s="184" t="s">
        <v>1526</v>
      </c>
      <c r="M441" s="186" t="s">
        <v>1527</v>
      </c>
      <c r="N441" s="1"/>
    </row>
    <row r="442" ht="21.75" hidden="1" customHeight="1">
      <c r="A442" s="1"/>
      <c r="B442" s="232">
        <f t="shared" si="4"/>
        <v>436</v>
      </c>
      <c r="C442" s="181">
        <v>42106.0</v>
      </c>
      <c r="D442" s="182">
        <f t="shared" si="1"/>
        <v>2015</v>
      </c>
      <c r="E442" s="212" t="str">
        <f>hyperlink("http://www.amazon.com/Chasing-Daylight-Forthcoming-Death-Transformed-ebook/dp/B00IHC9450/ref=sr_1_1?s=digital-text&amp;ie=UTF8&amp;qid=1431227964&amp;sr=1-1&amp;keywords=death+gene+kelly","Chasing Daylight: How my forthcoming death transformed my life")</f>
        <v>Chasing Daylight: How my forthcoming death transformed my life</v>
      </c>
      <c r="F442" s="184" t="s">
        <v>2546</v>
      </c>
      <c r="G442" s="184" t="s">
        <v>2547</v>
      </c>
      <c r="H442" s="184" t="s">
        <v>422</v>
      </c>
      <c r="I442" s="28">
        <v>13.0</v>
      </c>
      <c r="J442" s="184" t="s">
        <v>1496</v>
      </c>
      <c r="K442" s="184">
        <v>218.0</v>
      </c>
      <c r="L442" s="184" t="s">
        <v>1526</v>
      </c>
      <c r="M442" s="186" t="s">
        <v>1527</v>
      </c>
      <c r="N442" s="1"/>
    </row>
    <row r="443" ht="21.75" hidden="1" customHeight="1">
      <c r="A443" s="1"/>
      <c r="B443" s="232">
        <f t="shared" si="4"/>
        <v>437</v>
      </c>
      <c r="C443" s="181">
        <v>42249.0</v>
      </c>
      <c r="D443" s="182">
        <f t="shared" si="1"/>
        <v>2015</v>
      </c>
      <c r="E443" s="212" t="str">
        <f>hyperlink("http://www.amazon.com/Surely-Youre-Joking-Mr-Feynman-ebook/dp/B003V1WXKU/ref=sr_1_1?s=digital-text&amp;ie=UTF8&amp;qid=1441665862&amp;sr=1-1&amp;keywords=surely+you%27re+joking+mr.+feynman","Surely you're joking, Mr. Feynman")</f>
        <v>Surely you're joking, Mr. Feynman</v>
      </c>
      <c r="F443" s="185" t="s">
        <v>2548</v>
      </c>
      <c r="G443" s="185" t="s">
        <v>2549</v>
      </c>
      <c r="H443" s="185" t="s">
        <v>422</v>
      </c>
      <c r="I443" s="210">
        <v>13.0</v>
      </c>
      <c r="J443" s="185" t="s">
        <v>1496</v>
      </c>
      <c r="K443" s="185">
        <v>352.0</v>
      </c>
      <c r="L443" s="185" t="s">
        <v>1526</v>
      </c>
      <c r="M443" s="211" t="s">
        <v>1527</v>
      </c>
      <c r="N443" s="1"/>
    </row>
    <row r="444" ht="21.75" hidden="1" customHeight="1">
      <c r="A444" s="1"/>
      <c r="B444" s="232">
        <f t="shared" si="4"/>
        <v>438</v>
      </c>
      <c r="C444" s="181">
        <v>42360.0</v>
      </c>
      <c r="D444" s="182">
        <f t="shared" si="1"/>
        <v>2015</v>
      </c>
      <c r="E444" s="212" t="str">
        <f>hyperlink("http://www.amazon.com/Modern-Romance-Aziz-Ansari-ebook/dp/B00OZ0TMYG/ref=sr_1_1?s=digital-text&amp;ie=UTF8&amp;qid=1451114528&amp;sr=1-1&amp;keywords=modern+romance","Modern Romance")</f>
        <v>Modern Romance</v>
      </c>
      <c r="F444" s="185" t="s">
        <v>2550</v>
      </c>
      <c r="G444" s="185" t="s">
        <v>2551</v>
      </c>
      <c r="H444" s="185" t="s">
        <v>422</v>
      </c>
      <c r="I444" s="210">
        <v>13.0</v>
      </c>
      <c r="J444" s="185" t="s">
        <v>1496</v>
      </c>
      <c r="K444" s="185">
        <v>288.0</v>
      </c>
      <c r="L444" s="185" t="s">
        <v>1526</v>
      </c>
      <c r="M444" s="211" t="s">
        <v>1527</v>
      </c>
      <c r="N444" s="1"/>
    </row>
    <row r="445" ht="21.75" hidden="1" customHeight="1">
      <c r="A445" s="1"/>
      <c r="B445" s="232">
        <f t="shared" si="4"/>
        <v>439</v>
      </c>
      <c r="C445" s="181">
        <v>42421.0</v>
      </c>
      <c r="D445" s="182">
        <f t="shared" si="1"/>
        <v>2016</v>
      </c>
      <c r="E445" s="212" t="str">
        <f>hyperlink("http://www.amazon.com/Graveyard-Book-Neil-Gaiman-ebook/dp/B0011UJM48/ref=sr_1_1_ha?s=digital-text&amp;ie=UTF8&amp;qid=1456712136&amp;sr=1-1&amp;keywords=the+graveyard+book","Graveyard Book, The")</f>
        <v>Graveyard Book, The</v>
      </c>
      <c r="F445" s="185" t="s">
        <v>2552</v>
      </c>
      <c r="G445" s="185" t="s">
        <v>2553</v>
      </c>
      <c r="H445" s="185" t="s">
        <v>422</v>
      </c>
      <c r="I445" s="210">
        <v>13.0</v>
      </c>
      <c r="J445" s="185" t="s">
        <v>1509</v>
      </c>
      <c r="K445" s="185">
        <v>325.0</v>
      </c>
      <c r="L445" s="185" t="s">
        <v>1574</v>
      </c>
      <c r="M445" s="211" t="s">
        <v>804</v>
      </c>
      <c r="N445" s="1"/>
    </row>
    <row r="446" ht="21.75" hidden="1" customHeight="1">
      <c r="A446" s="1"/>
      <c r="B446" s="232">
        <f t="shared" si="4"/>
        <v>440</v>
      </c>
      <c r="C446" s="181">
        <v>42461.0</v>
      </c>
      <c r="D446" s="182">
        <f t="shared" si="1"/>
        <v>2016</v>
      </c>
      <c r="E446" s="212" t="str">
        <f>hyperlink("http://smile.amazon.com/Superforecasting-Prediction-Philip-E-Tetlock/dp/0804136696/ref=sr_1_1?ie=UTF8&amp;qid=1462404189&amp;sr=8-1&amp;keywords=superforecasting","Superforecasting: The Art and Science of Prediction")</f>
        <v>Superforecasting: The Art and Science of Prediction</v>
      </c>
      <c r="F446" s="185" t="s">
        <v>2554</v>
      </c>
      <c r="G446" s="185" t="s">
        <v>2555</v>
      </c>
      <c r="H446" s="185" t="s">
        <v>422</v>
      </c>
      <c r="I446" s="210">
        <v>13.0</v>
      </c>
      <c r="J446" s="185" t="s">
        <v>1496</v>
      </c>
      <c r="K446" s="185">
        <v>352.0</v>
      </c>
      <c r="L446" s="185" t="s">
        <v>1526</v>
      </c>
      <c r="M446" s="211" t="s">
        <v>1527</v>
      </c>
      <c r="N446" s="1"/>
    </row>
    <row r="447" ht="21.75" hidden="1" customHeight="1">
      <c r="A447" s="1"/>
      <c r="B447" s="232">
        <f t="shared" si="4"/>
        <v>441</v>
      </c>
      <c r="C447" s="181">
        <v>42495.0</v>
      </c>
      <c r="D447" s="182">
        <f t="shared" si="1"/>
        <v>2016</v>
      </c>
      <c r="E447" s="212" t="str">
        <f>hyperlink("https://www.amazon.com/Originals-How-Non-Conformists-Move-World-ebook/dp/B00XIYGCDO?ie=UTF8&amp;keywords=originals%20kindle&amp;qid=1462487456&amp;ref_=sr_1_1&amp;s=digital-text&amp;sr=1-1","Originals: How Non-Conformists Move the World")</f>
        <v>Originals: How Non-Conformists Move the World</v>
      </c>
      <c r="F447" s="185" t="s">
        <v>1717</v>
      </c>
      <c r="G447" s="185" t="s">
        <v>2556</v>
      </c>
      <c r="H447" s="185" t="s">
        <v>422</v>
      </c>
      <c r="I447" s="210">
        <v>13.0</v>
      </c>
      <c r="J447" s="185" t="s">
        <v>1496</v>
      </c>
      <c r="K447" s="185">
        <v>335.0</v>
      </c>
      <c r="L447" s="185" t="s">
        <v>1526</v>
      </c>
      <c r="M447" s="211" t="s">
        <v>1527</v>
      </c>
      <c r="N447" s="1"/>
    </row>
    <row r="448" ht="21.75" hidden="1" customHeight="1">
      <c r="A448" s="1"/>
      <c r="B448" s="232">
        <f t="shared" si="4"/>
        <v>442</v>
      </c>
      <c r="C448" s="181">
        <v>42496.0</v>
      </c>
      <c r="D448" s="182">
        <f t="shared" si="1"/>
        <v>2016</v>
      </c>
      <c r="E448" s="212" t="str">
        <f>hyperlink("https://www.amazon.com/How-Fly-Horse-Invention-Discovery-ebook/dp/B00M60RKUK?ie=UTF8&amp;keywords=how%20to%20fly%20a%20horse&amp;qid=1462562241&amp;ref_=sr_1_1&amp;s=digital-text&amp;sr=1-1","How to Fly a Horse: The Secret History of Creation, Invention, and Discovery")</f>
        <v>How to Fly a Horse: The Secret History of Creation, Invention, and Discovery</v>
      </c>
      <c r="F448" s="185" t="s">
        <v>2557</v>
      </c>
      <c r="G448" s="185" t="s">
        <v>2558</v>
      </c>
      <c r="H448" s="185" t="s">
        <v>422</v>
      </c>
      <c r="I448" s="210">
        <v>13.0</v>
      </c>
      <c r="J448" s="185" t="s">
        <v>1496</v>
      </c>
      <c r="K448" s="185">
        <v>336.0</v>
      </c>
      <c r="L448" s="185" t="s">
        <v>1526</v>
      </c>
      <c r="M448" s="211" t="s">
        <v>1527</v>
      </c>
      <c r="N448" s="1"/>
    </row>
    <row r="449" ht="21.75" hidden="1" customHeight="1">
      <c r="A449" s="1"/>
      <c r="B449" s="232">
        <f t="shared" si="4"/>
        <v>443</v>
      </c>
      <c r="C449" s="181">
        <v>42587.0</v>
      </c>
      <c r="D449" s="182">
        <f t="shared" si="1"/>
        <v>2016</v>
      </c>
      <c r="E449" s="212" t="str">
        <f>hyperlink("https://www.amazon.com/Chaos-Monkeys-Obscene-Fortune-Failure-ebook/dp/B019MMUAAQ/ref=sr_1_1?s=digital-text&amp;ie=UTF8&amp;qid=1478409991&amp;sr=1-1&amp;keywords=chaos+monkeys+obscene+fortune+and+random+failure+in+silicon+valley","Chaos Monkeys: Obscene Fortune and Random Failure in Silicon Valley")</f>
        <v>Chaos Monkeys: Obscene Fortune and Random Failure in Silicon Valley</v>
      </c>
      <c r="F449" s="185" t="s">
        <v>2559</v>
      </c>
      <c r="G449" s="185" t="s">
        <v>2560</v>
      </c>
      <c r="H449" s="185" t="s">
        <v>422</v>
      </c>
      <c r="I449" s="210">
        <v>13.0</v>
      </c>
      <c r="J449" s="185" t="s">
        <v>1522</v>
      </c>
      <c r="K449" s="185">
        <v>533.0</v>
      </c>
      <c r="L449" s="185" t="s">
        <v>1574</v>
      </c>
      <c r="M449" s="211" t="s">
        <v>804</v>
      </c>
      <c r="N449" s="1"/>
    </row>
    <row r="450" ht="21.75" hidden="1" customHeight="1">
      <c r="A450" s="1"/>
      <c r="B450" s="232">
        <f t="shared" si="4"/>
        <v>444</v>
      </c>
      <c r="C450" s="181">
        <v>42631.0</v>
      </c>
      <c r="D450" s="182">
        <f t="shared" si="1"/>
        <v>2016</v>
      </c>
      <c r="E450" s="212" t="str">
        <f>hyperlink("https://www.amazon.com/Love-Novel-Alain-Botton-ebook/dp/B017WS32NO/ref=sr_1_1?s=digital-text&amp;ie=UTF8&amp;qid=1478407164&amp;sr=1-1&amp;keywords=on+love","On Love")</f>
        <v>On Love</v>
      </c>
      <c r="F450" s="185" t="s">
        <v>1938</v>
      </c>
      <c r="G450" s="185" t="s">
        <v>2561</v>
      </c>
      <c r="H450" s="185" t="s">
        <v>422</v>
      </c>
      <c r="I450" s="210">
        <v>13.0</v>
      </c>
      <c r="J450" s="185" t="s">
        <v>1509</v>
      </c>
      <c r="K450" s="185">
        <v>240.0</v>
      </c>
      <c r="L450" s="185" t="s">
        <v>1526</v>
      </c>
      <c r="M450" s="211" t="s">
        <v>1527</v>
      </c>
      <c r="N450" s="1"/>
    </row>
    <row r="451" ht="21.75" hidden="1" customHeight="1">
      <c r="A451" s="1"/>
      <c r="B451" s="232">
        <f t="shared" si="4"/>
        <v>445</v>
      </c>
      <c r="C451" s="181">
        <v>42653.0</v>
      </c>
      <c r="D451" s="182">
        <f t="shared" si="1"/>
        <v>2016</v>
      </c>
      <c r="E451" s="212" t="str">
        <f>hyperlink("https://www.amazon.com/Nudge-Improving-Decisions-Health-Happiness-ebook/dp/B00A5DCALY/ref=sr_1_1?s=digital-text&amp;ie=UTF8&amp;qid=1478410665&amp;sr=1-1&amp;keywords=nudge","Nudge: Improving Decisions About Health, Wealth, and Happiness")</f>
        <v>Nudge: Improving Decisions About Health, Wealth, and Happiness</v>
      </c>
      <c r="F451" s="185" t="s">
        <v>2562</v>
      </c>
      <c r="G451" s="185" t="s">
        <v>2563</v>
      </c>
      <c r="H451" s="185" t="s">
        <v>422</v>
      </c>
      <c r="I451" s="210">
        <v>13.0</v>
      </c>
      <c r="J451" s="185" t="s">
        <v>1496</v>
      </c>
      <c r="K451" s="185">
        <v>320.0</v>
      </c>
      <c r="L451" s="185" t="s">
        <v>1574</v>
      </c>
      <c r="M451" s="211" t="s">
        <v>804</v>
      </c>
      <c r="N451" s="1"/>
    </row>
    <row r="452" ht="21.75" hidden="1" customHeight="1">
      <c r="A452" s="1"/>
      <c r="B452" s="232">
        <f t="shared" si="4"/>
        <v>446</v>
      </c>
      <c r="C452" s="181">
        <v>42659.0</v>
      </c>
      <c r="D452" s="182">
        <f t="shared" si="1"/>
        <v>2016</v>
      </c>
      <c r="E452" s="212" t="str">
        <f>hyperlink("https://www.amazon.com/Emma-Jane-Austen-ebook/dp/B0083Z3O8Y","Emma")</f>
        <v>Emma</v>
      </c>
      <c r="F452" s="185" t="s">
        <v>2564</v>
      </c>
      <c r="G452" s="185" t="s">
        <v>2565</v>
      </c>
      <c r="H452" s="185" t="s">
        <v>422</v>
      </c>
      <c r="I452" s="210">
        <v>13.0</v>
      </c>
      <c r="J452" s="185" t="s">
        <v>1509</v>
      </c>
      <c r="K452" s="185">
        <v>459.0</v>
      </c>
      <c r="L452" s="185" t="s">
        <v>1526</v>
      </c>
      <c r="M452" s="211" t="s">
        <v>1527</v>
      </c>
      <c r="N452" s="1"/>
    </row>
    <row r="453" ht="21.75" hidden="1" customHeight="1">
      <c r="A453" s="1"/>
      <c r="B453" s="232">
        <f t="shared" si="4"/>
        <v>447</v>
      </c>
      <c r="C453" s="181">
        <v>42692.0</v>
      </c>
      <c r="D453" s="182">
        <f t="shared" si="1"/>
        <v>2016</v>
      </c>
      <c r="E453" s="212" t="str">
        <f>hyperlink("https://www.amazon.com/Why-We-Work-TED-Books-ebook/dp/B00NZWJE3O/ref=sr_1_1_twi_kin_2?ie=UTF8&amp;qid=1479794164&amp;sr=8-1&amp;keywords=why+we+work+barry+schwartz","Why We Work")</f>
        <v>Why We Work</v>
      </c>
      <c r="F453" s="185" t="s">
        <v>1799</v>
      </c>
      <c r="G453" s="185" t="s">
        <v>2566</v>
      </c>
      <c r="H453" s="185" t="s">
        <v>422</v>
      </c>
      <c r="I453" s="210">
        <v>13.0</v>
      </c>
      <c r="J453" s="185" t="s">
        <v>1496</v>
      </c>
      <c r="K453" s="185">
        <v>113.0</v>
      </c>
      <c r="L453" s="185" t="s">
        <v>1574</v>
      </c>
      <c r="M453" s="211" t="s">
        <v>804</v>
      </c>
      <c r="N453" s="1"/>
    </row>
    <row r="454" ht="21.75" hidden="1" customHeight="1">
      <c r="A454" s="1"/>
      <c r="B454" s="232">
        <f t="shared" si="4"/>
        <v>448</v>
      </c>
      <c r="C454" s="181">
        <v>42700.0</v>
      </c>
      <c r="D454" s="182">
        <f t="shared" si="1"/>
        <v>2016</v>
      </c>
      <c r="E454" s="212" t="str">
        <f>hyperlink("https://www.amazon.com/Some-Hope-Trilogy-Patrick-Melrose/dp/1447202961/ref=sr_1_2?s=books&amp;ie=UTF8&amp;qid=1482603009&amp;sr=1-2&amp;keywords=edward+st+aubyn+some+hope","Some Hope")</f>
        <v>Some Hope</v>
      </c>
      <c r="F454" s="185" t="s">
        <v>2277</v>
      </c>
      <c r="G454" s="185" t="s">
        <v>2567</v>
      </c>
      <c r="H454" s="185" t="s">
        <v>422</v>
      </c>
      <c r="I454" s="210">
        <v>13.0</v>
      </c>
      <c r="J454" s="185" t="s">
        <v>1509</v>
      </c>
      <c r="K454" s="185">
        <v>224.0</v>
      </c>
      <c r="L454" s="185" t="s">
        <v>1574</v>
      </c>
      <c r="M454" s="211" t="s">
        <v>804</v>
      </c>
      <c r="N454" s="1"/>
    </row>
    <row r="455" ht="21.75" hidden="1" customHeight="1">
      <c r="A455" s="1"/>
      <c r="B455" s="232">
        <f t="shared" si="4"/>
        <v>449</v>
      </c>
      <c r="C455" s="181">
        <v>42748.0</v>
      </c>
      <c r="D455" s="182">
        <f t="shared" si="1"/>
        <v>2017</v>
      </c>
      <c r="E455" s="212" t="str">
        <f>HYPERLINK("https://www.amazon.com/But-What-If-Were-Wrong-ebook/dp/B015DLUTDS/ref=sr_1_1?s=digital-text&amp;ie=UTF8&amp;qid=1484416042&amp;sr=1-1&amp;keywords=but+what+if+we%27re+wrong","But What If We're Wrong? Thinking About the Present as if it were the Past")</f>
        <v>But What If We're Wrong? Thinking About the Present as if it were the Past</v>
      </c>
      <c r="F455" s="185" t="s">
        <v>2568</v>
      </c>
      <c r="G455" s="185" t="s">
        <v>2569</v>
      </c>
      <c r="H455" s="185" t="s">
        <v>422</v>
      </c>
      <c r="I455" s="210">
        <v>13.0</v>
      </c>
      <c r="J455" s="185" t="s">
        <v>1496</v>
      </c>
      <c r="K455" s="185">
        <v>287.0</v>
      </c>
      <c r="L455" s="185" t="s">
        <v>1574</v>
      </c>
      <c r="M455" s="211" t="s">
        <v>804</v>
      </c>
      <c r="N455" s="1"/>
    </row>
    <row r="456" ht="21.75" hidden="1" customHeight="1">
      <c r="A456" s="1"/>
      <c r="B456" s="232">
        <f t="shared" si="4"/>
        <v>450</v>
      </c>
      <c r="C456" s="181">
        <v>42888.0</v>
      </c>
      <c r="D456" s="182">
        <f t="shared" si="1"/>
        <v>2017</v>
      </c>
      <c r="E456" s="212" t="str">
        <f>hyperlink("https://www.amazon.com/Undoing-Project-Friendship-Changed-Signed-ebook/dp/B01GI6S7EK/ref=tmm_kin_swatch_0?_encoding=UTF8&amp;qid=1499399766&amp;sr=1-1","Undoing Project, The: A Friendship That Changed Our Minds")</f>
        <v>Undoing Project, The: A Friendship That Changed Our Minds</v>
      </c>
      <c r="F456" s="185" t="s">
        <v>1767</v>
      </c>
      <c r="G456" s="185" t="s">
        <v>2570</v>
      </c>
      <c r="H456" s="185" t="s">
        <v>422</v>
      </c>
      <c r="I456" s="210">
        <v>13.0</v>
      </c>
      <c r="J456" s="185" t="s">
        <v>1496</v>
      </c>
      <c r="K456" s="185">
        <v>369.0</v>
      </c>
      <c r="L456" s="185" t="s">
        <v>1574</v>
      </c>
      <c r="M456" s="211" t="s">
        <v>804</v>
      </c>
      <c r="N456" s="1"/>
    </row>
    <row r="457" ht="21.75" hidden="1" customHeight="1">
      <c r="A457" s="1"/>
      <c r="B457" s="232">
        <f t="shared" si="4"/>
        <v>451</v>
      </c>
      <c r="C457" s="181">
        <v>42977.0</v>
      </c>
      <c r="D457" s="182">
        <f t="shared" si="1"/>
        <v>2017</v>
      </c>
      <c r="E457" s="212" t="str">
        <f>hyperlink("https://www.amazon.com/Upstarts-Airbnb-Companies-Silicon-Changing-ebook/dp/B01HZFB3X0/ref=sr_1_1_twi_kin_2?ie=UTF8&amp;qid=1504112527&amp;sr=8-1&amp;keywords=the+upstarts","The Upstarts: How Uber, Airbnb, and the Killer Companies of the New Silicon Valley Are Changing the World")</f>
        <v>The Upstarts: How Uber, Airbnb, and the Killer Companies of the New Silicon Valley Are Changing the World</v>
      </c>
      <c r="F457" s="185" t="s">
        <v>2530</v>
      </c>
      <c r="G457" s="185" t="s">
        <v>2571</v>
      </c>
      <c r="H457" s="185" t="s">
        <v>422</v>
      </c>
      <c r="I457" s="210">
        <v>13.0</v>
      </c>
      <c r="J457" s="185" t="s">
        <v>1522</v>
      </c>
      <c r="K457" s="185">
        <v>333.0</v>
      </c>
      <c r="L457" s="185" t="s">
        <v>1526</v>
      </c>
      <c r="M457" s="211" t="s">
        <v>1527</v>
      </c>
      <c r="N457" s="1"/>
    </row>
    <row r="458" ht="21.75" hidden="1" customHeight="1">
      <c r="A458" s="1"/>
      <c r="B458" s="232">
        <f t="shared" si="4"/>
        <v>452</v>
      </c>
      <c r="C458" s="181">
        <v>42948.0</v>
      </c>
      <c r="D458" s="182">
        <f t="shared" si="1"/>
        <v>2017</v>
      </c>
      <c r="E458" s="212" t="str">
        <f>hyperlink("https://www.amazon.com/Worry-Trick-Brain-Tricks-Expecting/dp/B01HDXCV12/ref=mt_audio_download?_encoding=UTF8&amp;me=","Worry Trick, The: How Your Brain Tricks You into Expecting the Worst and What You Can Do About It")</f>
        <v>Worry Trick, The: How Your Brain Tricks You into Expecting the Worst and What You Can Do About It</v>
      </c>
      <c r="F458" s="185" t="s">
        <v>2572</v>
      </c>
      <c r="G458" s="185" t="s">
        <v>2573</v>
      </c>
      <c r="H458" s="185" t="s">
        <v>422</v>
      </c>
      <c r="I458" s="210">
        <v>13.0</v>
      </c>
      <c r="J458" s="185" t="s">
        <v>1496</v>
      </c>
      <c r="K458" s="185">
        <v>254.0</v>
      </c>
      <c r="L458" s="185" t="s">
        <v>1574</v>
      </c>
      <c r="M458" s="211" t="s">
        <v>804</v>
      </c>
      <c r="N458" s="1"/>
    </row>
    <row r="459" ht="21.75" hidden="1" customHeight="1">
      <c r="A459" s="1"/>
      <c r="B459" s="232">
        <f t="shared" si="4"/>
        <v>453</v>
      </c>
      <c r="C459" s="181">
        <v>42995.0</v>
      </c>
      <c r="D459" s="182">
        <f t="shared" si="1"/>
        <v>2017</v>
      </c>
      <c r="E459" s="212" t="str">
        <f>hyperlink("https://www.amazon.com/10-Happier-Self-Help-Actually-Works-ebook/dp/B00FJ376CS/ref=sr_1_1?s=digital-text&amp;ie=UTF8&amp;qid=1514755373&amp;sr=1-1&amp;keywords=10+happier+dan+harris","10% Happier: How I Tamed the Voice in My Head, Reduced Stress Without Losing My Edge, and Found Self-Help That Actually Works--A True Story")</f>
        <v>10% Happier: How I Tamed the Voice in My Head, Reduced Stress Without Losing My Edge, and Found Self-Help That Actually Works--A True Story</v>
      </c>
      <c r="F459" s="185" t="s">
        <v>2574</v>
      </c>
      <c r="G459" s="185" t="s">
        <v>2575</v>
      </c>
      <c r="H459" s="185" t="s">
        <v>422</v>
      </c>
      <c r="I459" s="210">
        <v>13.0</v>
      </c>
      <c r="J459" s="185" t="s">
        <v>1496</v>
      </c>
      <c r="K459" s="185">
        <v>258.0</v>
      </c>
      <c r="L459" s="185" t="s">
        <v>1526</v>
      </c>
      <c r="M459" s="211" t="s">
        <v>1527</v>
      </c>
      <c r="N459" s="1"/>
    </row>
    <row r="460" ht="21.75" hidden="1" customHeight="1">
      <c r="A460" s="1"/>
      <c r="B460" s="232">
        <f t="shared" si="4"/>
        <v>454</v>
      </c>
      <c r="C460" s="181">
        <v>42994.0</v>
      </c>
      <c r="D460" s="182">
        <f t="shared" si="1"/>
        <v>2017</v>
      </c>
      <c r="E460" s="212" t="str">
        <f>hyperlink("https://www.amazon.com/dp/B006ZL1KAW","Get Some Headspace: How Mindfulness Can Change Your Life in Ten Minutes a Day")</f>
        <v>Get Some Headspace: How Mindfulness Can Change Your Life in Ten Minutes a Day</v>
      </c>
      <c r="F460" s="185" t="s">
        <v>2576</v>
      </c>
      <c r="G460" s="185" t="s">
        <v>2577</v>
      </c>
      <c r="H460" s="185" t="s">
        <v>422</v>
      </c>
      <c r="I460" s="210">
        <v>13.0</v>
      </c>
      <c r="J460" s="185" t="s">
        <v>1496</v>
      </c>
      <c r="K460" s="185">
        <v>225.0</v>
      </c>
      <c r="L460" s="185" t="s">
        <v>1526</v>
      </c>
      <c r="M460" s="211" t="s">
        <v>1527</v>
      </c>
      <c r="N460" s="1"/>
    </row>
    <row r="461" ht="21.75" hidden="1" customHeight="1">
      <c r="A461" s="1"/>
      <c r="B461" s="232">
        <f t="shared" si="4"/>
        <v>455</v>
      </c>
      <c r="C461" s="181">
        <v>43008.0</v>
      </c>
      <c r="D461" s="182">
        <f t="shared" si="1"/>
        <v>2017</v>
      </c>
      <c r="E461" s="212" t="str">
        <f>hyperlink("https://www.amazon.com/Unstoppable-My-Life-So-Far-ebook/dp/B06W5XCL37/ref=sr_1_1?s=digital-text&amp;ie=UTF8&amp;qid=1514759956&amp;sr=1-1&amp;keywords=unstoppable","Unstoppable: My Life So Far")</f>
        <v>Unstoppable: My Life So Far</v>
      </c>
      <c r="F461" s="185" t="s">
        <v>2578</v>
      </c>
      <c r="G461" s="185" t="s">
        <v>2579</v>
      </c>
      <c r="H461" s="185" t="s">
        <v>422</v>
      </c>
      <c r="I461" s="210">
        <v>13.0</v>
      </c>
      <c r="J461" s="185" t="s">
        <v>1657</v>
      </c>
      <c r="K461" s="185">
        <v>283.0</v>
      </c>
      <c r="L461" s="185" t="s">
        <v>1574</v>
      </c>
      <c r="M461" s="211" t="s">
        <v>804</v>
      </c>
      <c r="N461" s="1"/>
    </row>
    <row r="462" ht="21.75" hidden="1" customHeight="1">
      <c r="A462" s="1"/>
      <c r="B462" s="232">
        <f t="shared" si="4"/>
        <v>456</v>
      </c>
      <c r="C462" s="181">
        <v>43062.0</v>
      </c>
      <c r="D462" s="182">
        <f t="shared" si="1"/>
        <v>2017</v>
      </c>
      <c r="E462" s="212" t="str">
        <f>hyperlink("https://www.audible.com/pd/Bios-Memoirs/Scrappy-Little-Nobody-Audiobook/B01ETUKSM6","Scrappy Little Nobody")</f>
        <v>Scrappy Little Nobody</v>
      </c>
      <c r="F462" s="185" t="s">
        <v>2580</v>
      </c>
      <c r="G462" s="185" t="s">
        <v>2581</v>
      </c>
      <c r="H462" s="185" t="s">
        <v>422</v>
      </c>
      <c r="I462" s="210">
        <v>13.0</v>
      </c>
      <c r="J462" s="185" t="s">
        <v>1657</v>
      </c>
      <c r="K462" s="185">
        <v>304.0</v>
      </c>
      <c r="L462" s="185" t="s">
        <v>1574</v>
      </c>
      <c r="M462" s="211" t="s">
        <v>804</v>
      </c>
      <c r="N462" s="1"/>
    </row>
    <row r="463" ht="21.75" hidden="1" customHeight="1">
      <c r="A463" s="1"/>
      <c r="B463" s="232">
        <f t="shared" si="4"/>
        <v>457</v>
      </c>
      <c r="C463" s="181">
        <v>43189.0</v>
      </c>
      <c r="D463" s="182">
        <f t="shared" si="1"/>
        <v>2018</v>
      </c>
      <c r="E463" s="212" t="str">
        <f>hyperlink("https://www.amazon.com/When-Scientific-Secrets-Perfect-Timing-ebook/dp/B072Q985YX/ref=tmm_kin_swatch_0?_encoding=UTF8&amp;qid=1524512639&amp;sr=8-1","When: The Scientific Secrets of Perfect Timing")</f>
        <v>When: The Scientific Secrets of Perfect Timing</v>
      </c>
      <c r="F463" s="185" t="s">
        <v>1892</v>
      </c>
      <c r="G463" s="185" t="s">
        <v>2582</v>
      </c>
      <c r="H463" s="185" t="s">
        <v>422</v>
      </c>
      <c r="I463" s="210">
        <v>13.0</v>
      </c>
      <c r="J463" s="185" t="s">
        <v>1496</v>
      </c>
      <c r="K463" s="185">
        <v>268.0</v>
      </c>
      <c r="L463" s="185" t="s">
        <v>1574</v>
      </c>
      <c r="M463" s="211" t="s">
        <v>804</v>
      </c>
      <c r="N463" s="1"/>
    </row>
    <row r="464" ht="21.75" hidden="1" customHeight="1">
      <c r="A464" s="1"/>
      <c r="B464" s="232">
        <f t="shared" si="4"/>
        <v>458</v>
      </c>
      <c r="C464" s="181">
        <v>43219.0</v>
      </c>
      <c r="D464" s="182">
        <f t="shared" si="1"/>
        <v>2018</v>
      </c>
      <c r="E464" s="212" t="str">
        <f>hyperlink("https://www.amazon.com/Halo-Effect-Business-Delusions-Managers-ebook/dp/B000NY128M/ref=sr_1_1?s=digital-text&amp;ie=UTF8&amp;qid=1546910346&amp;sr=1-1&amp;keywords=the+halo+effect","The Halo Effect: ... and the Eight Other Business Delusions That Deceive Managers")</f>
        <v>The Halo Effect: ... and the Eight Other Business Delusions That Deceive Managers</v>
      </c>
      <c r="F464" s="185" t="s">
        <v>2583</v>
      </c>
      <c r="G464" s="185" t="s">
        <v>2584</v>
      </c>
      <c r="H464" s="185" t="s">
        <v>422</v>
      </c>
      <c r="I464" s="210">
        <v>13.0</v>
      </c>
      <c r="J464" s="185" t="s">
        <v>1522</v>
      </c>
      <c r="K464" s="185">
        <v>289.0</v>
      </c>
      <c r="L464" s="185" t="s">
        <v>1574</v>
      </c>
      <c r="M464" s="211" t="s">
        <v>804</v>
      </c>
      <c r="N464" s="1"/>
    </row>
    <row r="465" ht="21.75" hidden="1" customHeight="1">
      <c r="A465" s="1"/>
      <c r="B465" s="232">
        <f t="shared" si="4"/>
        <v>459</v>
      </c>
      <c r="C465" s="181">
        <v>43266.0</v>
      </c>
      <c r="D465" s="182">
        <f t="shared" si="1"/>
        <v>2018</v>
      </c>
      <c r="E465" s="212" t="str">
        <f>hyperlink("https://www.amazon.com/North-Finding-While-Running-Appalachian-ebook/dp/B01N6Z44OZ/ref=sr_1_1?s=digital-text&amp;ie=UTF8&amp;qid=1546909723&amp;sr=1-1&amp;keywords=north+jurek","North: Finding My Way While Running The Appalachian Trail")</f>
        <v>North: Finding My Way While Running The Appalachian Trail</v>
      </c>
      <c r="F465" s="185" t="s">
        <v>2306</v>
      </c>
      <c r="G465" s="185" t="s">
        <v>2585</v>
      </c>
      <c r="H465" s="185" t="s">
        <v>422</v>
      </c>
      <c r="I465" s="210">
        <v>13.0</v>
      </c>
      <c r="J465" s="185" t="s">
        <v>1502</v>
      </c>
      <c r="K465" s="185">
        <v>305.0</v>
      </c>
      <c r="L465" s="185" t="s">
        <v>1574</v>
      </c>
      <c r="M465" s="211" t="s">
        <v>804</v>
      </c>
      <c r="N465" s="1"/>
    </row>
    <row r="466" ht="21.75" hidden="1" customHeight="1">
      <c r="A466" s="1"/>
      <c r="B466" s="232">
        <f t="shared" si="4"/>
        <v>460</v>
      </c>
      <c r="C466" s="181">
        <v>43434.0</v>
      </c>
      <c r="D466" s="182">
        <f t="shared" si="1"/>
        <v>2018</v>
      </c>
      <c r="E466" s="212" t="str">
        <f>hyperlink("https://www.amazon.com/Pro-Cycling-10-Day-Euro-ebook/dp/B00KFN7LLI/ref=sr_1_1?s=digital-text&amp;ie=UTF8&amp;qid=1546907478&amp;sr=1-1&amp;keywords=pro+cycling+on+10+a+day","Pro Cycling on $10 A Day: From Fat Kid to Euro Pro")</f>
        <v>Pro Cycling on $10 A Day: From Fat Kid to Euro Pro</v>
      </c>
      <c r="F466" s="185" t="s">
        <v>2586</v>
      </c>
      <c r="G466" s="185" t="s">
        <v>2587</v>
      </c>
      <c r="H466" s="185" t="s">
        <v>422</v>
      </c>
      <c r="I466" s="210">
        <v>13.0</v>
      </c>
      <c r="J466" s="185" t="s">
        <v>1502</v>
      </c>
      <c r="K466" s="185">
        <v>314.0</v>
      </c>
      <c r="L466" s="185" t="s">
        <v>1574</v>
      </c>
      <c r="M466" s="211" t="s">
        <v>804</v>
      </c>
      <c r="N466" s="1"/>
    </row>
    <row r="467" ht="21.75" hidden="1" customHeight="1">
      <c r="A467" s="1"/>
      <c r="B467" s="232">
        <f t="shared" si="4"/>
        <v>461</v>
      </c>
      <c r="C467" s="181">
        <v>43436.0</v>
      </c>
      <c r="D467" s="182">
        <f t="shared" si="1"/>
        <v>2018</v>
      </c>
      <c r="E467" s="212" t="str">
        <f>hyperlink("https://www.amazon.com/Draft-Animals-Living-Cycling-Dream-ebook/dp/B06XZQ46G8/ref=pd_sim_351_1/130-7248670-2381943?_encoding=UTF8&amp;pd_rd_i=B06XZQ46G8&amp;pd_rd_r=b90b6f1a-12dc-11e9-b1de-a3a28fdacd92&amp;pd_rd_w=lVu3b&amp;pd_rd_wg=BTOSQ&amp;pf_rd_p=18bb0b78-4200-49b9-ac91-"&amp;"f141d61a1780&amp;pf_rd_r=A5259G9W7CSJGRDYA6G9&amp;psc=1&amp;refRID=A5259G9W7CSJGRDYA6G9","Draft Animals: Living the Pro Cycling Dream (Once in a While)")</f>
        <v>Draft Animals: Living the Pro Cycling Dream (Once in a While)</v>
      </c>
      <c r="F467" s="185" t="s">
        <v>2586</v>
      </c>
      <c r="G467" s="185" t="s">
        <v>2588</v>
      </c>
      <c r="H467" s="185" t="s">
        <v>422</v>
      </c>
      <c r="I467" s="210">
        <v>13.0</v>
      </c>
      <c r="J467" s="185" t="s">
        <v>1502</v>
      </c>
      <c r="K467" s="185">
        <v>346.0</v>
      </c>
      <c r="L467" s="185" t="s">
        <v>1574</v>
      </c>
      <c r="M467" s="211" t="s">
        <v>804</v>
      </c>
      <c r="N467" s="1"/>
    </row>
    <row r="468" ht="21.75" hidden="1" customHeight="1">
      <c r="A468" s="1"/>
      <c r="B468" s="232">
        <f t="shared" si="4"/>
        <v>462</v>
      </c>
      <c r="C468" s="181">
        <v>43490.0</v>
      </c>
      <c r="D468" s="182">
        <f t="shared" si="1"/>
        <v>2019</v>
      </c>
      <c r="E468" s="212" t="str">
        <f>hyperlink("https://www.amazon.com/Love-Yourself-Like-Your-Depends-ebook/dp/B0086BX8UE/ref=sr_1_1?crid=11BINKXAES7QT&amp;keywords=love+yourself+like+your+life+depends+on+it&amp;qid=1550435788&amp;s=digital-text&amp;sprefix=love+yourself%2Cdigital-text%2C199&amp;sr=1-1","Love yourself like your life depends on it")</f>
        <v>Love yourself like your life depends on it</v>
      </c>
      <c r="F468" s="185" t="s">
        <v>2589</v>
      </c>
      <c r="G468" s="185" t="s">
        <v>2590</v>
      </c>
      <c r="H468" s="185" t="s">
        <v>422</v>
      </c>
      <c r="I468" s="210">
        <v>13.0</v>
      </c>
      <c r="J468" s="185" t="s">
        <v>1496</v>
      </c>
      <c r="K468" s="185">
        <v>68.0</v>
      </c>
      <c r="L468" s="185" t="s">
        <v>1526</v>
      </c>
      <c r="M468" s="211" t="s">
        <v>1527</v>
      </c>
      <c r="N468" s="1"/>
    </row>
    <row r="469" ht="21.75" hidden="1" customHeight="1">
      <c r="A469" s="1"/>
      <c r="B469" s="232">
        <f t="shared" si="4"/>
        <v>463</v>
      </c>
      <c r="C469" s="181">
        <v>43744.0</v>
      </c>
      <c r="D469" s="182">
        <f t="shared" si="1"/>
        <v>2019</v>
      </c>
      <c r="E469" s="212" t="str">
        <f>hyperlink("https://www.amazon.com/Trillion-Dollar-Coach-Leadership-Playbook-ebook/dp/B076ZHG3H3/ref=sr_1_1?crid=3PNTUBAQYLW8M&amp;keywords=trillion+dollar+coach&amp;qid=1575242839&amp;s=digital-text&amp;smid=A2TMTTMKNY2N1U&amp;sprefix=trill%2Cdigital-text%2C198&amp;sr=1-1","Trillion Dollar Coach: The Leadership Playbook of Silicon Valley's Bill Campbell")</f>
        <v>Trillion Dollar Coach: The Leadership Playbook of Silicon Valley's Bill Campbell</v>
      </c>
      <c r="F469" s="185" t="s">
        <v>2591</v>
      </c>
      <c r="G469" s="185" t="s">
        <v>2592</v>
      </c>
      <c r="H469" s="185" t="s">
        <v>422</v>
      </c>
      <c r="I469" s="210">
        <v>13.0</v>
      </c>
      <c r="J469" s="185" t="s">
        <v>1522</v>
      </c>
      <c r="K469" s="185">
        <v>238.0</v>
      </c>
      <c r="L469" s="185" t="s">
        <v>1526</v>
      </c>
      <c r="M469" s="211" t="s">
        <v>1527</v>
      </c>
      <c r="N469" s="1"/>
    </row>
    <row r="470" ht="21.75" hidden="1" customHeight="1">
      <c r="A470" s="1"/>
      <c r="B470" s="232">
        <f t="shared" si="4"/>
        <v>464</v>
      </c>
      <c r="C470" s="181">
        <v>43514.0</v>
      </c>
      <c r="D470" s="182">
        <f t="shared" si="1"/>
        <v>2019</v>
      </c>
      <c r="E470" s="212" t="str">
        <f>hyperlink("https://www.amazon.com/How-Fail-Almost-Everything-Still-ebook/dp/B00COOFBA4/ref=sr_1_1?crid=EI07VIMNZVZF&amp;keywords=how+to+fail+at+almost+everything+and+still+win+big&amp;qid=1575245943&amp;s=digital-text&amp;sprefix=how+to+fai%2Cdigital-text%2C195&amp;sr=1-1","How to Fail at Almost Everything and Still Win Big: Kind of the Story of My Life")</f>
        <v>How to Fail at Almost Everything and Still Win Big: Kind of the Story of My Life</v>
      </c>
      <c r="F470" s="185" t="s">
        <v>2593</v>
      </c>
      <c r="G470" s="185" t="s">
        <v>2594</v>
      </c>
      <c r="H470" s="185" t="s">
        <v>422</v>
      </c>
      <c r="I470" s="210">
        <v>13.0</v>
      </c>
      <c r="J470" s="185" t="s">
        <v>1522</v>
      </c>
      <c r="K470" s="185">
        <v>247.0</v>
      </c>
      <c r="L470" s="185" t="s">
        <v>1526</v>
      </c>
      <c r="M470" s="211" t="s">
        <v>1527</v>
      </c>
      <c r="N470" s="1"/>
    </row>
    <row r="471" ht="21.75" hidden="1" customHeight="1">
      <c r="A471" s="1"/>
      <c r="B471" s="232">
        <f t="shared" si="4"/>
        <v>465</v>
      </c>
      <c r="C471" s="181">
        <v>43806.0</v>
      </c>
      <c r="D471" s="182">
        <f t="shared" si="1"/>
        <v>2019</v>
      </c>
      <c r="E471" s="212" t="str">
        <f>hyperlink("https://smile.amazon.com/Stillness-Key-Ryan-Holiday/dp/0525538585","Stillness is the Key")</f>
        <v>Stillness is the Key</v>
      </c>
      <c r="F471" s="185" t="s">
        <v>2595</v>
      </c>
      <c r="G471" s="185" t="s">
        <v>2596</v>
      </c>
      <c r="H471" s="185" t="s">
        <v>422</v>
      </c>
      <c r="I471" s="210">
        <v>13.0</v>
      </c>
      <c r="J471" s="185" t="s">
        <v>1496</v>
      </c>
      <c r="K471" s="185">
        <v>288.0</v>
      </c>
      <c r="L471" s="185" t="s">
        <v>1526</v>
      </c>
      <c r="M471" s="228" t="s">
        <v>1527</v>
      </c>
      <c r="N471" s="1"/>
    </row>
    <row r="472" ht="21.75" hidden="1" customHeight="1">
      <c r="A472" s="1"/>
      <c r="B472" s="232">
        <f t="shared" si="4"/>
        <v>466</v>
      </c>
      <c r="C472" s="181">
        <v>43828.0</v>
      </c>
      <c r="D472" s="182">
        <f t="shared" si="1"/>
        <v>2019</v>
      </c>
      <c r="E472" s="212" t="str">
        <f>hyperlink("https://www.amazon.com/Examined-Life-Lose-Find-Ourselves-ebook/dp/B00AN86JZE/ref=sr_1_1?keywords=the+examined+life&amp;qid=1577748081&amp;s=digital-text&amp;sr=1-1","Examined Life, The: How We Lose and Find Ourselves")</f>
        <v>Examined Life, The: How We Lose and Find Ourselves</v>
      </c>
      <c r="F472" s="185" t="s">
        <v>2597</v>
      </c>
      <c r="G472" s="185" t="s">
        <v>2598</v>
      </c>
      <c r="H472" s="185" t="s">
        <v>422</v>
      </c>
      <c r="I472" s="210">
        <v>13.0</v>
      </c>
      <c r="J472" s="185" t="s">
        <v>1496</v>
      </c>
      <c r="K472" s="185">
        <v>241.0</v>
      </c>
      <c r="L472" s="185" t="s">
        <v>1526</v>
      </c>
      <c r="M472" s="228" t="s">
        <v>1527</v>
      </c>
      <c r="N472" s="1"/>
    </row>
    <row r="473" ht="21.75" hidden="1" customHeight="1">
      <c r="A473" s="1"/>
      <c r="B473" s="232">
        <f t="shared" si="4"/>
        <v>467</v>
      </c>
      <c r="C473" s="181">
        <v>43829.0</v>
      </c>
      <c r="D473" s="182">
        <f t="shared" si="1"/>
        <v>2019</v>
      </c>
      <c r="E473" s="212" t="str">
        <f>hyperlink("https://www.amazon.com/Pyramid-Principle-Logic-Writing-Thinking/dp/0273710516/ref=sr_1_2?crid=349YOXN0S6FLG&amp;keywords=the+pyramid+principle&amp;qid=1577748721&amp;s=books&amp;sprefix=the+pyramid+pr%2Caudible%2C207&amp;sr=1-2","Pyramid Principle, The: Logic in Writing and Thinking")</f>
        <v>Pyramid Principle, The: Logic in Writing and Thinking</v>
      </c>
      <c r="F473" s="185" t="s">
        <v>2599</v>
      </c>
      <c r="G473" s="185" t="s">
        <v>2600</v>
      </c>
      <c r="H473" s="185" t="s">
        <v>422</v>
      </c>
      <c r="I473" s="210">
        <v>13.0</v>
      </c>
      <c r="J473" s="185" t="s">
        <v>1522</v>
      </c>
      <c r="K473" s="185">
        <v>177.0</v>
      </c>
      <c r="L473" s="185" t="s">
        <v>1497</v>
      </c>
      <c r="M473" s="211" t="s">
        <v>1527</v>
      </c>
      <c r="N473" s="1"/>
    </row>
    <row r="474" ht="21.75" hidden="1" customHeight="1">
      <c r="A474" s="1"/>
      <c r="B474" s="232">
        <f t="shared" si="4"/>
        <v>468</v>
      </c>
      <c r="C474" s="181">
        <v>43838.0</v>
      </c>
      <c r="D474" s="182">
        <f t="shared" si="1"/>
        <v>2020</v>
      </c>
      <c r="E474" s="212" t="str">
        <f>hyperlink("https://www.amazon.com/dp/B001EO6WT4/ref=dp-kindle-redirect?_encoding=UTF8&amp;btkr=1","Good Listener, The")</f>
        <v>Good Listener, The</v>
      </c>
      <c r="F474" s="185" t="s">
        <v>2601</v>
      </c>
      <c r="G474" s="185" t="s">
        <v>2602</v>
      </c>
      <c r="H474" s="185" t="s">
        <v>422</v>
      </c>
      <c r="I474" s="210">
        <v>13.0</v>
      </c>
      <c r="J474" s="185" t="s">
        <v>1496</v>
      </c>
      <c r="K474" s="185">
        <v>96.0</v>
      </c>
      <c r="L474" s="185" t="s">
        <v>1526</v>
      </c>
      <c r="M474" s="228" t="s">
        <v>1527</v>
      </c>
      <c r="N474" s="1"/>
    </row>
    <row r="475" ht="21.75" hidden="1" customHeight="1">
      <c r="A475" s="1"/>
      <c r="B475" s="232">
        <f t="shared" si="4"/>
        <v>469</v>
      </c>
      <c r="C475" s="181">
        <v>43848.0</v>
      </c>
      <c r="D475" s="182">
        <f t="shared" si="1"/>
        <v>2020</v>
      </c>
      <c r="E475" s="212" t="str">
        <f>hyperlink("https://www.amazon.com/Relentless-Good-Great-Unstoppable/dp/B00R4TQNP6/ref=mp_s_a_1_2?keywords=relentless+tim+grover&amp;qid=1579416624&amp;sprefix=relent&amp;sr=8-2","Relentless: from good to great to relentless")</f>
        <v>Relentless: from good to great to relentless</v>
      </c>
      <c r="F475" s="185" t="s">
        <v>2603</v>
      </c>
      <c r="G475" s="185" t="s">
        <v>2604</v>
      </c>
      <c r="H475" s="185" t="s">
        <v>422</v>
      </c>
      <c r="I475" s="210">
        <v>12.0</v>
      </c>
      <c r="J475" s="185" t="s">
        <v>1502</v>
      </c>
      <c r="K475" s="185">
        <v>232.0</v>
      </c>
      <c r="L475" s="185" t="s">
        <v>1526</v>
      </c>
      <c r="M475" s="228" t="s">
        <v>1527</v>
      </c>
      <c r="N475" s="1"/>
    </row>
    <row r="476" ht="21.75" hidden="1" customHeight="1">
      <c r="A476" s="1"/>
      <c r="B476" s="232">
        <f t="shared" si="4"/>
        <v>470</v>
      </c>
      <c r="C476" s="181">
        <v>44429.0</v>
      </c>
      <c r="D476" s="182">
        <f t="shared" si="1"/>
        <v>2021</v>
      </c>
      <c r="E476" s="212" t="s">
        <v>2605</v>
      </c>
      <c r="F476" s="185" t="s">
        <v>2606</v>
      </c>
      <c r="G476" s="185" t="s">
        <v>2607</v>
      </c>
      <c r="H476" s="185" t="s">
        <v>422</v>
      </c>
      <c r="I476" s="210">
        <v>12.0</v>
      </c>
      <c r="J476" s="185" t="s">
        <v>1496</v>
      </c>
      <c r="K476" s="185">
        <v>291.0</v>
      </c>
      <c r="L476" s="185" t="s">
        <v>1526</v>
      </c>
      <c r="M476" s="228" t="s">
        <v>1527</v>
      </c>
      <c r="N476" s="1"/>
    </row>
    <row r="477" ht="21.75" hidden="1" customHeight="1">
      <c r="A477" s="1"/>
      <c r="B477" s="232">
        <f t="shared" si="4"/>
        <v>471</v>
      </c>
      <c r="C477" s="181">
        <v>44429.0</v>
      </c>
      <c r="D477" s="182">
        <f t="shared" si="1"/>
        <v>2021</v>
      </c>
      <c r="E477" s="237" t="s">
        <v>2608</v>
      </c>
      <c r="F477" s="185" t="s">
        <v>2609</v>
      </c>
      <c r="G477" s="185" t="s">
        <v>2610</v>
      </c>
      <c r="H477" s="185" t="s">
        <v>422</v>
      </c>
      <c r="I477" s="210">
        <v>12.0</v>
      </c>
      <c r="J477" s="185" t="s">
        <v>1522</v>
      </c>
      <c r="K477" s="185">
        <v>217.0</v>
      </c>
      <c r="L477" s="185" t="s">
        <v>1526</v>
      </c>
      <c r="M477" s="228" t="s">
        <v>1527</v>
      </c>
      <c r="N477" s="1"/>
    </row>
    <row r="478" ht="21.75" hidden="1" customHeight="1">
      <c r="A478" s="1"/>
      <c r="B478" s="232">
        <f t="shared" si="4"/>
        <v>472</v>
      </c>
      <c r="C478" s="181">
        <v>44464.0</v>
      </c>
      <c r="D478" s="182">
        <f t="shared" si="1"/>
        <v>2021</v>
      </c>
      <c r="E478" s="237" t="str">
        <f>hyperlink("https://smile.amazon.com/Masters-Scale-Surprising-Successful-Entrepreneurs-ebook/dp/B08VS2BVD4/ref=sr_1_2?crid=LDO8M22F78BG&amp;keywords=masters+of+scale+by+reid+hoffman&amp;qid=1644699950&amp;s=digital-text&amp;sprefix=masters+of+scale%2Cdigital-text%2C131&amp;sr=1-2","Masters of Scale: Surprising Truths from the World's Most Successful Enterpreneurs")</f>
        <v>Masters of Scale: Surprising Truths from the World's Most Successful Enterpreneurs</v>
      </c>
      <c r="F478" s="185" t="s">
        <v>2611</v>
      </c>
      <c r="G478" s="185" t="s">
        <v>2612</v>
      </c>
      <c r="H478" s="185" t="s">
        <v>422</v>
      </c>
      <c r="I478" s="210">
        <v>12.0</v>
      </c>
      <c r="J478" s="185" t="s">
        <v>1522</v>
      </c>
      <c r="K478" s="185">
        <v>271.0</v>
      </c>
      <c r="L478" s="185" t="s">
        <v>1526</v>
      </c>
      <c r="M478" s="228" t="s">
        <v>1527</v>
      </c>
      <c r="N478" s="1"/>
    </row>
    <row r="479" ht="21.75" hidden="1" customHeight="1">
      <c r="A479" s="1"/>
      <c r="B479" s="232">
        <f t="shared" si="4"/>
        <v>473</v>
      </c>
      <c r="C479" s="181">
        <v>44479.0</v>
      </c>
      <c r="D479" s="182">
        <f t="shared" si="1"/>
        <v>2021</v>
      </c>
      <c r="E479" s="237" t="str">
        <f>hyperlink("https://smile.amazon.com/How-Found-Peace-Revelations-Cleared-ebook/dp/B09D41TW2P/ref=sr_1_2?crid=12G17AAJH27TC&amp;keywords=paul+petrone&amp;qid=1644699511&amp;sprefix=paul+petrone%2Caps%2C151&amp;sr=8-2","How I Found Peace: 14 Revelations That Cleared My Mind")</f>
        <v>How I Found Peace: 14 Revelations That Cleared My Mind</v>
      </c>
      <c r="F479" s="185" t="s">
        <v>2613</v>
      </c>
      <c r="G479" s="185" t="s">
        <v>2614</v>
      </c>
      <c r="H479" s="185" t="s">
        <v>422</v>
      </c>
      <c r="I479" s="210">
        <v>12.0</v>
      </c>
      <c r="J479" s="185" t="s">
        <v>1496</v>
      </c>
      <c r="K479" s="185">
        <v>70.0</v>
      </c>
      <c r="L479" s="185" t="s">
        <v>1526</v>
      </c>
      <c r="M479" s="228" t="s">
        <v>1527</v>
      </c>
      <c r="N479" s="1"/>
    </row>
    <row r="480" ht="21.75" hidden="1" customHeight="1">
      <c r="A480" s="1"/>
      <c r="B480" s="232">
        <f t="shared" si="4"/>
        <v>474</v>
      </c>
      <c r="C480" s="181">
        <v>44483.0</v>
      </c>
      <c r="D480" s="182">
        <f t="shared" si="1"/>
        <v>2021</v>
      </c>
      <c r="E480" s="237" t="str">
        <f>hyperlink("https://smile.amazon.com/Second-Rule-Transform-Confidence-Everyday-ebook/dp/B01MUSNFOO/ref=sr_1_2?keywords=the+5+second+rule&amp;qid=1644701140&amp;s=digital-text&amp;sprefix=the+5+second+r%2Cdigital-text%2C147&amp;sr=1-2","The 5 Second Rule: Transform Your Life, Work, and Confidence with Everyday Courage")</f>
        <v>The 5 Second Rule: Transform Your Life, Work, and Confidence with Everyday Courage</v>
      </c>
      <c r="F480" s="185" t="s">
        <v>2373</v>
      </c>
      <c r="G480" s="185" t="s">
        <v>2615</v>
      </c>
      <c r="H480" s="185" t="s">
        <v>422</v>
      </c>
      <c r="I480" s="210">
        <v>12.0</v>
      </c>
      <c r="J480" s="185" t="s">
        <v>1496</v>
      </c>
      <c r="K480" s="185">
        <v>260.0</v>
      </c>
      <c r="L480" s="185" t="s">
        <v>1526</v>
      </c>
      <c r="M480" s="228" t="s">
        <v>1527</v>
      </c>
      <c r="N480" s="1"/>
    </row>
    <row r="481" ht="21.75" hidden="1" customHeight="1">
      <c r="A481" s="1"/>
      <c r="B481" s="232">
        <f t="shared" si="4"/>
        <v>475</v>
      </c>
      <c r="C481" s="181">
        <v>44494.0</v>
      </c>
      <c r="D481" s="182">
        <f t="shared" si="1"/>
        <v>2021</v>
      </c>
      <c r="E481" s="237" t="str">
        <f>hyperlink("https://www.amazon.com/You-Are-Here-Discovering-Present/dp/1590308387/ref=sr_1_2?crid=1LENAXEJ15JRC&amp;keywords=you+are+here+thich+nhat+hanh&amp;qid=1637796352&amp;sprefix=you+are+here%2Caps%2C228&amp;sr=8-2","You are Here: Discovering the Magic of the Present Moment")</f>
        <v>You are Here: Discovering the Magic of the Present Moment</v>
      </c>
      <c r="F481" s="185" t="s">
        <v>2616</v>
      </c>
      <c r="G481" s="185" t="s">
        <v>2617</v>
      </c>
      <c r="H481" s="185" t="s">
        <v>422</v>
      </c>
      <c r="I481" s="210">
        <v>12.0</v>
      </c>
      <c r="J481" s="185" t="s">
        <v>1496</v>
      </c>
      <c r="K481" s="185">
        <v>160.0</v>
      </c>
      <c r="L481" s="185" t="s">
        <v>1526</v>
      </c>
      <c r="M481" s="228" t="s">
        <v>1527</v>
      </c>
      <c r="N481" s="1"/>
    </row>
    <row r="482" ht="21.75" hidden="1" customHeight="1">
      <c r="A482" s="1"/>
      <c r="B482" s="232">
        <f t="shared" si="4"/>
        <v>476</v>
      </c>
      <c r="C482" s="181">
        <v>44763.0</v>
      </c>
      <c r="D482" s="182">
        <f t="shared" si="1"/>
        <v>2022</v>
      </c>
      <c r="E482" s="237" t="str">
        <f>hyperlink("https://www.amazon.com/Alright-History-Richard-Linklaters-Confused-ebook/dp/B084VRNBNZ/ref=sr_1_1?crid=1KPXX2MTFPETP&amp;keywords=alright+alright+alright+book&amp;qid=1672286887&amp;qu=eyJxc2MiOiIxLjkyIiwicXNhIjoiMS42NyIsInFzcCI6IjEuOTMifQ%3D%3D&amp;sprefix=alright%2Caps"&amp;"%2C155&amp;sr=8-1","Alright, Alright, Alright: The Oral History of Richard Linklater's Dazed and Confused")</f>
        <v>Alright, Alright, Alright: The Oral History of Richard Linklater's Dazed and Confused</v>
      </c>
      <c r="F482" s="185" t="s">
        <v>2618</v>
      </c>
      <c r="G482" s="185" t="s">
        <v>2619</v>
      </c>
      <c r="H482" s="185" t="s">
        <v>422</v>
      </c>
      <c r="I482" s="210">
        <v>12.0</v>
      </c>
      <c r="J482" s="185" t="s">
        <v>1496</v>
      </c>
      <c r="K482" s="185">
        <v>460.0</v>
      </c>
      <c r="L482" s="185" t="s">
        <v>1526</v>
      </c>
      <c r="M482" s="227" t="s">
        <v>1527</v>
      </c>
      <c r="N482" s="1"/>
    </row>
    <row r="483" ht="21.75" hidden="1" customHeight="1">
      <c r="A483" s="1"/>
      <c r="B483" s="232">
        <f t="shared" si="4"/>
        <v>477</v>
      </c>
      <c r="C483" s="181">
        <v>44833.0</v>
      </c>
      <c r="D483" s="182">
        <f t="shared" si="1"/>
        <v>2022</v>
      </c>
      <c r="E483" s="237" t="str">
        <f>hyperlink("https://www.amazon.com/Brooklyn-Novel-Colm-Toibin-ebook/dp/B0026SCMNM/ref=sr_1_1?crid=3BM1GIOG164FY&amp;keywords=brooklyn&amp;qid=1672292904&amp;s=digital-text&amp;sprefix=brooklyn%2Cdigital-text%2C150&amp;sr=1-1","Brooklyn")</f>
        <v>Brooklyn</v>
      </c>
      <c r="F483" s="185" t="s">
        <v>2620</v>
      </c>
      <c r="G483" s="185" t="s">
        <v>2621</v>
      </c>
      <c r="H483" s="185" t="s">
        <v>422</v>
      </c>
      <c r="I483" s="210">
        <v>12.0</v>
      </c>
      <c r="J483" s="185" t="s">
        <v>1509</v>
      </c>
      <c r="K483" s="185">
        <v>273.0</v>
      </c>
      <c r="L483" s="185" t="s">
        <v>1526</v>
      </c>
      <c r="M483" s="227" t="s">
        <v>1527</v>
      </c>
      <c r="N483" s="1"/>
    </row>
    <row r="484" ht="21.75" hidden="1" customHeight="1">
      <c r="A484" s="1"/>
      <c r="B484" s="232">
        <f t="shared" si="4"/>
        <v>478</v>
      </c>
      <c r="C484" s="181">
        <v>44943.0</v>
      </c>
      <c r="D484" s="182">
        <f t="shared" si="1"/>
        <v>2023</v>
      </c>
      <c r="E484" s="237" t="str">
        <f>hyperlink("https://www.amazon.com/Put-Your-Where-Heart-Wants-ebook/dp/B0B5BYBW66/ref=sr_1_1?crid=1W8EGXHTTHIBG&amp;keywords=put+your+ass&amp;qid=1675992271&amp;s=digital-text&amp;sprefix=put+your+ass%2Cdigital-text%2C144&amp;sr=1-1","Put Your Ass Where Your Heart Wants To Be")</f>
        <v>Put Your Ass Where Your Heart Wants To Be</v>
      </c>
      <c r="F484" s="185" t="s">
        <v>2622</v>
      </c>
      <c r="G484" s="185" t="s">
        <v>2623</v>
      </c>
      <c r="H484" s="185" t="s">
        <v>422</v>
      </c>
      <c r="I484" s="210">
        <v>12.0</v>
      </c>
      <c r="J484" s="185" t="s">
        <v>1496</v>
      </c>
      <c r="K484" s="185">
        <v>150.0</v>
      </c>
      <c r="L484" s="185" t="s">
        <v>1526</v>
      </c>
      <c r="M484" s="227" t="s">
        <v>1527</v>
      </c>
      <c r="N484" s="1"/>
    </row>
    <row r="485" ht="21.75" hidden="1" customHeight="1">
      <c r="A485" s="1"/>
      <c r="B485" s="232">
        <f t="shared" si="4"/>
        <v>479</v>
      </c>
      <c r="C485" s="181">
        <v>44959.0</v>
      </c>
      <c r="D485" s="182">
        <f t="shared" si="1"/>
        <v>2023</v>
      </c>
      <c r="E485" s="237" t="str">
        <f>hyperlink("https://www.amazon.com/gp/product/0544705289/ref=ppx_yo_dt_b_search_asin_title?ie=UTF8&amp;psc=1","Who Gets What - And Why: The New Economics of Matchmaking and Market Design")</f>
        <v>Who Gets What - And Why: The New Economics of Matchmaking and Market Design</v>
      </c>
      <c r="F485" s="185" t="s">
        <v>2624</v>
      </c>
      <c r="G485" s="185" t="s">
        <v>2625</v>
      </c>
      <c r="H485" s="185" t="s">
        <v>422</v>
      </c>
      <c r="I485" s="210">
        <v>12.0</v>
      </c>
      <c r="J485" s="185" t="s">
        <v>1522</v>
      </c>
      <c r="K485" s="185">
        <v>272.0</v>
      </c>
      <c r="L485" s="185" t="s">
        <v>1497</v>
      </c>
      <c r="M485" s="238" t="s">
        <v>1498</v>
      </c>
      <c r="N485" s="1"/>
    </row>
    <row r="486" ht="21.75" hidden="1" customHeight="1">
      <c r="A486" s="1"/>
      <c r="B486" s="232">
        <f t="shared" si="4"/>
        <v>480</v>
      </c>
      <c r="C486" s="181">
        <v>44989.0</v>
      </c>
      <c r="D486" s="182">
        <f t="shared" si="1"/>
        <v>2023</v>
      </c>
      <c r="E486" s="237" t="str">
        <f>hyperlink("https://www.amazon.com/Founders-Paypal-Entrepreneurs-Shaped-Silicon-ebook/dp/B08BZXPTGJ/ref=sr_1_1?keywords=the+founders+paypal&amp;qid=1687140714&amp;sprefix=the+founders+pay%2Caps%2C192&amp;sr=8-1","Founders, The: The Story of PayPal and the Entrepreneurs Who Shaped Silicon Valley")</f>
        <v>Founders, The: The Story of PayPal and the Entrepreneurs Who Shaped Silicon Valley</v>
      </c>
      <c r="F486" s="185" t="s">
        <v>2626</v>
      </c>
      <c r="G486" s="185" t="s">
        <v>2627</v>
      </c>
      <c r="H486" s="185" t="s">
        <v>422</v>
      </c>
      <c r="I486" s="210">
        <v>12.0</v>
      </c>
      <c r="J486" s="185" t="s">
        <v>1509</v>
      </c>
      <c r="K486" s="185">
        <v>491.0</v>
      </c>
      <c r="L486" s="185" t="s">
        <v>1526</v>
      </c>
      <c r="M486" s="227" t="s">
        <v>1527</v>
      </c>
      <c r="N486" s="1"/>
    </row>
    <row r="487" ht="21.75" hidden="1" customHeight="1">
      <c r="A487" s="1"/>
      <c r="B487" s="232">
        <f t="shared" si="4"/>
        <v>481</v>
      </c>
      <c r="C487" s="181">
        <v>45030.0</v>
      </c>
      <c r="D487" s="182">
        <f t="shared" si="1"/>
        <v>2023</v>
      </c>
      <c r="E487" s="237" t="str">
        <f>hyperlink("https://www.amazon.com/Endure-Work-Hard-Outlast-Hammering-ebook/dp/B09BLWGW9D/ref=sr_1_3?keywords=endure+alex+hutchinson&amp;qid=1683502256&amp;s=digital-text&amp;sprefix=endure+alex+%2Cdigital-text%2C131&amp;sr=1-3","Endure: How to Work Hard, Outlast, and Keep Hammering")</f>
        <v>Endure: How to Work Hard, Outlast, and Keep Hammering</v>
      </c>
      <c r="F487" s="185" t="s">
        <v>2628</v>
      </c>
      <c r="G487" s="185" t="s">
        <v>2629</v>
      </c>
      <c r="H487" s="185" t="s">
        <v>422</v>
      </c>
      <c r="I487" s="210">
        <v>12.0</v>
      </c>
      <c r="J487" s="185" t="s">
        <v>1502</v>
      </c>
      <c r="K487" s="185">
        <v>307.0</v>
      </c>
      <c r="L487" s="185" t="s">
        <v>1526</v>
      </c>
      <c r="M487" s="227" t="s">
        <v>1527</v>
      </c>
      <c r="N487" s="1"/>
    </row>
    <row r="488" ht="21.75" hidden="1" customHeight="1">
      <c r="A488" s="1"/>
      <c r="B488" s="232">
        <f t="shared" si="4"/>
        <v>482</v>
      </c>
      <c r="C488" s="181">
        <v>45078.0</v>
      </c>
      <c r="D488" s="182">
        <f t="shared" si="1"/>
        <v>2023</v>
      </c>
      <c r="E488" s="237" t="str">
        <f>hyperlink("https://www.amazon.com/Fear-Project-Emotion-Survival-Success-ebook/dp/B0096E1GXG/ref=tmm_kin_swatch_0?_encoding=UTF8&amp;qid=1686975203&amp;sr=1-1","Fear Project, The: What Our Most Primal Emotion Taught Me About Survival, Success, Surfing . . . and Love")</f>
        <v>Fear Project, The: What Our Most Primal Emotion Taught Me About Survival, Success, Surfing . . . and Love</v>
      </c>
      <c r="F488" s="185" t="s">
        <v>2630</v>
      </c>
      <c r="G488" s="185" t="s">
        <v>2631</v>
      </c>
      <c r="H488" s="185" t="s">
        <v>422</v>
      </c>
      <c r="I488" s="210">
        <v>12.0</v>
      </c>
      <c r="J488" s="185" t="s">
        <v>1502</v>
      </c>
      <c r="K488" s="185">
        <v>272.0</v>
      </c>
      <c r="L488" s="185" t="s">
        <v>1526</v>
      </c>
      <c r="M488" s="227" t="s">
        <v>1527</v>
      </c>
      <c r="N488" s="1"/>
    </row>
    <row r="489" ht="21.75" hidden="1" customHeight="1">
      <c r="A489" s="1"/>
      <c r="B489" s="232">
        <f t="shared" si="4"/>
        <v>483</v>
      </c>
      <c r="C489" s="181">
        <v>45458.0</v>
      </c>
      <c r="D489" s="182">
        <f t="shared" si="1"/>
        <v>2024</v>
      </c>
      <c r="E489" s="237" t="str">
        <f>hyperlink("https://a.co/d/iky5UkU","Co-Intelligence: Living and Working with AI")</f>
        <v>Co-Intelligence: Living and Working with AI</v>
      </c>
      <c r="F489" s="185" t="s">
        <v>2632</v>
      </c>
      <c r="G489" s="185" t="s">
        <v>2633</v>
      </c>
      <c r="H489" s="185" t="s">
        <v>422</v>
      </c>
      <c r="I489" s="210">
        <v>12.0</v>
      </c>
      <c r="J489" s="185" t="s">
        <v>1522</v>
      </c>
      <c r="K489" s="185">
        <v>253.0</v>
      </c>
      <c r="L489" s="185" t="s">
        <v>1526</v>
      </c>
      <c r="M489" s="227" t="s">
        <v>1527</v>
      </c>
      <c r="N489" s="1"/>
    </row>
    <row r="490" ht="21.75" hidden="1" customHeight="1">
      <c r="A490" s="1"/>
      <c r="B490" s="232">
        <f t="shared" si="4"/>
        <v>484</v>
      </c>
      <c r="C490" s="181">
        <v>45536.0</v>
      </c>
      <c r="D490" s="182">
        <f t="shared" si="1"/>
        <v>2024</v>
      </c>
      <c r="E490" s="237" t="str">
        <f>hyperlink("https://a.co/d/3JqtzVs","Comfort Crisis, The: Embrace Discomfort To Reclaim Your Wild, Happy, Healthy Self")</f>
        <v>Comfort Crisis, The: Embrace Discomfort To Reclaim Your Wild, Happy, Healthy Self</v>
      </c>
      <c r="F490" s="185" t="s">
        <v>2634</v>
      </c>
      <c r="G490" s="185" t="s">
        <v>2635</v>
      </c>
      <c r="H490" s="185" t="s">
        <v>422</v>
      </c>
      <c r="I490" s="210">
        <v>12.0</v>
      </c>
      <c r="J490" s="185" t="s">
        <v>1496</v>
      </c>
      <c r="K490" s="185">
        <v>284.0</v>
      </c>
      <c r="L490" s="185" t="s">
        <v>1526</v>
      </c>
      <c r="M490" s="227" t="s">
        <v>1527</v>
      </c>
      <c r="N490" s="1"/>
    </row>
    <row r="491" ht="21.75" hidden="1" customHeight="1">
      <c r="A491" s="1"/>
      <c r="B491" s="232">
        <f t="shared" si="4"/>
        <v>485</v>
      </c>
      <c r="C491" s="181">
        <v>45585.0</v>
      </c>
      <c r="D491" s="182">
        <f t="shared" si="1"/>
        <v>2024</v>
      </c>
      <c r="E491" s="237" t="str">
        <f>hyperlink("https://a.co/d/0Pw1vOa","The Sales Acceleration Formula: Using Data, Technology, and Inbound Selling to go from $0M to $100M")</f>
        <v>The Sales Acceleration Formula: Using Data, Technology, and Inbound Selling to go from $0M to $100M</v>
      </c>
      <c r="F491" s="185" t="s">
        <v>2636</v>
      </c>
      <c r="G491" s="185" t="s">
        <v>2637</v>
      </c>
      <c r="H491" s="185" t="s">
        <v>422</v>
      </c>
      <c r="I491" s="210">
        <v>12.0</v>
      </c>
      <c r="J491" s="185" t="s">
        <v>1522</v>
      </c>
      <c r="K491" s="185">
        <v>217.0</v>
      </c>
      <c r="L491" s="185" t="s">
        <v>1526</v>
      </c>
      <c r="M491" s="227" t="s">
        <v>1527</v>
      </c>
      <c r="N491" s="1"/>
    </row>
    <row r="492" ht="21.75" hidden="1" customHeight="1">
      <c r="A492" s="1"/>
      <c r="B492" s="232">
        <f t="shared" si="4"/>
        <v>486</v>
      </c>
      <c r="C492" s="181">
        <v>45620.0</v>
      </c>
      <c r="D492" s="182">
        <f t="shared" si="1"/>
        <v>2024</v>
      </c>
      <c r="E492" s="237" t="str">
        <f>hyperlink("https://a.co/d/5NI4QeF","Eleven Rings: The Soul of Success")</f>
        <v>Eleven Rings: The Soul of Success</v>
      </c>
      <c r="F492" s="185" t="s">
        <v>2638</v>
      </c>
      <c r="G492" s="185" t="s">
        <v>2639</v>
      </c>
      <c r="H492" s="185" t="s">
        <v>422</v>
      </c>
      <c r="I492" s="210">
        <v>12.0</v>
      </c>
      <c r="J492" s="185" t="s">
        <v>1502</v>
      </c>
      <c r="K492" s="185">
        <v>386.0</v>
      </c>
      <c r="L492" s="185" t="s">
        <v>1526</v>
      </c>
      <c r="M492" s="227" t="s">
        <v>1527</v>
      </c>
      <c r="N492" s="1"/>
    </row>
    <row r="493" ht="21.75" hidden="1" customHeight="1">
      <c r="A493" s="1"/>
      <c r="B493" s="232">
        <f t="shared" si="4"/>
        <v>487</v>
      </c>
      <c r="C493" s="181">
        <v>45652.0</v>
      </c>
      <c r="D493" s="182">
        <f t="shared" si="1"/>
        <v>2024</v>
      </c>
      <c r="E493" s="237" t="str">
        <f>hyperlink("https://a.co/d/iKvxZSm","Scaling People: Tactics for Management and Company Building")</f>
        <v>Scaling People: Tactics for Management and Company Building</v>
      </c>
      <c r="F493" s="185" t="s">
        <v>2640</v>
      </c>
      <c r="G493" s="185" t="s">
        <v>2641</v>
      </c>
      <c r="H493" s="185" t="s">
        <v>422</v>
      </c>
      <c r="I493" s="210">
        <v>12.0</v>
      </c>
      <c r="J493" s="185" t="s">
        <v>1522</v>
      </c>
      <c r="K493" s="185">
        <v>609.0</v>
      </c>
      <c r="L493" s="185" t="s">
        <v>1526</v>
      </c>
      <c r="M493" s="227" t="s">
        <v>1527</v>
      </c>
      <c r="N493" s="1"/>
    </row>
    <row r="494" ht="21.75" hidden="1" customHeight="1">
      <c r="A494" s="1"/>
      <c r="B494" s="232">
        <f t="shared" si="4"/>
        <v>488</v>
      </c>
      <c r="C494" s="181">
        <v>45654.0</v>
      </c>
      <c r="D494" s="182">
        <f t="shared" si="1"/>
        <v>2024</v>
      </c>
      <c r="E494" s="237" t="str">
        <f>hyperlink("https://a.co/d/cQBX7bD","Singularity is Nearer, The: When We Merge With AI")</f>
        <v>Singularity is Nearer, The: When We Merge With AI</v>
      </c>
      <c r="F494" s="185" t="s">
        <v>2642</v>
      </c>
      <c r="G494" s="185" t="s">
        <v>2643</v>
      </c>
      <c r="H494" s="185" t="s">
        <v>422</v>
      </c>
      <c r="I494" s="210">
        <v>12.0</v>
      </c>
      <c r="J494" s="185" t="s">
        <v>1496</v>
      </c>
      <c r="K494" s="185">
        <v>432.0</v>
      </c>
      <c r="L494" s="185" t="s">
        <v>1526</v>
      </c>
      <c r="M494" s="227" t="s">
        <v>1527</v>
      </c>
      <c r="N494" s="1"/>
    </row>
    <row r="495" ht="21.75" customHeight="1">
      <c r="A495" s="1"/>
      <c r="B495" s="232">
        <f t="shared" si="4"/>
        <v>489</v>
      </c>
      <c r="C495" s="181">
        <v>45791.0</v>
      </c>
      <c r="D495" s="182">
        <f t="shared" si="1"/>
        <v>2025</v>
      </c>
      <c r="E495" s="237" t="str">
        <f>hyperlink("https://a.co/d/bhHehWE","Warrior, The: Rafeel Nadal and his Kingdom of Clay")</f>
        <v>Warrior, The: Rafeel Nadal and his Kingdom of Clay</v>
      </c>
      <c r="F495" s="185" t="s">
        <v>2017</v>
      </c>
      <c r="G495" s="185" t="s">
        <v>2644</v>
      </c>
      <c r="H495" s="185" t="s">
        <v>422</v>
      </c>
      <c r="I495" s="210">
        <v>12.0</v>
      </c>
      <c r="J495" s="185" t="s">
        <v>1502</v>
      </c>
      <c r="K495" s="185">
        <v>352.0</v>
      </c>
      <c r="L495" s="185" t="s">
        <v>1526</v>
      </c>
      <c r="M495" s="227" t="s">
        <v>1527</v>
      </c>
      <c r="N495" s="1"/>
    </row>
    <row r="496" ht="21.75" customHeight="1">
      <c r="A496" s="1"/>
      <c r="B496" s="232">
        <f t="shared" si="4"/>
        <v>490</v>
      </c>
      <c r="C496" s="181">
        <v>45859.0</v>
      </c>
      <c r="D496" s="182">
        <f t="shared" si="1"/>
        <v>2025</v>
      </c>
      <c r="E496" s="237" t="str">
        <f>hyperlink("https://a.co/d/blmS3mB","Don't Believe Everything you Think: Why Your Thinking Is The Beginning &amp; End Of Suffering")</f>
        <v>Don't Believe Everything you Think: Why Your Thinking Is The Beginning &amp; End Of Suffering</v>
      </c>
      <c r="F496" s="185" t="s">
        <v>2645</v>
      </c>
      <c r="G496" s="185" t="s">
        <v>2646</v>
      </c>
      <c r="H496" s="185" t="s">
        <v>422</v>
      </c>
      <c r="I496" s="210">
        <v>12.0</v>
      </c>
      <c r="J496" s="185" t="s">
        <v>1496</v>
      </c>
      <c r="K496" s="185">
        <v>126.0</v>
      </c>
      <c r="L496" s="185" t="s">
        <v>1526</v>
      </c>
      <c r="M496" s="227" t="s">
        <v>1527</v>
      </c>
      <c r="N496" s="1"/>
    </row>
    <row r="497" ht="21.75" customHeight="1">
      <c r="A497" s="1"/>
      <c r="B497" s="232">
        <f t="shared" si="4"/>
        <v>491</v>
      </c>
      <c r="C497" s="181">
        <v>45924.0</v>
      </c>
      <c r="D497" s="182">
        <f t="shared" si="1"/>
        <v>2025</v>
      </c>
      <c r="E497" s="237" t="str">
        <f>hyperlink("https://a.co/d/c2HDqNK","My Brilliant Friend")</f>
        <v>My Brilliant Friend</v>
      </c>
      <c r="F497" s="185" t="s">
        <v>2647</v>
      </c>
      <c r="G497" s="185" t="s">
        <v>2648</v>
      </c>
      <c r="H497" s="185" t="s">
        <v>422</v>
      </c>
      <c r="I497" s="210">
        <v>12.0</v>
      </c>
      <c r="J497" s="185" t="s">
        <v>1509</v>
      </c>
      <c r="K497" s="185">
        <v>387.0</v>
      </c>
      <c r="L497" s="185" t="s">
        <v>1526</v>
      </c>
      <c r="M497" s="227" t="s">
        <v>1527</v>
      </c>
      <c r="N497" s="1"/>
    </row>
    <row r="498" ht="21.75" customHeight="1">
      <c r="A498" s="1"/>
      <c r="B498" s="232">
        <f t="shared" si="4"/>
        <v>492</v>
      </c>
      <c r="C498" s="181">
        <v>45933.0</v>
      </c>
      <c r="D498" s="182">
        <f t="shared" si="1"/>
        <v>2025</v>
      </c>
      <c r="E498" s="237" t="str">
        <f>hyperlink("https://a.co/d/2PxCzwU","Tell Me Everything")</f>
        <v>Tell Me Everything</v>
      </c>
      <c r="F498" s="185" t="s">
        <v>2421</v>
      </c>
      <c r="G498" s="185" t="s">
        <v>2649</v>
      </c>
      <c r="H498" s="185" t="s">
        <v>422</v>
      </c>
      <c r="I498" s="210">
        <v>12.0</v>
      </c>
      <c r="J498" s="185" t="s">
        <v>1509</v>
      </c>
      <c r="K498" s="185">
        <v>338.0</v>
      </c>
      <c r="L498" s="185" t="s">
        <v>1526</v>
      </c>
      <c r="M498" s="227" t="s">
        <v>1527</v>
      </c>
      <c r="N498" s="1"/>
    </row>
    <row r="499" ht="21.75" customHeight="1">
      <c r="A499" s="1"/>
      <c r="B499" s="232">
        <f t="shared" si="4"/>
        <v>493</v>
      </c>
      <c r="C499" s="181">
        <v>45938.0</v>
      </c>
      <c r="D499" s="239">
        <v>2025.0</v>
      </c>
      <c r="E499" s="237" t="str">
        <f>hyperlink("https://a.co/d/7ANQ6U3","Shipping News,The")</f>
        <v>Shipping News,The</v>
      </c>
      <c r="F499" s="185" t="s">
        <v>2650</v>
      </c>
      <c r="G499" s="185" t="s">
        <v>2651</v>
      </c>
      <c r="H499" s="185" t="s">
        <v>422</v>
      </c>
      <c r="I499" s="210">
        <v>12.0</v>
      </c>
      <c r="J499" s="185" t="s">
        <v>1509</v>
      </c>
      <c r="K499" s="185">
        <v>338.0</v>
      </c>
      <c r="L499" s="185" t="s">
        <v>1497</v>
      </c>
      <c r="M499" s="238" t="s">
        <v>1498</v>
      </c>
      <c r="N499" s="1"/>
    </row>
    <row r="500" ht="21.75" hidden="1" customHeight="1">
      <c r="A500" s="1"/>
      <c r="B500" s="232">
        <f t="shared" si="4"/>
        <v>494</v>
      </c>
      <c r="C500" s="181">
        <v>36335.0</v>
      </c>
      <c r="D500" s="182">
        <f t="shared" ref="D500:D613" si="5">year(C500)</f>
        <v>1999</v>
      </c>
      <c r="E500" s="203" t="s">
        <v>2652</v>
      </c>
      <c r="F500" s="184" t="s">
        <v>2653</v>
      </c>
      <c r="G500" s="184" t="s">
        <v>2654</v>
      </c>
      <c r="H500" s="184" t="s">
        <v>613</v>
      </c>
      <c r="I500" s="28">
        <v>12.0</v>
      </c>
      <c r="J500" s="184" t="s">
        <v>1509</v>
      </c>
      <c r="K500" s="218"/>
      <c r="L500" s="184" t="s">
        <v>1497</v>
      </c>
      <c r="M500" s="186" t="s">
        <v>804</v>
      </c>
      <c r="N500" s="1"/>
    </row>
    <row r="501" ht="22.5" hidden="1" customHeight="1">
      <c r="A501" s="1"/>
      <c r="B501" s="232">
        <f t="shared" si="4"/>
        <v>495</v>
      </c>
      <c r="C501" s="181">
        <v>36367.0</v>
      </c>
      <c r="D501" s="182">
        <f t="shared" si="5"/>
        <v>1999</v>
      </c>
      <c r="E501" s="203" t="s">
        <v>2655</v>
      </c>
      <c r="F501" s="184" t="s">
        <v>2656</v>
      </c>
      <c r="G501" s="184" t="s">
        <v>2657</v>
      </c>
      <c r="H501" s="184" t="s">
        <v>613</v>
      </c>
      <c r="I501" s="28">
        <v>12.0</v>
      </c>
      <c r="J501" s="184" t="s">
        <v>1509</v>
      </c>
      <c r="K501" s="218"/>
      <c r="L501" s="184" t="s">
        <v>1497</v>
      </c>
      <c r="M501" s="186" t="s">
        <v>804</v>
      </c>
      <c r="N501" s="1"/>
    </row>
    <row r="502" ht="22.5" hidden="1" customHeight="1">
      <c r="A502" s="1"/>
      <c r="B502" s="232">
        <f t="shared" si="4"/>
        <v>496</v>
      </c>
      <c r="C502" s="181">
        <v>36407.0</v>
      </c>
      <c r="D502" s="182">
        <f t="shared" si="5"/>
        <v>1999</v>
      </c>
      <c r="E502" s="203" t="s">
        <v>659</v>
      </c>
      <c r="F502" s="184" t="s">
        <v>2658</v>
      </c>
      <c r="G502" s="184" t="s">
        <v>2659</v>
      </c>
      <c r="H502" s="184" t="s">
        <v>613</v>
      </c>
      <c r="I502" s="28">
        <v>12.0</v>
      </c>
      <c r="J502" s="184" t="s">
        <v>1509</v>
      </c>
      <c r="K502" s="218"/>
      <c r="L502" s="184" t="s">
        <v>1497</v>
      </c>
      <c r="M502" s="186" t="s">
        <v>804</v>
      </c>
      <c r="N502" s="1"/>
    </row>
    <row r="503" ht="39.0" hidden="1" customHeight="1">
      <c r="A503" s="1"/>
      <c r="B503" s="232">
        <f t="shared" si="4"/>
        <v>497</v>
      </c>
      <c r="C503" s="181">
        <v>36704.0</v>
      </c>
      <c r="D503" s="182">
        <f t="shared" si="5"/>
        <v>2000</v>
      </c>
      <c r="E503" s="203" t="s">
        <v>2660</v>
      </c>
      <c r="F503" s="184" t="s">
        <v>1596</v>
      </c>
      <c r="G503" s="184" t="s">
        <v>2661</v>
      </c>
      <c r="H503" s="184" t="s">
        <v>613</v>
      </c>
      <c r="I503" s="28">
        <v>12.0</v>
      </c>
      <c r="J503" s="184" t="s">
        <v>1509</v>
      </c>
      <c r="K503" s="218"/>
      <c r="L503" s="184" t="s">
        <v>1497</v>
      </c>
      <c r="M503" s="186" t="s">
        <v>804</v>
      </c>
      <c r="N503" s="1"/>
    </row>
    <row r="504" ht="22.5" hidden="1" customHeight="1">
      <c r="A504" s="1"/>
      <c r="B504" s="232">
        <f t="shared" si="4"/>
        <v>498</v>
      </c>
      <c r="C504" s="181">
        <v>36717.0</v>
      </c>
      <c r="D504" s="182">
        <f t="shared" si="5"/>
        <v>2000</v>
      </c>
      <c r="E504" s="203" t="s">
        <v>2662</v>
      </c>
      <c r="F504" s="184" t="s">
        <v>2663</v>
      </c>
      <c r="G504" s="184" t="s">
        <v>2664</v>
      </c>
      <c r="H504" s="184" t="s">
        <v>613</v>
      </c>
      <c r="I504" s="28">
        <v>12.0</v>
      </c>
      <c r="J504" s="184" t="s">
        <v>1502</v>
      </c>
      <c r="K504" s="218"/>
      <c r="L504" s="184" t="s">
        <v>1497</v>
      </c>
      <c r="M504" s="186" t="s">
        <v>804</v>
      </c>
      <c r="N504" s="1"/>
    </row>
    <row r="505" ht="21.0" hidden="1" customHeight="1">
      <c r="A505" s="1"/>
      <c r="B505" s="232">
        <f t="shared" si="4"/>
        <v>499</v>
      </c>
      <c r="C505" s="181">
        <v>36833.0</v>
      </c>
      <c r="D505" s="182">
        <f t="shared" si="5"/>
        <v>2000</v>
      </c>
      <c r="E505" s="203" t="s">
        <v>2665</v>
      </c>
      <c r="F505" s="219" t="s">
        <v>1596</v>
      </c>
      <c r="G505" s="219" t="s">
        <v>2666</v>
      </c>
      <c r="H505" s="219" t="s">
        <v>613</v>
      </c>
      <c r="I505" s="28">
        <v>12.0</v>
      </c>
      <c r="J505" s="219" t="s">
        <v>1509</v>
      </c>
      <c r="K505" s="184">
        <v>160.0</v>
      </c>
      <c r="L505" s="184" t="s">
        <v>1497</v>
      </c>
      <c r="M505" s="186" t="s">
        <v>804</v>
      </c>
      <c r="N505" s="1"/>
    </row>
    <row r="506" ht="39.0" hidden="1" customHeight="1">
      <c r="A506" s="1"/>
      <c r="B506" s="232">
        <f t="shared" si="4"/>
        <v>500</v>
      </c>
      <c r="C506" s="181">
        <v>37305.0</v>
      </c>
      <c r="D506" s="182">
        <f t="shared" si="5"/>
        <v>2002</v>
      </c>
      <c r="E506" s="203" t="s">
        <v>2667</v>
      </c>
      <c r="F506" s="184" t="s">
        <v>2668</v>
      </c>
      <c r="G506" s="184" t="s">
        <v>2669</v>
      </c>
      <c r="H506" s="184" t="s">
        <v>613</v>
      </c>
      <c r="I506" s="28">
        <v>12.0</v>
      </c>
      <c r="J506" s="184" t="s">
        <v>1502</v>
      </c>
      <c r="K506" s="218"/>
      <c r="L506" s="184" t="s">
        <v>1497</v>
      </c>
      <c r="M506" s="186" t="s">
        <v>804</v>
      </c>
      <c r="N506" s="1"/>
    </row>
    <row r="507" ht="21.75" hidden="1" customHeight="1">
      <c r="A507" s="1"/>
      <c r="B507" s="232">
        <f t="shared" si="4"/>
        <v>501</v>
      </c>
      <c r="C507" s="181">
        <v>37317.0</v>
      </c>
      <c r="D507" s="182">
        <f t="shared" si="5"/>
        <v>2002</v>
      </c>
      <c r="E507" s="203" t="s">
        <v>2670</v>
      </c>
      <c r="F507" s="184" t="s">
        <v>2671</v>
      </c>
      <c r="G507" s="184" t="s">
        <v>2672</v>
      </c>
      <c r="H507" s="184" t="s">
        <v>613</v>
      </c>
      <c r="I507" s="28">
        <v>12.0</v>
      </c>
      <c r="J507" s="184" t="s">
        <v>1502</v>
      </c>
      <c r="K507" s="218"/>
      <c r="L507" s="184" t="s">
        <v>1497</v>
      </c>
      <c r="M507" s="186" t="s">
        <v>804</v>
      </c>
      <c r="N507" s="1"/>
    </row>
    <row r="508" ht="39.0" hidden="1" customHeight="1">
      <c r="A508" s="1"/>
      <c r="B508" s="232">
        <f t="shared" si="4"/>
        <v>502</v>
      </c>
      <c r="C508" s="181">
        <v>37335.0</v>
      </c>
      <c r="D508" s="182">
        <f t="shared" si="5"/>
        <v>2002</v>
      </c>
      <c r="E508" s="203" t="s">
        <v>2673</v>
      </c>
      <c r="F508" s="184" t="s">
        <v>2674</v>
      </c>
      <c r="G508" s="184" t="s">
        <v>2675</v>
      </c>
      <c r="H508" s="184" t="s">
        <v>613</v>
      </c>
      <c r="I508" s="28">
        <v>12.0</v>
      </c>
      <c r="J508" s="184" t="s">
        <v>1502</v>
      </c>
      <c r="K508" s="218"/>
      <c r="L508" s="184" t="s">
        <v>1497</v>
      </c>
      <c r="M508" s="186" t="s">
        <v>804</v>
      </c>
      <c r="N508" s="1"/>
    </row>
    <row r="509" ht="22.5" hidden="1" customHeight="1">
      <c r="A509" s="1"/>
      <c r="B509" s="232">
        <f t="shared" si="4"/>
        <v>503</v>
      </c>
      <c r="C509" s="181">
        <v>37492.0</v>
      </c>
      <c r="D509" s="182">
        <f t="shared" si="5"/>
        <v>2002</v>
      </c>
      <c r="E509" s="203" t="s">
        <v>2676</v>
      </c>
      <c r="F509" s="184" t="s">
        <v>2677</v>
      </c>
      <c r="G509" s="184" t="s">
        <v>2678</v>
      </c>
      <c r="H509" s="184" t="s">
        <v>613</v>
      </c>
      <c r="I509" s="28">
        <v>12.0</v>
      </c>
      <c r="J509" s="184" t="s">
        <v>1502</v>
      </c>
      <c r="K509" s="218"/>
      <c r="L509" s="184" t="s">
        <v>1497</v>
      </c>
      <c r="M509" s="186" t="s">
        <v>804</v>
      </c>
      <c r="N509" s="1"/>
    </row>
    <row r="510" ht="33.0" hidden="1" customHeight="1">
      <c r="A510" s="1"/>
      <c r="B510" s="232">
        <f t="shared" si="4"/>
        <v>504</v>
      </c>
      <c r="C510" s="181">
        <v>37629.0</v>
      </c>
      <c r="D510" s="182">
        <f t="shared" si="5"/>
        <v>2003</v>
      </c>
      <c r="E510" s="203" t="s">
        <v>2679</v>
      </c>
      <c r="F510" s="184" t="s">
        <v>2680</v>
      </c>
      <c r="G510" s="184" t="s">
        <v>2681</v>
      </c>
      <c r="H510" s="184" t="s">
        <v>613</v>
      </c>
      <c r="I510" s="28">
        <v>12.0</v>
      </c>
      <c r="J510" s="184" t="s">
        <v>1760</v>
      </c>
      <c r="K510" s="218"/>
      <c r="L510" s="184" t="s">
        <v>1497</v>
      </c>
      <c r="M510" s="186" t="s">
        <v>1498</v>
      </c>
      <c r="N510" s="1"/>
    </row>
    <row r="511" ht="39.0" hidden="1" customHeight="1">
      <c r="A511" s="1"/>
      <c r="B511" s="232">
        <f t="shared" si="4"/>
        <v>505</v>
      </c>
      <c r="C511" s="181">
        <v>37633.0</v>
      </c>
      <c r="D511" s="182">
        <f t="shared" si="5"/>
        <v>2003</v>
      </c>
      <c r="E511" s="203" t="s">
        <v>2682</v>
      </c>
      <c r="F511" s="184" t="s">
        <v>2683</v>
      </c>
      <c r="G511" s="184" t="s">
        <v>2684</v>
      </c>
      <c r="H511" s="184" t="s">
        <v>613</v>
      </c>
      <c r="I511" s="28">
        <v>12.0</v>
      </c>
      <c r="J511" s="184" t="s">
        <v>1760</v>
      </c>
      <c r="K511" s="218"/>
      <c r="L511" s="184" t="s">
        <v>1497</v>
      </c>
      <c r="M511" s="186" t="s">
        <v>1498</v>
      </c>
      <c r="N511" s="1"/>
    </row>
    <row r="512" ht="26.25" hidden="1" customHeight="1">
      <c r="A512" s="1"/>
      <c r="B512" s="232">
        <f t="shared" si="4"/>
        <v>506</v>
      </c>
      <c r="C512" s="181">
        <v>37971.0</v>
      </c>
      <c r="D512" s="182">
        <f t="shared" si="5"/>
        <v>2003</v>
      </c>
      <c r="E512" s="203" t="s">
        <v>2685</v>
      </c>
      <c r="F512" s="184" t="s">
        <v>1750</v>
      </c>
      <c r="G512" s="184" t="s">
        <v>2686</v>
      </c>
      <c r="H512" s="184" t="s">
        <v>613</v>
      </c>
      <c r="I512" s="28">
        <v>12.0</v>
      </c>
      <c r="J512" s="184" t="s">
        <v>1502</v>
      </c>
      <c r="K512" s="218"/>
      <c r="L512" s="184" t="s">
        <v>1497</v>
      </c>
      <c r="M512" s="186" t="s">
        <v>804</v>
      </c>
      <c r="N512" s="1"/>
    </row>
    <row r="513" ht="26.25" hidden="1" customHeight="1">
      <c r="A513" s="1"/>
      <c r="B513" s="232">
        <f t="shared" si="4"/>
        <v>507</v>
      </c>
      <c r="C513" s="181">
        <v>38125.0</v>
      </c>
      <c r="D513" s="182">
        <f t="shared" si="5"/>
        <v>2004</v>
      </c>
      <c r="E513" s="203" t="s">
        <v>2687</v>
      </c>
      <c r="F513" s="184" t="s">
        <v>2688</v>
      </c>
      <c r="G513" s="184" t="s">
        <v>2689</v>
      </c>
      <c r="H513" s="184" t="s">
        <v>613</v>
      </c>
      <c r="I513" s="28">
        <v>12.0</v>
      </c>
      <c r="J513" s="184" t="s">
        <v>1522</v>
      </c>
      <c r="K513" s="218"/>
      <c r="L513" s="184" t="s">
        <v>1497</v>
      </c>
      <c r="M513" s="186" t="s">
        <v>1498</v>
      </c>
      <c r="N513" s="1"/>
    </row>
    <row r="514" ht="26.25" hidden="1" customHeight="1">
      <c r="A514" s="1"/>
      <c r="B514" s="232">
        <f t="shared" si="4"/>
        <v>508</v>
      </c>
      <c r="C514" s="181">
        <v>38128.0</v>
      </c>
      <c r="D514" s="182">
        <f t="shared" si="5"/>
        <v>2004</v>
      </c>
      <c r="E514" s="203" t="s">
        <v>2690</v>
      </c>
      <c r="F514" s="184" t="s">
        <v>2691</v>
      </c>
      <c r="G514" s="184" t="s">
        <v>2692</v>
      </c>
      <c r="H514" s="184" t="s">
        <v>613</v>
      </c>
      <c r="I514" s="28">
        <v>12.0</v>
      </c>
      <c r="J514" s="184" t="s">
        <v>1522</v>
      </c>
      <c r="K514" s="218"/>
      <c r="L514" s="184" t="s">
        <v>1497</v>
      </c>
      <c r="M514" s="186" t="s">
        <v>1498</v>
      </c>
      <c r="N514" s="1"/>
    </row>
    <row r="515" ht="24.75" hidden="1" customHeight="1">
      <c r="A515" s="1"/>
      <c r="B515" s="232">
        <f t="shared" si="4"/>
        <v>509</v>
      </c>
      <c r="C515" s="181">
        <v>38193.0</v>
      </c>
      <c r="D515" s="182">
        <f t="shared" si="5"/>
        <v>2004</v>
      </c>
      <c r="E515" s="203" t="s">
        <v>2693</v>
      </c>
      <c r="F515" s="184" t="s">
        <v>2694</v>
      </c>
      <c r="G515" s="184" t="s">
        <v>2695</v>
      </c>
      <c r="H515" s="184" t="s">
        <v>613</v>
      </c>
      <c r="I515" s="28">
        <v>12.0</v>
      </c>
      <c r="J515" s="184" t="s">
        <v>1509</v>
      </c>
      <c r="K515" s="218"/>
      <c r="L515" s="184" t="s">
        <v>1497</v>
      </c>
      <c r="M515" s="186" t="s">
        <v>804</v>
      </c>
      <c r="N515" s="1"/>
    </row>
    <row r="516" ht="22.5" hidden="1" customHeight="1">
      <c r="A516" s="1"/>
      <c r="B516" s="232">
        <f t="shared" si="4"/>
        <v>510</v>
      </c>
      <c r="C516" s="181">
        <v>38208.0</v>
      </c>
      <c r="D516" s="182">
        <f t="shared" si="5"/>
        <v>2004</v>
      </c>
      <c r="E516" s="203" t="s">
        <v>2696</v>
      </c>
      <c r="F516" s="184" t="s">
        <v>2697</v>
      </c>
      <c r="G516" s="184" t="s">
        <v>2698</v>
      </c>
      <c r="H516" s="184" t="s">
        <v>613</v>
      </c>
      <c r="I516" s="28">
        <v>12.0</v>
      </c>
      <c r="J516" s="184" t="s">
        <v>1760</v>
      </c>
      <c r="K516" s="218"/>
      <c r="L516" s="184" t="s">
        <v>1497</v>
      </c>
      <c r="M516" s="186" t="s">
        <v>1498</v>
      </c>
      <c r="N516" s="1"/>
    </row>
    <row r="517" ht="32.25" hidden="1" customHeight="1">
      <c r="A517" s="1"/>
      <c r="B517" s="232">
        <f t="shared" si="4"/>
        <v>511</v>
      </c>
      <c r="C517" s="181">
        <v>38292.0</v>
      </c>
      <c r="D517" s="182">
        <f t="shared" si="5"/>
        <v>2004</v>
      </c>
      <c r="E517" s="203" t="s">
        <v>2699</v>
      </c>
      <c r="F517" s="184" t="s">
        <v>2700</v>
      </c>
      <c r="G517" s="184" t="s">
        <v>2701</v>
      </c>
      <c r="H517" s="184" t="s">
        <v>613</v>
      </c>
      <c r="I517" s="28">
        <v>12.0</v>
      </c>
      <c r="J517" s="184" t="s">
        <v>1522</v>
      </c>
      <c r="K517" s="218"/>
      <c r="L517" s="184" t="s">
        <v>1497</v>
      </c>
      <c r="M517" s="186" t="s">
        <v>1498</v>
      </c>
      <c r="N517" s="1"/>
    </row>
    <row r="518" ht="29.25" hidden="1" customHeight="1">
      <c r="A518" s="1"/>
      <c r="B518" s="232">
        <f t="shared" si="4"/>
        <v>512</v>
      </c>
      <c r="C518" s="181">
        <v>38454.0</v>
      </c>
      <c r="D518" s="182">
        <f t="shared" si="5"/>
        <v>2005</v>
      </c>
      <c r="E518" s="203" t="s">
        <v>2702</v>
      </c>
      <c r="F518" s="184" t="s">
        <v>2703</v>
      </c>
      <c r="G518" s="184" t="s">
        <v>2704</v>
      </c>
      <c r="H518" s="184" t="s">
        <v>613</v>
      </c>
      <c r="I518" s="28">
        <v>12.0</v>
      </c>
      <c r="J518" s="184" t="s">
        <v>1522</v>
      </c>
      <c r="K518" s="218"/>
      <c r="L518" s="184" t="s">
        <v>1497</v>
      </c>
      <c r="M518" s="186" t="s">
        <v>1498</v>
      </c>
      <c r="N518" s="1"/>
    </row>
    <row r="519" ht="20.25" hidden="1" customHeight="1">
      <c r="A519" s="1"/>
      <c r="B519" s="232">
        <f t="shared" si="4"/>
        <v>513</v>
      </c>
      <c r="C519" s="181">
        <v>38537.0</v>
      </c>
      <c r="D519" s="182">
        <f t="shared" si="5"/>
        <v>2005</v>
      </c>
      <c r="E519" s="203" t="s">
        <v>2705</v>
      </c>
      <c r="F519" s="184" t="s">
        <v>2706</v>
      </c>
      <c r="G519" s="184" t="s">
        <v>2707</v>
      </c>
      <c r="H519" s="184" t="s">
        <v>613</v>
      </c>
      <c r="I519" s="28">
        <v>12.0</v>
      </c>
      <c r="J519" s="184" t="s">
        <v>1496</v>
      </c>
      <c r="K519" s="218"/>
      <c r="L519" s="184" t="s">
        <v>1497</v>
      </c>
      <c r="M519" s="186" t="s">
        <v>1498</v>
      </c>
      <c r="N519" s="1"/>
    </row>
    <row r="520" ht="30.0" hidden="1" customHeight="1">
      <c r="A520" s="1"/>
      <c r="B520" s="232">
        <f t="shared" si="4"/>
        <v>514</v>
      </c>
      <c r="C520" s="181">
        <v>38552.0</v>
      </c>
      <c r="D520" s="182">
        <f t="shared" si="5"/>
        <v>2005</v>
      </c>
      <c r="E520" s="203" t="s">
        <v>2708</v>
      </c>
      <c r="F520" s="184" t="s">
        <v>2709</v>
      </c>
      <c r="G520" s="184" t="s">
        <v>2710</v>
      </c>
      <c r="H520" s="184" t="s">
        <v>613</v>
      </c>
      <c r="I520" s="28">
        <v>12.0</v>
      </c>
      <c r="J520" s="184" t="s">
        <v>1522</v>
      </c>
      <c r="K520" s="218"/>
      <c r="L520" s="184" t="s">
        <v>1497</v>
      </c>
      <c r="M520" s="186" t="s">
        <v>1498</v>
      </c>
      <c r="N520" s="1"/>
    </row>
    <row r="521" ht="51.75" hidden="1" customHeight="1">
      <c r="A521" s="1"/>
      <c r="B521" s="232">
        <f t="shared" si="4"/>
        <v>515</v>
      </c>
      <c r="C521" s="181">
        <v>38557.0</v>
      </c>
      <c r="D521" s="182">
        <f t="shared" si="5"/>
        <v>2005</v>
      </c>
      <c r="E521" s="203" t="s">
        <v>2711</v>
      </c>
      <c r="F521" s="184" t="s">
        <v>1610</v>
      </c>
      <c r="G521" s="184" t="s">
        <v>2712</v>
      </c>
      <c r="H521" s="184" t="s">
        <v>613</v>
      </c>
      <c r="I521" s="28">
        <v>12.0</v>
      </c>
      <c r="J521" s="184" t="s">
        <v>1496</v>
      </c>
      <c r="K521" s="218"/>
      <c r="L521" s="184" t="s">
        <v>1497</v>
      </c>
      <c r="M521" s="186" t="s">
        <v>1498</v>
      </c>
      <c r="N521" s="1"/>
    </row>
    <row r="522" ht="33.0" hidden="1" customHeight="1">
      <c r="A522" s="1"/>
      <c r="B522" s="232">
        <f t="shared" si="4"/>
        <v>516</v>
      </c>
      <c r="C522" s="181">
        <v>39138.0</v>
      </c>
      <c r="D522" s="182">
        <f t="shared" si="5"/>
        <v>2007</v>
      </c>
      <c r="E522" s="203" t="s">
        <v>2713</v>
      </c>
      <c r="F522" s="184" t="s">
        <v>1549</v>
      </c>
      <c r="G522" s="184" t="s">
        <v>2714</v>
      </c>
      <c r="H522" s="184" t="s">
        <v>613</v>
      </c>
      <c r="I522" s="28">
        <v>12.0</v>
      </c>
      <c r="J522" s="184" t="s">
        <v>1509</v>
      </c>
      <c r="K522" s="184">
        <v>272.0</v>
      </c>
      <c r="L522" s="184" t="s">
        <v>1497</v>
      </c>
      <c r="M522" s="186" t="s">
        <v>1498</v>
      </c>
      <c r="N522" s="1"/>
    </row>
    <row r="523" ht="33.0" hidden="1" customHeight="1">
      <c r="A523" s="1"/>
      <c r="B523" s="232">
        <f t="shared" si="4"/>
        <v>517</v>
      </c>
      <c r="C523" s="181">
        <v>38812.0</v>
      </c>
      <c r="D523" s="182">
        <f t="shared" si="5"/>
        <v>2006</v>
      </c>
      <c r="E523" s="203" t="s">
        <v>2715</v>
      </c>
      <c r="F523" s="184" t="s">
        <v>2716</v>
      </c>
      <c r="G523" s="184" t="s">
        <v>2717</v>
      </c>
      <c r="H523" s="184" t="s">
        <v>613</v>
      </c>
      <c r="I523" s="28">
        <v>12.0</v>
      </c>
      <c r="J523" s="184" t="s">
        <v>1496</v>
      </c>
      <c r="K523" s="218"/>
      <c r="L523" s="184" t="s">
        <v>1497</v>
      </c>
      <c r="M523" s="186" t="s">
        <v>1498</v>
      </c>
      <c r="N523" s="1"/>
    </row>
    <row r="524" ht="30.0" hidden="1" customHeight="1">
      <c r="A524" s="1"/>
      <c r="B524" s="232">
        <f t="shared" si="4"/>
        <v>518</v>
      </c>
      <c r="C524" s="181">
        <v>38941.0</v>
      </c>
      <c r="D524" s="182">
        <f t="shared" si="5"/>
        <v>2006</v>
      </c>
      <c r="E524" s="240" t="str">
        <f>HYPERLINK("https://www.amazon.com/McDonalds-Behind-John-F-Love/dp/0553347594/ref=sr_1_1?keywords=behind+the+arches&amp;qid=1579739974&amp;sr=8-1","McDonald
's: Behind The Arches")</f>
        <v>McDonald
's: Behind The Arches</v>
      </c>
      <c r="F524" s="185" t="s">
        <v>2718</v>
      </c>
      <c r="G524" s="185" t="s">
        <v>2719</v>
      </c>
      <c r="H524" s="185" t="s">
        <v>613</v>
      </c>
      <c r="I524" s="210">
        <v>12.0</v>
      </c>
      <c r="J524" s="185" t="s">
        <v>1522</v>
      </c>
      <c r="K524" s="185">
        <v>496.0</v>
      </c>
      <c r="L524" s="185" t="s">
        <v>1497</v>
      </c>
      <c r="M524" s="211" t="s">
        <v>1498</v>
      </c>
      <c r="N524" s="1"/>
    </row>
    <row r="525" ht="30.0" hidden="1" customHeight="1">
      <c r="A525" s="1"/>
      <c r="B525" s="232">
        <f t="shared" si="4"/>
        <v>519</v>
      </c>
      <c r="C525" s="181">
        <v>38944.0</v>
      </c>
      <c r="D525" s="182">
        <f t="shared" si="5"/>
        <v>2006</v>
      </c>
      <c r="E525" s="203" t="s">
        <v>2720</v>
      </c>
      <c r="F525" s="184" t="s">
        <v>1845</v>
      </c>
      <c r="G525" s="184" t="s">
        <v>2721</v>
      </c>
      <c r="H525" s="184" t="s">
        <v>613</v>
      </c>
      <c r="I525" s="28">
        <v>12.0</v>
      </c>
      <c r="J525" s="184" t="s">
        <v>1509</v>
      </c>
      <c r="K525" s="218"/>
      <c r="L525" s="184" t="s">
        <v>1497</v>
      </c>
      <c r="M525" s="186" t="s">
        <v>804</v>
      </c>
      <c r="N525" s="1"/>
    </row>
    <row r="526" ht="42.75" hidden="1" customHeight="1">
      <c r="A526" s="1"/>
      <c r="B526" s="232">
        <f t="shared" si="4"/>
        <v>520</v>
      </c>
      <c r="C526" s="181">
        <v>39054.0</v>
      </c>
      <c r="D526" s="182">
        <f t="shared" si="5"/>
        <v>2006</v>
      </c>
      <c r="E526" s="203" t="s">
        <v>2722</v>
      </c>
      <c r="F526" s="184" t="s">
        <v>2723</v>
      </c>
      <c r="G526" s="184" t="s">
        <v>2724</v>
      </c>
      <c r="H526" s="184" t="s">
        <v>613</v>
      </c>
      <c r="I526" s="28">
        <v>12.0</v>
      </c>
      <c r="J526" s="184" t="s">
        <v>1522</v>
      </c>
      <c r="K526" s="218"/>
      <c r="L526" s="184" t="s">
        <v>1497</v>
      </c>
      <c r="M526" s="186" t="s">
        <v>1498</v>
      </c>
      <c r="N526" s="1"/>
    </row>
    <row r="527" ht="45.0" hidden="1" customHeight="1">
      <c r="A527" s="1"/>
      <c r="B527" s="232">
        <f t="shared" si="4"/>
        <v>521</v>
      </c>
      <c r="C527" s="181">
        <v>39319.0</v>
      </c>
      <c r="D527" s="182">
        <f t="shared" si="5"/>
        <v>2007</v>
      </c>
      <c r="E527" s="203" t="s">
        <v>2725</v>
      </c>
      <c r="F527" s="184" t="s">
        <v>2726</v>
      </c>
      <c r="G527" s="184" t="s">
        <v>2727</v>
      </c>
      <c r="H527" s="184" t="s">
        <v>613</v>
      </c>
      <c r="I527" s="28">
        <v>12.0</v>
      </c>
      <c r="J527" s="184" t="s">
        <v>1509</v>
      </c>
      <c r="K527" s="218"/>
      <c r="L527" s="184" t="s">
        <v>1497</v>
      </c>
      <c r="M527" s="186" t="s">
        <v>804</v>
      </c>
      <c r="N527" s="1"/>
    </row>
    <row r="528" ht="34.5" hidden="1" customHeight="1">
      <c r="A528" s="1"/>
      <c r="B528" s="232">
        <f t="shared" si="4"/>
        <v>522</v>
      </c>
      <c r="C528" s="181">
        <v>39393.0</v>
      </c>
      <c r="D528" s="182">
        <f t="shared" si="5"/>
        <v>2007</v>
      </c>
      <c r="E528" s="203" t="s">
        <v>2728</v>
      </c>
      <c r="F528" s="184" t="s">
        <v>2729</v>
      </c>
      <c r="G528" s="184" t="s">
        <v>2730</v>
      </c>
      <c r="H528" s="184" t="s">
        <v>613</v>
      </c>
      <c r="I528" s="28">
        <v>12.0</v>
      </c>
      <c r="J528" s="184" t="s">
        <v>1509</v>
      </c>
      <c r="K528" s="218"/>
      <c r="L528" s="184" t="s">
        <v>1497</v>
      </c>
      <c r="M528" s="186" t="s">
        <v>804</v>
      </c>
      <c r="N528" s="1"/>
    </row>
    <row r="529" ht="51.75" hidden="1" customHeight="1">
      <c r="A529" s="1"/>
      <c r="B529" s="232">
        <f t="shared" si="4"/>
        <v>523</v>
      </c>
      <c r="C529" s="181">
        <v>39403.0</v>
      </c>
      <c r="D529" s="182">
        <f t="shared" si="5"/>
        <v>2007</v>
      </c>
      <c r="E529" s="203" t="s">
        <v>2731</v>
      </c>
      <c r="F529" s="184" t="s">
        <v>2732</v>
      </c>
      <c r="G529" s="184" t="s">
        <v>2733</v>
      </c>
      <c r="H529" s="184" t="s">
        <v>613</v>
      </c>
      <c r="I529" s="28">
        <v>12.0</v>
      </c>
      <c r="J529" s="184" t="s">
        <v>1522</v>
      </c>
      <c r="K529" s="218"/>
      <c r="L529" s="184" t="s">
        <v>1497</v>
      </c>
      <c r="M529" s="186" t="s">
        <v>1527</v>
      </c>
      <c r="N529" s="1"/>
    </row>
    <row r="530" ht="51.75" hidden="1" customHeight="1">
      <c r="A530" s="1"/>
      <c r="B530" s="232">
        <f t="shared" si="4"/>
        <v>524</v>
      </c>
      <c r="C530" s="181">
        <v>39415.0</v>
      </c>
      <c r="D530" s="182">
        <f t="shared" si="5"/>
        <v>2007</v>
      </c>
      <c r="E530" s="203" t="s">
        <v>2734</v>
      </c>
      <c r="F530" s="184" t="s">
        <v>2735</v>
      </c>
      <c r="G530" s="184" t="s">
        <v>2736</v>
      </c>
      <c r="H530" s="184" t="s">
        <v>613</v>
      </c>
      <c r="I530" s="28">
        <v>12.0</v>
      </c>
      <c r="J530" s="184" t="s">
        <v>1496</v>
      </c>
      <c r="K530" s="218"/>
      <c r="L530" s="184" t="s">
        <v>1497</v>
      </c>
      <c r="M530" s="186" t="s">
        <v>1498</v>
      </c>
      <c r="N530" s="1"/>
    </row>
    <row r="531" ht="43.5" hidden="1" customHeight="1">
      <c r="A531" s="1"/>
      <c r="B531" s="232">
        <f t="shared" si="4"/>
        <v>525</v>
      </c>
      <c r="C531" s="181">
        <v>39425.0</v>
      </c>
      <c r="D531" s="182">
        <f t="shared" si="5"/>
        <v>2007</v>
      </c>
      <c r="E531" s="203" t="s">
        <v>2737</v>
      </c>
      <c r="F531" s="184" t="s">
        <v>2738</v>
      </c>
      <c r="G531" s="184" t="s">
        <v>2739</v>
      </c>
      <c r="H531" s="184" t="s">
        <v>613</v>
      </c>
      <c r="I531" s="28">
        <v>12.0</v>
      </c>
      <c r="J531" s="184" t="s">
        <v>1496</v>
      </c>
      <c r="K531" s="218"/>
      <c r="L531" s="184" t="s">
        <v>1497</v>
      </c>
      <c r="M531" s="186" t="s">
        <v>1498</v>
      </c>
      <c r="N531" s="1"/>
    </row>
    <row r="532" ht="51.75" hidden="1" customHeight="1">
      <c r="A532" s="1"/>
      <c r="B532" s="232">
        <f t="shared" si="4"/>
        <v>526</v>
      </c>
      <c r="C532" s="181">
        <v>39435.0</v>
      </c>
      <c r="D532" s="182">
        <f t="shared" si="5"/>
        <v>2007</v>
      </c>
      <c r="E532" s="203" t="s">
        <v>2740</v>
      </c>
      <c r="F532" s="184" t="s">
        <v>2741</v>
      </c>
      <c r="G532" s="184" t="s">
        <v>2742</v>
      </c>
      <c r="H532" s="184" t="s">
        <v>613</v>
      </c>
      <c r="I532" s="28">
        <v>12.0</v>
      </c>
      <c r="J532" s="184" t="s">
        <v>1496</v>
      </c>
      <c r="K532" s="218"/>
      <c r="L532" s="184" t="s">
        <v>1497</v>
      </c>
      <c r="M532" s="186" t="s">
        <v>1498</v>
      </c>
      <c r="N532" s="1"/>
    </row>
    <row r="533" ht="51.75" hidden="1" customHeight="1">
      <c r="A533" s="1"/>
      <c r="B533" s="232">
        <f t="shared" si="4"/>
        <v>527</v>
      </c>
      <c r="C533" s="181">
        <v>39580.0</v>
      </c>
      <c r="D533" s="182">
        <f t="shared" si="5"/>
        <v>2008</v>
      </c>
      <c r="E533" s="203" t="s">
        <v>2743</v>
      </c>
      <c r="F533" s="184" t="s">
        <v>2744</v>
      </c>
      <c r="G533" s="184" t="s">
        <v>2745</v>
      </c>
      <c r="H533" s="184" t="s">
        <v>613</v>
      </c>
      <c r="I533" s="28">
        <v>12.0</v>
      </c>
      <c r="J533" s="184" t="s">
        <v>1496</v>
      </c>
      <c r="K533" s="184">
        <v>215.0</v>
      </c>
      <c r="L533" s="184" t="s">
        <v>1497</v>
      </c>
      <c r="M533" s="186" t="s">
        <v>1527</v>
      </c>
      <c r="N533" s="1"/>
    </row>
    <row r="534" ht="51.75" hidden="1" customHeight="1">
      <c r="A534" s="1"/>
      <c r="B534" s="232">
        <f t="shared" si="4"/>
        <v>528</v>
      </c>
      <c r="C534" s="181">
        <v>39612.0</v>
      </c>
      <c r="D534" s="182">
        <f t="shared" si="5"/>
        <v>2008</v>
      </c>
      <c r="E534" s="203" t="s">
        <v>2746</v>
      </c>
      <c r="F534" s="184" t="s">
        <v>2747</v>
      </c>
      <c r="G534" s="184" t="s">
        <v>2748</v>
      </c>
      <c r="H534" s="184" t="s">
        <v>613</v>
      </c>
      <c r="I534" s="28">
        <v>12.0</v>
      </c>
      <c r="J534" s="184" t="s">
        <v>1522</v>
      </c>
      <c r="K534" s="184">
        <v>224.0</v>
      </c>
      <c r="L534" s="184" t="s">
        <v>1526</v>
      </c>
      <c r="M534" s="186" t="s">
        <v>1498</v>
      </c>
      <c r="N534" s="1"/>
    </row>
    <row r="535" ht="51.75" hidden="1" customHeight="1">
      <c r="A535" s="1"/>
      <c r="B535" s="232">
        <f t="shared" si="4"/>
        <v>529</v>
      </c>
      <c r="C535" s="181">
        <v>39615.0</v>
      </c>
      <c r="D535" s="182">
        <f t="shared" si="5"/>
        <v>2008</v>
      </c>
      <c r="E535" s="203" t="s">
        <v>2749</v>
      </c>
      <c r="F535" s="184" t="s">
        <v>2750</v>
      </c>
      <c r="G535" s="184" t="s">
        <v>2751</v>
      </c>
      <c r="H535" s="184" t="s">
        <v>613</v>
      </c>
      <c r="I535" s="28">
        <v>12.0</v>
      </c>
      <c r="J535" s="184" t="s">
        <v>1509</v>
      </c>
      <c r="K535" s="184">
        <v>287.0</v>
      </c>
      <c r="L535" s="184" t="s">
        <v>1526</v>
      </c>
      <c r="M535" s="186" t="s">
        <v>804</v>
      </c>
      <c r="N535" s="1"/>
    </row>
    <row r="536" ht="29.25" hidden="1" customHeight="1">
      <c r="A536" s="1"/>
      <c r="B536" s="232">
        <f t="shared" si="4"/>
        <v>530</v>
      </c>
      <c r="C536" s="181">
        <v>39628.0</v>
      </c>
      <c r="D536" s="182">
        <f t="shared" si="5"/>
        <v>2008</v>
      </c>
      <c r="E536" s="203" t="s">
        <v>2752</v>
      </c>
      <c r="F536" s="184" t="s">
        <v>2753</v>
      </c>
      <c r="G536" s="184" t="s">
        <v>2754</v>
      </c>
      <c r="H536" s="184" t="s">
        <v>613</v>
      </c>
      <c r="I536" s="28">
        <v>12.0</v>
      </c>
      <c r="J536" s="184" t="s">
        <v>1496</v>
      </c>
      <c r="K536" s="184">
        <v>146.0</v>
      </c>
      <c r="L536" s="184" t="s">
        <v>1497</v>
      </c>
      <c r="M536" s="186" t="s">
        <v>1527</v>
      </c>
      <c r="N536" s="1"/>
    </row>
    <row r="537" ht="51.75" hidden="1" customHeight="1">
      <c r="A537" s="1"/>
      <c r="B537" s="232">
        <f t="shared" si="4"/>
        <v>531</v>
      </c>
      <c r="C537" s="181">
        <v>39648.0</v>
      </c>
      <c r="D537" s="182">
        <f t="shared" si="5"/>
        <v>2008</v>
      </c>
      <c r="E537" s="203" t="s">
        <v>2755</v>
      </c>
      <c r="F537" s="184" t="s">
        <v>2756</v>
      </c>
      <c r="G537" s="184" t="s">
        <v>2757</v>
      </c>
      <c r="H537" s="184" t="s">
        <v>613</v>
      </c>
      <c r="I537" s="28">
        <v>12.0</v>
      </c>
      <c r="J537" s="184" t="s">
        <v>1509</v>
      </c>
      <c r="K537" s="184">
        <v>480.0</v>
      </c>
      <c r="L537" s="184" t="s">
        <v>1526</v>
      </c>
      <c r="M537" s="186" t="s">
        <v>804</v>
      </c>
      <c r="N537" s="1"/>
    </row>
    <row r="538" ht="51.75" hidden="1" customHeight="1">
      <c r="A538" s="1"/>
      <c r="B538" s="232">
        <f t="shared" si="4"/>
        <v>532</v>
      </c>
      <c r="C538" s="181">
        <v>39688.0</v>
      </c>
      <c r="D538" s="182">
        <f t="shared" si="5"/>
        <v>2008</v>
      </c>
      <c r="E538" s="203" t="s">
        <v>2758</v>
      </c>
      <c r="F538" s="184" t="s">
        <v>2759</v>
      </c>
      <c r="G538" s="184" t="s">
        <v>2760</v>
      </c>
      <c r="H538" s="184" t="s">
        <v>613</v>
      </c>
      <c r="I538" s="28">
        <v>12.0</v>
      </c>
      <c r="J538" s="185" t="s">
        <v>1496</v>
      </c>
      <c r="K538" s="184">
        <v>272.0</v>
      </c>
      <c r="L538" s="184" t="s">
        <v>1497</v>
      </c>
      <c r="M538" s="186" t="s">
        <v>1498</v>
      </c>
      <c r="N538" s="1"/>
    </row>
    <row r="539" ht="51.75" hidden="1" customHeight="1">
      <c r="A539" s="1"/>
      <c r="B539" s="232">
        <f t="shared" si="4"/>
        <v>533</v>
      </c>
      <c r="C539" s="181">
        <v>39884.0</v>
      </c>
      <c r="D539" s="182">
        <f t="shared" si="5"/>
        <v>2009</v>
      </c>
      <c r="E539" s="203" t="s">
        <v>2761</v>
      </c>
      <c r="F539" s="184" t="s">
        <v>2762</v>
      </c>
      <c r="G539" s="184" t="s">
        <v>2763</v>
      </c>
      <c r="H539" s="184" t="s">
        <v>613</v>
      </c>
      <c r="I539" s="28">
        <v>12.0</v>
      </c>
      <c r="J539" s="184" t="s">
        <v>1522</v>
      </c>
      <c r="K539" s="184">
        <v>178.0</v>
      </c>
      <c r="L539" s="184" t="s">
        <v>1497</v>
      </c>
      <c r="M539" s="186" t="s">
        <v>1498</v>
      </c>
      <c r="N539" s="1"/>
    </row>
    <row r="540" ht="51.75" hidden="1" customHeight="1">
      <c r="A540" s="1"/>
      <c r="B540" s="232">
        <f t="shared" si="4"/>
        <v>534</v>
      </c>
      <c r="C540" s="181">
        <v>40058.0</v>
      </c>
      <c r="D540" s="182">
        <f t="shared" si="5"/>
        <v>2009</v>
      </c>
      <c r="E540" s="203" t="s">
        <v>2764</v>
      </c>
      <c r="F540" s="184" t="s">
        <v>1636</v>
      </c>
      <c r="G540" s="184" t="s">
        <v>2765</v>
      </c>
      <c r="H540" s="184" t="s">
        <v>613</v>
      </c>
      <c r="I540" s="28">
        <v>12.0</v>
      </c>
      <c r="J540" s="184" t="s">
        <v>1522</v>
      </c>
      <c r="K540" s="184">
        <v>288.0</v>
      </c>
      <c r="L540" s="184" t="s">
        <v>1526</v>
      </c>
      <c r="M540" s="186" t="s">
        <v>1498</v>
      </c>
      <c r="N540" s="1"/>
    </row>
    <row r="541" ht="51.75" hidden="1" customHeight="1">
      <c r="A541" s="1"/>
      <c r="B541" s="232">
        <f t="shared" si="4"/>
        <v>535</v>
      </c>
      <c r="C541" s="181">
        <v>40062.0</v>
      </c>
      <c r="D541" s="182">
        <f t="shared" si="5"/>
        <v>2009</v>
      </c>
      <c r="E541" s="203" t="s">
        <v>2766</v>
      </c>
      <c r="F541" s="184" t="s">
        <v>2767</v>
      </c>
      <c r="G541" s="184" t="s">
        <v>2768</v>
      </c>
      <c r="H541" s="184" t="s">
        <v>613</v>
      </c>
      <c r="I541" s="28">
        <v>12.0</v>
      </c>
      <c r="J541" s="184" t="s">
        <v>1509</v>
      </c>
      <c r="K541" s="184">
        <v>256.0</v>
      </c>
      <c r="L541" s="184" t="s">
        <v>1497</v>
      </c>
      <c r="M541" s="186" t="s">
        <v>1527</v>
      </c>
      <c r="N541" s="1"/>
    </row>
    <row r="542" ht="32.25" hidden="1" customHeight="1">
      <c r="A542" s="1"/>
      <c r="B542" s="232">
        <f t="shared" si="4"/>
        <v>536</v>
      </c>
      <c r="C542" s="181">
        <v>40237.0</v>
      </c>
      <c r="D542" s="182">
        <f t="shared" si="5"/>
        <v>2010</v>
      </c>
      <c r="E542" s="203" t="s">
        <v>2769</v>
      </c>
      <c r="F542" s="184" t="s">
        <v>1913</v>
      </c>
      <c r="G542" s="184" t="s">
        <v>2770</v>
      </c>
      <c r="H542" s="184" t="s">
        <v>613</v>
      </c>
      <c r="I542" s="28">
        <v>12.0</v>
      </c>
      <c r="J542" s="184" t="s">
        <v>1496</v>
      </c>
      <c r="K542" s="184">
        <v>240.0</v>
      </c>
      <c r="L542" s="184" t="s">
        <v>1526</v>
      </c>
      <c r="M542" s="186" t="s">
        <v>1498</v>
      </c>
      <c r="N542" s="1"/>
    </row>
    <row r="543" ht="32.25" hidden="1" customHeight="1">
      <c r="A543" s="1"/>
      <c r="B543" s="232">
        <f t="shared" si="4"/>
        <v>537</v>
      </c>
      <c r="C543" s="181">
        <v>40653.0</v>
      </c>
      <c r="D543" s="182">
        <f t="shared" si="5"/>
        <v>2011</v>
      </c>
      <c r="E543" s="203" t="s">
        <v>2771</v>
      </c>
      <c r="F543" s="184" t="s">
        <v>2772</v>
      </c>
      <c r="G543" s="184" t="s">
        <v>2773</v>
      </c>
      <c r="H543" s="184" t="s">
        <v>613</v>
      </c>
      <c r="I543" s="28">
        <v>12.0</v>
      </c>
      <c r="J543" s="184" t="s">
        <v>1496</v>
      </c>
      <c r="K543" s="184">
        <v>320.0</v>
      </c>
      <c r="L543" s="184" t="s">
        <v>1526</v>
      </c>
      <c r="M543" s="186" t="s">
        <v>1498</v>
      </c>
      <c r="N543" s="1"/>
    </row>
    <row r="544" ht="32.25" hidden="1" customHeight="1">
      <c r="A544" s="1"/>
      <c r="B544" s="232">
        <f t="shared" si="4"/>
        <v>538</v>
      </c>
      <c r="C544" s="181">
        <v>40679.0</v>
      </c>
      <c r="D544" s="182">
        <f t="shared" si="5"/>
        <v>2011</v>
      </c>
      <c r="E544" s="203" t="s">
        <v>2774</v>
      </c>
      <c r="F544" s="184" t="s">
        <v>2775</v>
      </c>
      <c r="G544" s="184" t="s">
        <v>2776</v>
      </c>
      <c r="H544" s="184" t="s">
        <v>613</v>
      </c>
      <c r="I544" s="28">
        <v>12.0</v>
      </c>
      <c r="J544" s="184" t="s">
        <v>1496</v>
      </c>
      <c r="K544" s="184">
        <v>250.0</v>
      </c>
      <c r="L544" s="184" t="s">
        <v>1497</v>
      </c>
      <c r="M544" s="186" t="s">
        <v>1498</v>
      </c>
      <c r="N544" s="1"/>
    </row>
    <row r="545" ht="32.25" hidden="1" customHeight="1">
      <c r="A545" s="1"/>
      <c r="B545" s="232">
        <f t="shared" si="4"/>
        <v>539</v>
      </c>
      <c r="C545" s="181">
        <v>40828.0</v>
      </c>
      <c r="D545" s="182">
        <f t="shared" si="5"/>
        <v>2011</v>
      </c>
      <c r="E545" s="203" t="s">
        <v>2777</v>
      </c>
      <c r="F545" s="184" t="s">
        <v>2778</v>
      </c>
      <c r="G545" s="184" t="s">
        <v>2779</v>
      </c>
      <c r="H545" s="184" t="s">
        <v>613</v>
      </c>
      <c r="I545" s="28">
        <v>12.0</v>
      </c>
      <c r="J545" s="184" t="s">
        <v>1522</v>
      </c>
      <c r="K545" s="184">
        <v>253.0</v>
      </c>
      <c r="L545" s="184" t="s">
        <v>1526</v>
      </c>
      <c r="M545" s="186" t="s">
        <v>1527</v>
      </c>
      <c r="N545" s="1"/>
    </row>
    <row r="546" ht="32.25" hidden="1" customHeight="1">
      <c r="A546" s="1"/>
      <c r="B546" s="232">
        <f t="shared" si="4"/>
        <v>540</v>
      </c>
      <c r="C546" s="181">
        <v>40831.0</v>
      </c>
      <c r="D546" s="182">
        <f t="shared" si="5"/>
        <v>2011</v>
      </c>
      <c r="E546" s="203" t="s">
        <v>2780</v>
      </c>
      <c r="F546" s="184" t="s">
        <v>2781</v>
      </c>
      <c r="G546" s="184" t="s">
        <v>2782</v>
      </c>
      <c r="H546" s="184" t="s">
        <v>613</v>
      </c>
      <c r="I546" s="28">
        <v>12.0</v>
      </c>
      <c r="J546" s="184" t="s">
        <v>1522</v>
      </c>
      <c r="K546" s="184">
        <v>304.0</v>
      </c>
      <c r="L546" s="184" t="s">
        <v>1526</v>
      </c>
      <c r="M546" s="186" t="s">
        <v>1527</v>
      </c>
      <c r="N546" s="1"/>
    </row>
    <row r="547" ht="32.25" hidden="1" customHeight="1">
      <c r="A547" s="1"/>
      <c r="B547" s="232">
        <f t="shared" si="4"/>
        <v>541</v>
      </c>
      <c r="C547" s="181">
        <v>40905.0</v>
      </c>
      <c r="D547" s="182">
        <f t="shared" si="5"/>
        <v>2011</v>
      </c>
      <c r="E547" s="203" t="s">
        <v>2783</v>
      </c>
      <c r="F547" s="184" t="s">
        <v>2784</v>
      </c>
      <c r="G547" s="184" t="s">
        <v>2785</v>
      </c>
      <c r="H547" s="184" t="s">
        <v>613</v>
      </c>
      <c r="I547" s="28">
        <v>12.0</v>
      </c>
      <c r="J547" s="184" t="s">
        <v>1522</v>
      </c>
      <c r="K547" s="184">
        <v>288.0</v>
      </c>
      <c r="L547" s="184" t="s">
        <v>1526</v>
      </c>
      <c r="M547" s="186" t="s">
        <v>1498</v>
      </c>
      <c r="N547" s="1"/>
    </row>
    <row r="548" ht="32.25" hidden="1" customHeight="1">
      <c r="A548" s="1"/>
      <c r="B548" s="232">
        <f t="shared" si="4"/>
        <v>542</v>
      </c>
      <c r="C548" s="181">
        <v>41112.0</v>
      </c>
      <c r="D548" s="182">
        <f t="shared" si="5"/>
        <v>2012</v>
      </c>
      <c r="E548" s="203" t="s">
        <v>2786</v>
      </c>
      <c r="F548" s="184" t="s">
        <v>2787</v>
      </c>
      <c r="G548" s="184" t="s">
        <v>2788</v>
      </c>
      <c r="H548" s="184" t="s">
        <v>613</v>
      </c>
      <c r="I548" s="28">
        <v>12.0</v>
      </c>
      <c r="J548" s="184" t="s">
        <v>1502</v>
      </c>
      <c r="K548" s="184">
        <v>384.0</v>
      </c>
      <c r="L548" s="184" t="s">
        <v>1526</v>
      </c>
      <c r="M548" s="186" t="s">
        <v>1498</v>
      </c>
      <c r="N548" s="1"/>
    </row>
    <row r="549" ht="32.25" hidden="1" customHeight="1">
      <c r="A549" s="1"/>
      <c r="B549" s="232">
        <f t="shared" si="4"/>
        <v>543</v>
      </c>
      <c r="C549" s="181">
        <v>41110.0</v>
      </c>
      <c r="D549" s="182">
        <f t="shared" si="5"/>
        <v>2012</v>
      </c>
      <c r="E549" s="203" t="s">
        <v>2789</v>
      </c>
      <c r="F549" s="184" t="s">
        <v>2790</v>
      </c>
      <c r="G549" s="184" t="s">
        <v>2791</v>
      </c>
      <c r="H549" s="184" t="s">
        <v>613</v>
      </c>
      <c r="I549" s="28">
        <v>12.0</v>
      </c>
      <c r="J549" s="184" t="s">
        <v>1522</v>
      </c>
      <c r="K549" s="184">
        <v>352.0</v>
      </c>
      <c r="L549" s="184" t="s">
        <v>1526</v>
      </c>
      <c r="M549" s="186" t="s">
        <v>1527</v>
      </c>
      <c r="N549" s="1"/>
    </row>
    <row r="550" ht="32.25" hidden="1" customHeight="1">
      <c r="A550" s="1"/>
      <c r="B550" s="232">
        <f t="shared" si="4"/>
        <v>544</v>
      </c>
      <c r="C550" s="181">
        <v>41188.0</v>
      </c>
      <c r="D550" s="182">
        <f t="shared" si="5"/>
        <v>2012</v>
      </c>
      <c r="E550" s="203" t="s">
        <v>2792</v>
      </c>
      <c r="F550" s="184" t="s">
        <v>2084</v>
      </c>
      <c r="G550" s="184" t="s">
        <v>2793</v>
      </c>
      <c r="H550" s="184" t="s">
        <v>613</v>
      </c>
      <c r="I550" s="28">
        <v>12.0</v>
      </c>
      <c r="J550" s="184" t="s">
        <v>1522</v>
      </c>
      <c r="K550" s="184">
        <v>288.0</v>
      </c>
      <c r="L550" s="184" t="s">
        <v>1526</v>
      </c>
      <c r="M550" s="186" t="s">
        <v>1498</v>
      </c>
      <c r="N550" s="1"/>
    </row>
    <row r="551" ht="32.25" hidden="1" customHeight="1">
      <c r="A551" s="1"/>
      <c r="B551" s="232">
        <f t="shared" si="4"/>
        <v>545</v>
      </c>
      <c r="C551" s="181">
        <v>41105.0</v>
      </c>
      <c r="D551" s="182">
        <f t="shared" si="5"/>
        <v>2012</v>
      </c>
      <c r="E551" s="203" t="s">
        <v>2794</v>
      </c>
      <c r="F551" s="184" t="s">
        <v>2795</v>
      </c>
      <c r="G551" s="184" t="s">
        <v>2796</v>
      </c>
      <c r="H551" s="184" t="s">
        <v>613</v>
      </c>
      <c r="I551" s="28">
        <v>12.0</v>
      </c>
      <c r="J551" s="184" t="s">
        <v>1502</v>
      </c>
      <c r="K551" s="184">
        <v>232.0</v>
      </c>
      <c r="L551" s="184" t="s">
        <v>1526</v>
      </c>
      <c r="M551" s="186" t="s">
        <v>804</v>
      </c>
      <c r="N551" s="1"/>
    </row>
    <row r="552" ht="32.25" hidden="1" customHeight="1">
      <c r="A552" s="1"/>
      <c r="B552" s="232">
        <f t="shared" si="4"/>
        <v>546</v>
      </c>
      <c r="C552" s="181">
        <v>41205.0</v>
      </c>
      <c r="D552" s="182">
        <f t="shared" si="5"/>
        <v>2012</v>
      </c>
      <c r="E552" s="203" t="s">
        <v>2797</v>
      </c>
      <c r="F552" s="184" t="s">
        <v>2798</v>
      </c>
      <c r="G552" s="184" t="s">
        <v>2799</v>
      </c>
      <c r="H552" s="184" t="s">
        <v>613</v>
      </c>
      <c r="I552" s="28">
        <v>12.0</v>
      </c>
      <c r="J552" s="184" t="s">
        <v>1496</v>
      </c>
      <c r="K552" s="184">
        <v>46.0</v>
      </c>
      <c r="L552" s="184" t="s">
        <v>1526</v>
      </c>
      <c r="M552" s="186" t="s">
        <v>1527</v>
      </c>
      <c r="N552" s="1"/>
    </row>
    <row r="553" ht="32.25" hidden="1" customHeight="1">
      <c r="A553" s="1"/>
      <c r="B553" s="232">
        <f t="shared" si="4"/>
        <v>547</v>
      </c>
      <c r="C553" s="181">
        <v>41325.0</v>
      </c>
      <c r="D553" s="182">
        <f t="shared" si="5"/>
        <v>2013</v>
      </c>
      <c r="E553" s="203" t="s">
        <v>2800</v>
      </c>
      <c r="F553" s="184" t="s">
        <v>2801</v>
      </c>
      <c r="G553" s="184" t="s">
        <v>2802</v>
      </c>
      <c r="H553" s="184" t="s">
        <v>613</v>
      </c>
      <c r="I553" s="28">
        <v>12.0</v>
      </c>
      <c r="J553" s="184" t="s">
        <v>1522</v>
      </c>
      <c r="K553" s="184">
        <v>318.0</v>
      </c>
      <c r="L553" s="184" t="s">
        <v>1526</v>
      </c>
      <c r="M553" s="186" t="s">
        <v>1498</v>
      </c>
      <c r="N553" s="1"/>
    </row>
    <row r="554" ht="32.25" hidden="1" customHeight="1">
      <c r="A554" s="1"/>
      <c r="B554" s="232">
        <f t="shared" si="4"/>
        <v>548</v>
      </c>
      <c r="C554" s="181">
        <v>41532.0</v>
      </c>
      <c r="D554" s="182">
        <f t="shared" si="5"/>
        <v>2013</v>
      </c>
      <c r="E554" s="203" t="s">
        <v>2803</v>
      </c>
      <c r="F554" s="184" t="s">
        <v>2804</v>
      </c>
      <c r="G554" s="184" t="s">
        <v>2805</v>
      </c>
      <c r="H554" s="184" t="s">
        <v>613</v>
      </c>
      <c r="I554" s="28">
        <v>12.0</v>
      </c>
      <c r="J554" s="184" t="s">
        <v>1509</v>
      </c>
      <c r="K554" s="184">
        <v>416.0</v>
      </c>
      <c r="L554" s="184" t="s">
        <v>1526</v>
      </c>
      <c r="M554" s="186" t="s">
        <v>1527</v>
      </c>
      <c r="N554" s="1"/>
    </row>
    <row r="555" ht="32.25" hidden="1" customHeight="1">
      <c r="A555" s="1"/>
      <c r="B555" s="232">
        <f t="shared" si="4"/>
        <v>549</v>
      </c>
      <c r="C555" s="181">
        <v>41572.0</v>
      </c>
      <c r="D555" s="182">
        <f t="shared" si="5"/>
        <v>2013</v>
      </c>
      <c r="E555" s="203" t="s">
        <v>2806</v>
      </c>
      <c r="F555" s="184" t="s">
        <v>2807</v>
      </c>
      <c r="G555" s="184" t="s">
        <v>2808</v>
      </c>
      <c r="H555" s="184" t="s">
        <v>613</v>
      </c>
      <c r="I555" s="28">
        <v>12.0</v>
      </c>
      <c r="J555" s="184" t="s">
        <v>1522</v>
      </c>
      <c r="K555" s="184">
        <v>208.0</v>
      </c>
      <c r="L555" s="184" t="s">
        <v>1526</v>
      </c>
      <c r="M555" s="186" t="s">
        <v>1527</v>
      </c>
      <c r="N555" s="1"/>
    </row>
    <row r="556" ht="32.25" hidden="1" customHeight="1">
      <c r="A556" s="1"/>
      <c r="B556" s="232">
        <f t="shared" si="4"/>
        <v>550</v>
      </c>
      <c r="C556" s="181">
        <v>41573.0</v>
      </c>
      <c r="D556" s="182">
        <f t="shared" si="5"/>
        <v>2013</v>
      </c>
      <c r="E556" s="203" t="s">
        <v>2809</v>
      </c>
      <c r="F556" s="184" t="s">
        <v>2810</v>
      </c>
      <c r="G556" s="184" t="s">
        <v>2811</v>
      </c>
      <c r="H556" s="184" t="s">
        <v>613</v>
      </c>
      <c r="I556" s="28">
        <v>12.0</v>
      </c>
      <c r="J556" s="184" t="s">
        <v>1522</v>
      </c>
      <c r="K556" s="184">
        <v>158.0</v>
      </c>
      <c r="L556" s="184" t="s">
        <v>1526</v>
      </c>
      <c r="M556" s="186" t="s">
        <v>1527</v>
      </c>
      <c r="N556" s="1"/>
    </row>
    <row r="557" ht="32.25" hidden="1" customHeight="1">
      <c r="A557" s="1"/>
      <c r="B557" s="232">
        <f t="shared" si="4"/>
        <v>551</v>
      </c>
      <c r="C557" s="181">
        <v>41587.0</v>
      </c>
      <c r="D557" s="182">
        <f t="shared" si="5"/>
        <v>2013</v>
      </c>
      <c r="E557" s="212" t="str">
        <f>hyperlink("http://www.amazon.com/Eat-That-Frog-Great-Procrastinating-ebook/dp/B001AFF25W/ref=sr_1_1?s=digital-text&amp;ie=UTF8&amp;qid=1388906221&amp;sr=1-1&amp;keywords=eat+that+frog+kindle","Eat That Frog!: 21 Great Ways to Stop Procrastinating and Get More Done in Less Time")</f>
        <v>Eat That Frog!: 21 Great Ways to Stop Procrastinating and Get More Done in Less Time</v>
      </c>
      <c r="F557" s="184" t="s">
        <v>2812</v>
      </c>
      <c r="G557" s="184" t="s">
        <v>2813</v>
      </c>
      <c r="H557" s="184" t="s">
        <v>613</v>
      </c>
      <c r="I557" s="28">
        <v>12.0</v>
      </c>
      <c r="J557" s="184" t="s">
        <v>1522</v>
      </c>
      <c r="K557" s="184">
        <v>145.0</v>
      </c>
      <c r="L557" s="184" t="s">
        <v>1526</v>
      </c>
      <c r="M557" s="186" t="s">
        <v>1527</v>
      </c>
      <c r="N557" s="1"/>
    </row>
    <row r="558" ht="32.25" hidden="1" customHeight="1">
      <c r="A558" s="1"/>
      <c r="B558" s="232">
        <f t="shared" si="4"/>
        <v>552</v>
      </c>
      <c r="C558" s="181">
        <v>41638.0</v>
      </c>
      <c r="D558" s="182">
        <f t="shared" si="5"/>
        <v>2013</v>
      </c>
      <c r="E558" s="212" t="str">
        <f>hyperlink("http://www.amazon.com/The-Early-To-Rise-Experience-ebook/dp/B00B67PHOU","The Early To Rise Experience: Learn To Rise Early in 30 Days")</f>
        <v>The Early To Rise Experience: Learn To Rise Early in 30 Days</v>
      </c>
      <c r="F558" s="184" t="s">
        <v>2814</v>
      </c>
      <c r="G558" s="184" t="s">
        <v>2815</v>
      </c>
      <c r="H558" s="184" t="s">
        <v>613</v>
      </c>
      <c r="I558" s="28">
        <v>12.0</v>
      </c>
      <c r="J558" s="184" t="s">
        <v>1522</v>
      </c>
      <c r="K558" s="184">
        <v>140.0</v>
      </c>
      <c r="L558" s="184" t="s">
        <v>1526</v>
      </c>
      <c r="M558" s="186" t="s">
        <v>1527</v>
      </c>
      <c r="N558" s="1"/>
    </row>
    <row r="559" ht="32.25" hidden="1" customHeight="1">
      <c r="A559" s="1"/>
      <c r="B559" s="232">
        <f t="shared" si="4"/>
        <v>553</v>
      </c>
      <c r="C559" s="181">
        <v>41644.0</v>
      </c>
      <c r="D559" s="182">
        <f t="shared" si="5"/>
        <v>2014</v>
      </c>
      <c r="E559" s="212" t="str">
        <f>hyperlink("http://www.amazon.com/Dogfight-Apple-Google-Started-Revolution-ebook/dp/B00BIV1R98/ref=sr_1_1?s=digital-text&amp;ie=UTF8&amp;qid=1388953810&amp;sr=1-1&amp;keywords=dogfight+kindle","Dogfight: How Apple and Google Went to War and Started a Revolution")</f>
        <v>Dogfight: How Apple and Google Went to War and Started a Revolution</v>
      </c>
      <c r="F559" s="184" t="s">
        <v>2816</v>
      </c>
      <c r="G559" s="184" t="s">
        <v>2817</v>
      </c>
      <c r="H559" s="184" t="s">
        <v>613</v>
      </c>
      <c r="I559" s="28">
        <v>12.0</v>
      </c>
      <c r="J559" s="184" t="s">
        <v>1522</v>
      </c>
      <c r="K559" s="184">
        <v>273.0</v>
      </c>
      <c r="L559" s="184" t="s">
        <v>1526</v>
      </c>
      <c r="M559" s="186" t="s">
        <v>1527</v>
      </c>
      <c r="N559" s="1"/>
    </row>
    <row r="560" ht="32.25" hidden="1" customHeight="1">
      <c r="A560" s="1"/>
      <c r="B560" s="202">
        <f t="shared" si="4"/>
        <v>554</v>
      </c>
      <c r="C560" s="181">
        <v>41762.0</v>
      </c>
      <c r="D560" s="182">
        <f t="shared" si="5"/>
        <v>2014</v>
      </c>
      <c r="E560" s="212" t="str">
        <f>hyperlink("http://www.amazon.com/Pitch-Perfect-Right-First-Every-ebook/dp/B00DB3A4VS/ref=sr_1_1?ie=UTF8&amp;qid=1399182029&amp;sr=8-1&amp;keywords=pitch+perfect+kindle","Pitch Perfect: How to Say It Right the First Time, Every Time")</f>
        <v>Pitch Perfect: How to Say It Right the First Time, Every Time</v>
      </c>
      <c r="F560" s="184" t="s">
        <v>2818</v>
      </c>
      <c r="G560" s="184" t="s">
        <v>2819</v>
      </c>
      <c r="H560" s="184" t="s">
        <v>613</v>
      </c>
      <c r="I560" s="28">
        <v>12.0</v>
      </c>
      <c r="J560" s="184" t="s">
        <v>1522</v>
      </c>
      <c r="K560" s="184">
        <v>288.0</v>
      </c>
      <c r="L560" s="184" t="s">
        <v>1526</v>
      </c>
      <c r="M560" s="186" t="s">
        <v>1527</v>
      </c>
      <c r="N560" s="1"/>
    </row>
    <row r="561" ht="32.25" hidden="1" customHeight="1">
      <c r="A561" s="1"/>
      <c r="B561" s="202">
        <f t="shared" si="4"/>
        <v>555</v>
      </c>
      <c r="C561" s="181">
        <v>41763.0</v>
      </c>
      <c r="D561" s="182">
        <f t="shared" si="5"/>
        <v>2014</v>
      </c>
      <c r="E561" s="212" t="str">
        <f>hyperlink("http://www.amazon.com/All-Marketers-Are-Liars-Works---ebook/dp/B00315QK8M/ref=sr_1_1?s=digital-text&amp;ie=UTF8&amp;qid=1431237979&amp;sr=1-1&amp;keywords=all+marketers+are+liars+by+seth+godin","All Marketers are Liers")</f>
        <v>All Marketers are Liers</v>
      </c>
      <c r="F561" s="184" t="s">
        <v>2820</v>
      </c>
      <c r="G561" s="184" t="s">
        <v>2821</v>
      </c>
      <c r="H561" s="184" t="s">
        <v>613</v>
      </c>
      <c r="I561" s="28">
        <v>12.0</v>
      </c>
      <c r="J561" s="184" t="s">
        <v>1522</v>
      </c>
      <c r="K561" s="184">
        <v>240.0</v>
      </c>
      <c r="L561" s="184" t="s">
        <v>1526</v>
      </c>
      <c r="M561" s="186" t="s">
        <v>1527</v>
      </c>
      <c r="N561" s="1"/>
    </row>
    <row r="562" ht="32.25" hidden="1" customHeight="1">
      <c r="A562" s="1"/>
      <c r="B562" s="202">
        <f t="shared" si="4"/>
        <v>556</v>
      </c>
      <c r="C562" s="181">
        <v>41851.0</v>
      </c>
      <c r="D562" s="182">
        <f t="shared" si="5"/>
        <v>2014</v>
      </c>
      <c r="E562" s="212" t="str">
        <f>hyperlink("http://www.amazon.com/Flash-Boys-Wall-Street-Revolt-ebook/dp/B00HVJB4VM/ref=tmm_kin_swatch_0?_encoding=UTF8&amp;sr=&amp;qid=","Flash Boys: A Wall Street Revolt")</f>
        <v>Flash Boys: A Wall Street Revolt</v>
      </c>
      <c r="F562" s="184" t="s">
        <v>1767</v>
      </c>
      <c r="G562" s="184" t="s">
        <v>2822</v>
      </c>
      <c r="H562" s="184" t="s">
        <v>613</v>
      </c>
      <c r="I562" s="28">
        <v>12.0</v>
      </c>
      <c r="J562" s="184" t="s">
        <v>1496</v>
      </c>
      <c r="K562" s="184">
        <v>289.0</v>
      </c>
      <c r="L562" s="184" t="s">
        <v>1526</v>
      </c>
      <c r="M562" s="186" t="s">
        <v>1498</v>
      </c>
      <c r="N562" s="1"/>
    </row>
    <row r="563" ht="32.25" hidden="1" customHeight="1">
      <c r="A563" s="1"/>
      <c r="B563" s="202">
        <f t="shared" si="4"/>
        <v>557</v>
      </c>
      <c r="C563" s="181">
        <v>41955.0</v>
      </c>
      <c r="D563" s="182">
        <f t="shared" si="5"/>
        <v>2014</v>
      </c>
      <c r="E563" s="212" t="str">
        <f>hyperlink("http://www.amazon.com/Welcome-Funnel-Tactics-Content-Marketing-ebook/dp/B00PDHRO6S/ref=sr_1_1?s=digital-text&amp;ie=UTF8&amp;qid=1431235994&amp;sr=1-1&amp;keywords=welcome+to+the+funnel","Welcome to the funnel: Proven Tactics to Turn Your Social and Content Marketing up to 11")</f>
        <v>Welcome to the funnel: Proven Tactics to Turn Your Social and Content Marketing up to 11</v>
      </c>
      <c r="F563" s="184" t="s">
        <v>2823</v>
      </c>
      <c r="G563" s="184" t="s">
        <v>2824</v>
      </c>
      <c r="H563" s="184" t="s">
        <v>613</v>
      </c>
      <c r="I563" s="28">
        <v>12.0</v>
      </c>
      <c r="J563" s="184" t="s">
        <v>1522</v>
      </c>
      <c r="K563" s="184">
        <v>166.0</v>
      </c>
      <c r="L563" s="184" t="s">
        <v>1526</v>
      </c>
      <c r="M563" s="186" t="s">
        <v>1527</v>
      </c>
      <c r="N563" s="1"/>
    </row>
    <row r="564" ht="32.25" hidden="1" customHeight="1">
      <c r="A564" s="1"/>
      <c r="B564" s="202">
        <f t="shared" si="4"/>
        <v>558</v>
      </c>
      <c r="C564" s="181">
        <v>41965.0</v>
      </c>
      <c r="D564" s="182">
        <f t="shared" si="5"/>
        <v>2014</v>
      </c>
      <c r="E564" s="212" t="str">
        <f>hyperlink("http://www.amazon.com/Faster-Higher-Stronger-Generation-Superathletes---ebook/dp/B00INIXN9Q/ref=sr_1_1?s=digital-text&amp;ie=UTF8&amp;qid=1431235698&amp;sr=1-1&amp;keywords=faster%2C+higher%2C+stronger","Faster, Higher, Stronger: How Sports Science Is Creating a New Generation of Superathletes--and What We Can Learn from Them")</f>
        <v>Faster, Higher, Stronger: How Sports Science Is Creating a New Generation of Superathletes--and What We Can Learn from Them</v>
      </c>
      <c r="F564" s="184" t="s">
        <v>2825</v>
      </c>
      <c r="G564" s="184" t="s">
        <v>2826</v>
      </c>
      <c r="H564" s="184" t="s">
        <v>613</v>
      </c>
      <c r="I564" s="28">
        <v>12.0</v>
      </c>
      <c r="J564" s="184" t="s">
        <v>1496</v>
      </c>
      <c r="K564" s="184">
        <v>289.0</v>
      </c>
      <c r="L564" s="184" t="s">
        <v>1526</v>
      </c>
      <c r="M564" s="186" t="s">
        <v>1527</v>
      </c>
      <c r="N564" s="1"/>
    </row>
    <row r="565" ht="32.25" hidden="1" customHeight="1">
      <c r="A565" s="1"/>
      <c r="B565" s="202">
        <f t="shared" si="4"/>
        <v>559</v>
      </c>
      <c r="C565" s="181">
        <v>42000.0</v>
      </c>
      <c r="D565" s="182">
        <f t="shared" si="5"/>
        <v>2014</v>
      </c>
      <c r="E565" s="212" t="str">
        <f>hyperlink("http://www.amazon.com/Waking-Up-Spirituality-Without-Religion-ebook/dp/B00GEEB9YC/ref=sr_1_1?s=digital-text&amp;ie=UTF8&amp;qid=1431235205&amp;sr=1-1&amp;keywords=waking+up","Waking Up: A guide to spirituality without region")</f>
        <v>Waking Up: A guide to spirituality without region</v>
      </c>
      <c r="F565" s="184" t="s">
        <v>2244</v>
      </c>
      <c r="G565" s="184" t="s">
        <v>2827</v>
      </c>
      <c r="H565" s="184" t="s">
        <v>613</v>
      </c>
      <c r="I565" s="28">
        <v>12.0</v>
      </c>
      <c r="J565" s="184" t="s">
        <v>1496</v>
      </c>
      <c r="K565" s="184">
        <v>257.0</v>
      </c>
      <c r="L565" s="184" t="s">
        <v>1526</v>
      </c>
      <c r="M565" s="212" t="str">
        <f>HYPERLINK("https://www.notion.so/raybould/Waking-up-by-Sam-Harris-B-December-2014-e79ec8a3acb14974aea1834113b4bb86","YES")</f>
        <v>YES</v>
      </c>
      <c r="N565" s="1"/>
    </row>
    <row r="566" ht="32.25" hidden="1" customHeight="1">
      <c r="A566" s="1"/>
      <c r="B566" s="202">
        <f t="shared" si="4"/>
        <v>560</v>
      </c>
      <c r="C566" s="181">
        <v>42001.0</v>
      </c>
      <c r="D566" s="182">
        <f t="shared" si="5"/>
        <v>2014</v>
      </c>
      <c r="E566" s="212" t="str">
        <f>hyperlink("http://www.amazon.com/Thrive-Arianna-Huffington-ebook/dp/B00FIN2HMS/ref=sr_1_1?s=digital-text&amp;ie=UTF8&amp;qid=1431234932&amp;sr=1-1&amp;keywords=thrive","Thrive")</f>
        <v>Thrive</v>
      </c>
      <c r="F566" s="184" t="s">
        <v>2828</v>
      </c>
      <c r="G566" s="184" t="s">
        <v>2829</v>
      </c>
      <c r="H566" s="184" t="s">
        <v>613</v>
      </c>
      <c r="I566" s="28">
        <v>12.0</v>
      </c>
      <c r="J566" s="184" t="s">
        <v>1496</v>
      </c>
      <c r="K566" s="184">
        <v>354.0</v>
      </c>
      <c r="L566" s="184" t="s">
        <v>1526</v>
      </c>
      <c r="M566" s="186" t="s">
        <v>1527</v>
      </c>
      <c r="N566" s="1"/>
    </row>
    <row r="567" ht="32.25" hidden="1" customHeight="1">
      <c r="A567" s="1"/>
      <c r="B567" s="202">
        <f t="shared" si="4"/>
        <v>561</v>
      </c>
      <c r="C567" s="181">
        <v>42041.0</v>
      </c>
      <c r="D567" s="182">
        <f t="shared" si="5"/>
        <v>2015</v>
      </c>
      <c r="E567" s="212" t="str">
        <f>hyperlink("http://www.amazon.com/Narrow-Road-Deep-North-International-ebook/dp/B00IHMEAYA/ref=sr_1_1?s=digital-text&amp;ie=UTF8&amp;qid=1431232173&amp;sr=1-1&amp;keywords=deep+north","Narrow Road to the Deep North, The")</f>
        <v>Narrow Road to the Deep North, The</v>
      </c>
      <c r="F567" s="184" t="s">
        <v>2830</v>
      </c>
      <c r="G567" s="184" t="s">
        <v>2831</v>
      </c>
      <c r="H567" s="184" t="s">
        <v>613</v>
      </c>
      <c r="I567" s="28">
        <v>12.0</v>
      </c>
      <c r="J567" s="184" t="s">
        <v>1509</v>
      </c>
      <c r="K567" s="184">
        <v>418.0</v>
      </c>
      <c r="L567" s="184" t="s">
        <v>1526</v>
      </c>
      <c r="M567" s="186" t="s">
        <v>1527</v>
      </c>
      <c r="N567" s="1"/>
    </row>
    <row r="568" ht="32.25" hidden="1" customHeight="1">
      <c r="A568" s="1"/>
      <c r="B568" s="202">
        <f t="shared" si="4"/>
        <v>562</v>
      </c>
      <c r="C568" s="181">
        <v>42045.0</v>
      </c>
      <c r="D568" s="182">
        <f t="shared" si="5"/>
        <v>2015</v>
      </c>
      <c r="E568" s="212" t="str">
        <f>hyperlink("http://www.amazon.com/Everybody-Writes-Go-Creating-Ridiculously-ebook/dp/B00LMB5P0G/ref=tmm_kin_swatch_0?_encoding=UTF8&amp;sr=&amp;qid=","Everybody writes: Your Go-To Guide to Creating Ridiculously Good Content ")</f>
        <v>Everybody writes: Your Go-To Guide to Creating Ridiculously Good Content </v>
      </c>
      <c r="F568" s="184" t="s">
        <v>2832</v>
      </c>
      <c r="G568" s="184" t="s">
        <v>2833</v>
      </c>
      <c r="H568" s="184" t="s">
        <v>613</v>
      </c>
      <c r="I568" s="28">
        <v>12.0</v>
      </c>
      <c r="J568" s="184" t="s">
        <v>1522</v>
      </c>
      <c r="K568" s="184">
        <v>301.0</v>
      </c>
      <c r="L568" s="184" t="s">
        <v>1526</v>
      </c>
      <c r="M568" s="186" t="s">
        <v>1527</v>
      </c>
      <c r="N568" s="1"/>
    </row>
    <row r="569" ht="32.25" hidden="1" customHeight="1">
      <c r="A569" s="1"/>
      <c r="B569" s="202">
        <f t="shared" si="4"/>
        <v>563</v>
      </c>
      <c r="C569" s="181">
        <v>42051.0</v>
      </c>
      <c r="D569" s="182">
        <f t="shared" si="5"/>
        <v>2015</v>
      </c>
      <c r="E569" s="212" t="str">
        <f>hyperlink("http://www.amazon.com/Comedy-Habits-Become-Funnier-Speaker-ebook/dp/B00S4F493C/ref=sr_1_1?s=digital-text&amp;ie=UTF8&amp;qid=1431231784&amp;sr=1-1&amp;keywords=do+you+talk+funny","Do you talk funny: 7 comedy habits to become a better (and funnier) public speaker")</f>
        <v>Do you talk funny: 7 comedy habits to become a better (and funnier) public speaker</v>
      </c>
      <c r="F569" s="184" t="s">
        <v>2834</v>
      </c>
      <c r="G569" s="184" t="s">
        <v>2835</v>
      </c>
      <c r="H569" s="184" t="s">
        <v>613</v>
      </c>
      <c r="I569" s="28">
        <v>12.0</v>
      </c>
      <c r="J569" s="184" t="s">
        <v>1496</v>
      </c>
      <c r="K569" s="184">
        <v>157.0</v>
      </c>
      <c r="L569" s="184" t="s">
        <v>1526</v>
      </c>
      <c r="M569" s="186" t="s">
        <v>1527</v>
      </c>
      <c r="N569" s="1"/>
    </row>
    <row r="570" ht="32.25" hidden="1" customHeight="1">
      <c r="A570" s="1"/>
      <c r="B570" s="202">
        <f t="shared" si="4"/>
        <v>564</v>
      </c>
      <c r="C570" s="181">
        <v>42107.0</v>
      </c>
      <c r="D570" s="182">
        <f t="shared" si="5"/>
        <v>2015</v>
      </c>
      <c r="E570" s="212" t="str">
        <f>hyperlink("http://www.amazon.com/gp/product/B00LJXK23C/ref=oh_aui_d_detailpage_o00_?ie=UTF8&amp;psc=1","A Curious Mind")</f>
        <v>A Curious Mind</v>
      </c>
      <c r="F570" s="184" t="s">
        <v>2836</v>
      </c>
      <c r="G570" s="184" t="s">
        <v>2837</v>
      </c>
      <c r="H570" s="184" t="s">
        <v>613</v>
      </c>
      <c r="I570" s="28">
        <v>12.0</v>
      </c>
      <c r="J570" s="184" t="s">
        <v>1496</v>
      </c>
      <c r="K570" s="184">
        <v>320.0</v>
      </c>
      <c r="L570" s="184" t="s">
        <v>1526</v>
      </c>
      <c r="M570" s="186" t="s">
        <v>1527</v>
      </c>
      <c r="N570" s="1"/>
    </row>
    <row r="571" ht="32.25" hidden="1" customHeight="1">
      <c r="A571" s="1"/>
      <c r="B571" s="202">
        <f t="shared" si="4"/>
        <v>565</v>
      </c>
      <c r="C571" s="181">
        <v>42384.0</v>
      </c>
      <c r="D571" s="182">
        <f t="shared" si="5"/>
        <v>2016</v>
      </c>
      <c r="E571" s="212" t="str">
        <f>hyperlink("https://www.amazon.com/Pride-Prejudice-Jane-Austen-ebook/dp/B008476HBM","Pride &amp; Prejudice")</f>
        <v>Pride &amp; Prejudice</v>
      </c>
      <c r="F571" s="185" t="s">
        <v>2564</v>
      </c>
      <c r="G571" s="185" t="s">
        <v>2838</v>
      </c>
      <c r="H571" s="185" t="s">
        <v>613</v>
      </c>
      <c r="I571" s="210">
        <v>12.0</v>
      </c>
      <c r="J571" s="185" t="s">
        <v>1509</v>
      </c>
      <c r="K571" s="185">
        <v>228.0</v>
      </c>
      <c r="L571" s="185" t="s">
        <v>1574</v>
      </c>
      <c r="M571" s="211" t="s">
        <v>169</v>
      </c>
      <c r="N571" s="1"/>
    </row>
    <row r="572" ht="32.25" hidden="1" customHeight="1">
      <c r="A572" s="1"/>
      <c r="B572" s="202">
        <f t="shared" si="4"/>
        <v>566</v>
      </c>
      <c r="C572" s="181">
        <v>42372.0</v>
      </c>
      <c r="D572" s="182">
        <f t="shared" si="5"/>
        <v>2016</v>
      </c>
      <c r="E572" s="212" t="str">
        <f>hyperlink("http://www.amazon.com/How-We-Learn-Surprising-Happens-ebook/dp/B00IWTTNZE/ref=tmm_kin_swatch_0?_encoding=UTF8&amp;qid=&amp;sr=","How We Learn: The Surprising Truth About When, Where, and Why It Happens")</f>
        <v>How We Learn: The Surprising Truth About When, Where, and Why It Happens</v>
      </c>
      <c r="F572" s="185" t="s">
        <v>2839</v>
      </c>
      <c r="G572" s="185" t="s">
        <v>2840</v>
      </c>
      <c r="H572" s="185" t="s">
        <v>613</v>
      </c>
      <c r="I572" s="210">
        <v>12.0</v>
      </c>
      <c r="J572" s="185" t="s">
        <v>1496</v>
      </c>
      <c r="K572" s="185">
        <v>274.0</v>
      </c>
      <c r="L572" s="185" t="s">
        <v>1574</v>
      </c>
      <c r="M572" s="211" t="s">
        <v>1498</v>
      </c>
      <c r="N572" s="1"/>
    </row>
    <row r="573" ht="32.25" hidden="1" customHeight="1">
      <c r="A573" s="1"/>
      <c r="B573" s="202">
        <f t="shared" si="4"/>
        <v>567</v>
      </c>
      <c r="C573" s="181">
        <v>42398.0</v>
      </c>
      <c r="D573" s="182">
        <f t="shared" si="5"/>
        <v>2016</v>
      </c>
      <c r="E573" s="212" t="str">
        <f>hyperlink("http://www.amazon.com/Michael-Jordan-Life-Roland-Lazenby-ebook/dp/B00AFGKXOW/ref=tmm_kin_swatch_0?_encoding=UTF8&amp;qid=&amp;sr=","Michael Jordan: The Life")</f>
        <v>Michael Jordan: The Life</v>
      </c>
      <c r="F573" s="185" t="s">
        <v>2841</v>
      </c>
      <c r="G573" s="185" t="s">
        <v>2842</v>
      </c>
      <c r="H573" s="185" t="s">
        <v>613</v>
      </c>
      <c r="I573" s="210">
        <v>12.0</v>
      </c>
      <c r="J573" s="185" t="s">
        <v>1496</v>
      </c>
      <c r="K573" s="185">
        <v>678.0</v>
      </c>
      <c r="L573" s="185" t="s">
        <v>1574</v>
      </c>
      <c r="M573" s="211" t="s">
        <v>804</v>
      </c>
      <c r="N573" s="1"/>
    </row>
    <row r="574" ht="32.25" hidden="1" customHeight="1">
      <c r="A574" s="1"/>
      <c r="B574" s="202">
        <f t="shared" si="4"/>
        <v>568</v>
      </c>
      <c r="C574" s="181">
        <v>42400.0</v>
      </c>
      <c r="D574" s="182">
        <f t="shared" si="5"/>
        <v>2016</v>
      </c>
      <c r="E574" s="212" t="str">
        <f>hyperlink("http://www.amazon.com/Yes-Please-Amy-Poehler-ebook/dp/B00IHZS39A/ref=tmm_kin_swatch_0?_encoding=UTF8&amp;qid=1454298910&amp;sr=1-1","Yes, Please")</f>
        <v>Yes, Please</v>
      </c>
      <c r="F574" s="185" t="s">
        <v>2843</v>
      </c>
      <c r="G574" s="185" t="s">
        <v>2844</v>
      </c>
      <c r="H574" s="185" t="s">
        <v>613</v>
      </c>
      <c r="I574" s="210">
        <v>12.0</v>
      </c>
      <c r="J574" s="185" t="s">
        <v>1496</v>
      </c>
      <c r="K574" s="185">
        <v>352.0</v>
      </c>
      <c r="L574" s="185" t="s">
        <v>1574</v>
      </c>
      <c r="M574" s="211" t="s">
        <v>804</v>
      </c>
      <c r="N574" s="1"/>
    </row>
    <row r="575" ht="32.25" hidden="1" customHeight="1">
      <c r="A575" s="1"/>
      <c r="B575" s="202">
        <f t="shared" si="4"/>
        <v>569</v>
      </c>
      <c r="C575" s="181">
        <v>42406.0</v>
      </c>
      <c r="D575" s="182">
        <f t="shared" si="5"/>
        <v>2016</v>
      </c>
      <c r="E575" s="212" t="str">
        <f>hyperlink("http://www.amazon.com/Breakfast-Champions-Kurt-Vonnegut-ebook/dp/B003XRELEI/ref=tmm_kin_swatch_0?_encoding=UTF8&amp;qid=1454905776&amp;sr=1-1","Breakfast of Champions")</f>
        <v>Breakfast of Champions</v>
      </c>
      <c r="F575" s="185" t="s">
        <v>2845</v>
      </c>
      <c r="G575" s="185" t="s">
        <v>2846</v>
      </c>
      <c r="H575" s="185" t="s">
        <v>613</v>
      </c>
      <c r="I575" s="210">
        <v>12.0</v>
      </c>
      <c r="J575" s="185" t="s">
        <v>1509</v>
      </c>
      <c r="K575" s="185">
        <v>322.0</v>
      </c>
      <c r="L575" s="185" t="s">
        <v>1574</v>
      </c>
      <c r="M575" s="211" t="s">
        <v>804</v>
      </c>
      <c r="N575" s="1"/>
    </row>
    <row r="576" ht="32.25" hidden="1" customHeight="1">
      <c r="A576" s="1"/>
      <c r="B576" s="202">
        <f t="shared" si="4"/>
        <v>570</v>
      </c>
      <c r="C576" s="181">
        <v>42413.0</v>
      </c>
      <c r="D576" s="182">
        <f t="shared" si="5"/>
        <v>2016</v>
      </c>
      <c r="E576" s="212" t="str">
        <f>hyperlink("http://www.amazon.com/Slaughterhouse-Five-Kurt-Vonnegut-ebook/dp/B003XVYLDU/ref=sr_1_1_twi_kin_2?ie=UTF8&amp;qid=1455600457&amp;sr=8-1&amp;keywords=slaughterhouse+5","Slaughterhouse Five")</f>
        <v>Slaughterhouse Five</v>
      </c>
      <c r="F576" s="185" t="s">
        <v>2845</v>
      </c>
      <c r="G576" s="185" t="s">
        <v>2847</v>
      </c>
      <c r="H576" s="185" t="s">
        <v>613</v>
      </c>
      <c r="I576" s="210">
        <v>12.0</v>
      </c>
      <c r="J576" s="185" t="s">
        <v>1509</v>
      </c>
      <c r="K576" s="185">
        <v>285.0</v>
      </c>
      <c r="L576" s="185" t="s">
        <v>1574</v>
      </c>
      <c r="M576" s="211" t="s">
        <v>804</v>
      </c>
      <c r="N576" s="1"/>
    </row>
    <row r="577" ht="32.25" hidden="1" customHeight="1">
      <c r="A577" s="1"/>
      <c r="B577" s="202">
        <f t="shared" si="4"/>
        <v>571</v>
      </c>
      <c r="C577" s="181">
        <v>42603.0</v>
      </c>
      <c r="D577" s="182">
        <f t="shared" si="5"/>
        <v>2016</v>
      </c>
      <c r="E577" s="212" t="str">
        <f>hyperlink("https://www.amazon.com/Girl-Lower-Back-Tattoo-ebook/dp/B01CIM1L0U/ref=sr_1_1?s=digital-text&amp;ie=UTF8&amp;qid=1478409763&amp;sr=1-1&amp;keywords=the+girl+with+the+lower+back+tattoo","Girl with the Lower Back Tattoo, The")</f>
        <v>Girl with the Lower Back Tattoo, The</v>
      </c>
      <c r="F577" s="185" t="s">
        <v>2848</v>
      </c>
      <c r="G577" s="185" t="s">
        <v>2849</v>
      </c>
      <c r="H577" s="185" t="s">
        <v>613</v>
      </c>
      <c r="I577" s="210">
        <v>12.0</v>
      </c>
      <c r="J577" s="185" t="s">
        <v>1496</v>
      </c>
      <c r="K577" s="185">
        <v>336.0</v>
      </c>
      <c r="L577" s="185" t="s">
        <v>1574</v>
      </c>
      <c r="M577" s="211" t="s">
        <v>804</v>
      </c>
      <c r="N577" s="1"/>
    </row>
    <row r="578" ht="32.25" hidden="1" customHeight="1">
      <c r="A578" s="1"/>
      <c r="B578" s="202">
        <f t="shared" si="4"/>
        <v>572</v>
      </c>
      <c r="C578" s="181">
        <v>42700.0</v>
      </c>
      <c r="D578" s="182">
        <f t="shared" si="5"/>
        <v>2016</v>
      </c>
      <c r="E578" s="212" t="str">
        <f>hyperlink("https://www.amazon.com/News-Edward-Patrick-Melrose-Novels/dp/1447202953/ref=sr_1_3?s=books&amp;ie=UTF8&amp;qid=1480271000&amp;sr=1-3&amp;keywords=edward+st+aubyn+bad+news","Bad News")</f>
        <v>Bad News</v>
      </c>
      <c r="F578" s="185" t="s">
        <v>2277</v>
      </c>
      <c r="G578" s="185" t="s">
        <v>2850</v>
      </c>
      <c r="H578" s="185" t="s">
        <v>613</v>
      </c>
      <c r="I578" s="210">
        <v>12.0</v>
      </c>
      <c r="J578" s="185" t="s">
        <v>1509</v>
      </c>
      <c r="K578" s="185">
        <v>256.0</v>
      </c>
      <c r="L578" s="185" t="s">
        <v>1574</v>
      </c>
      <c r="M578" s="211" t="s">
        <v>804</v>
      </c>
      <c r="N578" s="1"/>
    </row>
    <row r="579" ht="32.25" hidden="1" customHeight="1">
      <c r="A579" s="1"/>
      <c r="B579" s="202">
        <f t="shared" si="4"/>
        <v>573</v>
      </c>
      <c r="C579" s="181">
        <v>42786.0</v>
      </c>
      <c r="D579" s="182">
        <f t="shared" si="5"/>
        <v>2017</v>
      </c>
      <c r="E579" s="212" t="str">
        <f>hyperlink("https://www.amazon.com/Unfinished-Business-1990-91-Boston-Celtics-ebook/dp/B00FJ4L21I/ref=sr_1_12?s=digital-text&amp;ie=UTF8&amp;qid=1499400064&amp;sr=1-12&amp;keywords=unfinished+business","Unfinished Business: On and Off the Court with the 1990-91 Boston Celtics")</f>
        <v>Unfinished Business: On and Off the Court with the 1990-91 Boston Celtics</v>
      </c>
      <c r="F579" s="185" t="s">
        <v>2787</v>
      </c>
      <c r="G579" s="185" t="s">
        <v>2851</v>
      </c>
      <c r="H579" s="185" t="s">
        <v>613</v>
      </c>
      <c r="I579" s="210">
        <v>12.0</v>
      </c>
      <c r="J579" s="185" t="s">
        <v>1502</v>
      </c>
      <c r="K579" s="185">
        <v>257.0</v>
      </c>
      <c r="L579" s="185" t="s">
        <v>1526</v>
      </c>
      <c r="M579" s="211" t="s">
        <v>1527</v>
      </c>
      <c r="N579" s="1"/>
    </row>
    <row r="580" ht="32.25" hidden="1" customHeight="1">
      <c r="A580" s="1"/>
      <c r="B580" s="202">
        <f t="shared" si="4"/>
        <v>574</v>
      </c>
      <c r="C580" s="181">
        <v>42960.0</v>
      </c>
      <c r="D580" s="182">
        <f t="shared" si="5"/>
        <v>2017</v>
      </c>
      <c r="E580" s="212" t="str">
        <f>hyperlink("https://www.amazon.com/Dying-Memoir-Cory-Taylor-ebook/dp/B01N03RVWI/ref=sr_1_1?s=digital-text&amp;ie=UTF8&amp;qid=1504114251&amp;sr=1-1&amp;keywords=dying+a+memoir","Dying: A Memoir")</f>
        <v>Dying: A Memoir</v>
      </c>
      <c r="F580" s="185" t="s">
        <v>2852</v>
      </c>
      <c r="G580" s="185" t="s">
        <v>2853</v>
      </c>
      <c r="H580" s="185" t="s">
        <v>613</v>
      </c>
      <c r="I580" s="210">
        <v>12.0</v>
      </c>
      <c r="J580" s="185" t="s">
        <v>1509</v>
      </c>
      <c r="K580" s="185">
        <v>141.0</v>
      </c>
      <c r="L580" s="185" t="s">
        <v>1526</v>
      </c>
      <c r="M580" s="211" t="s">
        <v>1527</v>
      </c>
      <c r="N580" s="1"/>
    </row>
    <row r="581" ht="32.25" hidden="1" customHeight="1">
      <c r="A581" s="1"/>
      <c r="B581" s="202">
        <f t="shared" si="4"/>
        <v>575</v>
      </c>
      <c r="C581" s="181">
        <v>43009.0</v>
      </c>
      <c r="D581" s="182">
        <f t="shared" si="5"/>
        <v>2017</v>
      </c>
      <c r="E581" s="212" t="str">
        <f>hyperlink("https://www.amazon.com/Hit-Refresh-Rediscover-Microsofts-Everyone-ebook/dp/B01HOT5SQA/ref=tmm_kin_swatch_0?_encoding=UTF8&amp;qid=1514754821&amp;sr=8-1","Hit Refresh: The Quest to Rediscover Microsoft's Soul and Imagine a Better Future for Everyone")</f>
        <v>Hit Refresh: The Quest to Rediscover Microsoft's Soul and Imagine a Better Future for Everyone</v>
      </c>
      <c r="F581" s="185" t="s">
        <v>2854</v>
      </c>
      <c r="G581" s="185" t="s">
        <v>2855</v>
      </c>
      <c r="H581" s="185" t="s">
        <v>613</v>
      </c>
      <c r="I581" s="210">
        <v>12.0</v>
      </c>
      <c r="J581" s="185" t="s">
        <v>1522</v>
      </c>
      <c r="K581" s="185">
        <v>293.0</v>
      </c>
      <c r="L581" s="185" t="s">
        <v>1526</v>
      </c>
      <c r="M581" s="211" t="s">
        <v>1527</v>
      </c>
      <c r="N581" s="1"/>
    </row>
    <row r="582" ht="32.25" hidden="1" customHeight="1">
      <c r="A582" s="1"/>
      <c r="B582" s="202">
        <f t="shared" si="4"/>
        <v>576</v>
      </c>
      <c r="C582" s="181">
        <v>43022.0</v>
      </c>
      <c r="D582" s="182">
        <f t="shared" si="5"/>
        <v>2017</v>
      </c>
      <c r="E582" s="212" t="str">
        <f>hyperlink("https://www.amazon.com/Braving-Wilderness-Quest-Belonging-Courage-ebook/dp/B06XFLFSRY/ref=sr_1_1?s=digital-text&amp;ie=UTF8&amp;qid=1514759582&amp;sr=1-1&amp;keywords=braving+the+wilderness+brene+brown","Braving the Wilderness: The Quest for True Belonging and the Courage to Stand Alone")</f>
        <v>Braving the Wilderness: The Quest for True Belonging and the Courage to Stand Alone</v>
      </c>
      <c r="F582" s="185" t="s">
        <v>2856</v>
      </c>
      <c r="G582" s="185" t="s">
        <v>2857</v>
      </c>
      <c r="H582" s="185" t="s">
        <v>613</v>
      </c>
      <c r="I582" s="210">
        <v>12.0</v>
      </c>
      <c r="J582" s="185" t="s">
        <v>1496</v>
      </c>
      <c r="K582" s="185">
        <v>208.0</v>
      </c>
      <c r="L582" s="185" t="s">
        <v>1526</v>
      </c>
      <c r="M582" s="211" t="s">
        <v>804</v>
      </c>
      <c r="N582" s="1"/>
    </row>
    <row r="583" ht="32.25" hidden="1" customHeight="1">
      <c r="A583" s="1"/>
      <c r="B583" s="202">
        <f t="shared" si="4"/>
        <v>577</v>
      </c>
      <c r="C583" s="181">
        <v>43037.0</v>
      </c>
      <c r="D583" s="182">
        <f t="shared" si="5"/>
        <v>2017</v>
      </c>
      <c r="E583" s="212" t="str">
        <f>hyperlink("https://www.amazon.com/Four-Hidden-Amazon-Facebook-Google-ebook/dp/B06WP982HX/ref=sr_1_1?s=digital-text&amp;ie=UTF8&amp;qid=1514759086&amp;sr=1-1&amp;keywords=the+four+the+hidden+dna+of+amazon%2C+apple%2C+facebook%2C+and+google","The Four: The Hidden DNA of Amazon, Apple, Facebook, and Google")</f>
        <v>The Four: The Hidden DNA of Amazon, Apple, Facebook, and Google</v>
      </c>
      <c r="F583" s="185" t="s">
        <v>2858</v>
      </c>
      <c r="G583" s="185" t="s">
        <v>2859</v>
      </c>
      <c r="H583" s="185" t="s">
        <v>613</v>
      </c>
      <c r="I583" s="210">
        <v>12.0</v>
      </c>
      <c r="J583" s="185" t="s">
        <v>1522</v>
      </c>
      <c r="K583" s="185">
        <v>318.0</v>
      </c>
      <c r="L583" s="185" t="s">
        <v>1574</v>
      </c>
      <c r="M583" s="211" t="s">
        <v>804</v>
      </c>
      <c r="N583" s="1"/>
    </row>
    <row r="584" ht="32.25" hidden="1" customHeight="1">
      <c r="A584" s="1"/>
      <c r="B584" s="202">
        <f t="shared" si="4"/>
        <v>578</v>
      </c>
      <c r="C584" s="181">
        <v>43276.0</v>
      </c>
      <c r="D584" s="182">
        <f t="shared" si="5"/>
        <v>2018</v>
      </c>
      <c r="E584" s="212" t="str">
        <f>hyperlink("https://www.amazon.com/Iron-War-Scott-Allen-Greatest-ebook/dp/B006ML1514/ref=tmm_kin_swatch_0?_encoding=UTF8&amp;qid=1530893601&amp;sr=1-1","Ironwar: Dave Scott, Mark Allen, and the Greatest Race Ever Run") </f>
        <v>Ironwar: Dave Scott, Mark Allen, and the Greatest Race Ever Run</v>
      </c>
      <c r="F584" s="185" t="s">
        <v>1967</v>
      </c>
      <c r="G584" s="185" t="s">
        <v>2860</v>
      </c>
      <c r="H584" s="185" t="s">
        <v>613</v>
      </c>
      <c r="I584" s="210">
        <v>12.0</v>
      </c>
      <c r="J584" s="185" t="s">
        <v>1502</v>
      </c>
      <c r="K584" s="185">
        <v>433.0</v>
      </c>
      <c r="L584" s="185" t="s">
        <v>1574</v>
      </c>
      <c r="M584" s="211" t="s">
        <v>804</v>
      </c>
      <c r="N584" s="1"/>
    </row>
    <row r="585" ht="32.25" hidden="1" customHeight="1">
      <c r="A585" s="1"/>
      <c r="B585" s="202">
        <f t="shared" si="4"/>
        <v>579</v>
      </c>
      <c r="C585" s="181">
        <v>43291.0</v>
      </c>
      <c r="D585" s="182">
        <f t="shared" si="5"/>
        <v>2018</v>
      </c>
      <c r="E585" s="212" t="str">
        <f>hyperlink("https://www.amazon.com/Born-Run-Christopher-McDougall-ebook/dp/B0028MBKVG/ref=sr_1_1?s=digital-text&amp;ie=UTF8&amp;qid=1546909279&amp;sr=1-1&amp;keywords=born+to+run","Born to Run")</f>
        <v>Born to Run</v>
      </c>
      <c r="F585" s="185" t="s">
        <v>2861</v>
      </c>
      <c r="G585" s="185" t="s">
        <v>2862</v>
      </c>
      <c r="H585" s="185" t="s">
        <v>613</v>
      </c>
      <c r="I585" s="210">
        <v>12.0</v>
      </c>
      <c r="J585" s="185" t="s">
        <v>1502</v>
      </c>
      <c r="K585" s="185">
        <v>306.0</v>
      </c>
      <c r="L585" s="185" t="s">
        <v>1574</v>
      </c>
      <c r="M585" s="211" t="s">
        <v>804</v>
      </c>
      <c r="N585" s="1"/>
    </row>
    <row r="586" ht="32.25" hidden="1" customHeight="1">
      <c r="A586" s="1"/>
      <c r="B586" s="202">
        <f t="shared" si="4"/>
        <v>580</v>
      </c>
      <c r="C586" s="181">
        <v>43296.0</v>
      </c>
      <c r="D586" s="182">
        <f t="shared" si="5"/>
        <v>2018</v>
      </c>
      <c r="E586" s="212" t="str">
        <f>hyperlink("https://www.amazon.com/How-Bad-You-Want-Psychology-ebook/dp/B017OE42OE/ref=sr_1_3?s=digital-text&amp;ie=UTF8&amp;qid=1546908872&amp;sr=1-3&amp;keywords=how+bad+do+you+want+it","How Bad Do You Want It: Mastering the Psychology of Mind Over Muscle")</f>
        <v>How Bad Do You Want It: Mastering the Psychology of Mind Over Muscle</v>
      </c>
      <c r="F586" s="185" t="s">
        <v>1967</v>
      </c>
      <c r="G586" s="185" t="s">
        <v>2863</v>
      </c>
      <c r="H586" s="185" t="s">
        <v>613</v>
      </c>
      <c r="I586" s="210">
        <v>12.0</v>
      </c>
      <c r="J586" s="185" t="s">
        <v>1502</v>
      </c>
      <c r="K586" s="185">
        <v>221.0</v>
      </c>
      <c r="L586" s="185" t="s">
        <v>1574</v>
      </c>
      <c r="M586" s="227" t="s">
        <v>1527</v>
      </c>
      <c r="N586" s="1"/>
    </row>
    <row r="587" ht="32.25" hidden="1" customHeight="1">
      <c r="A587" s="1"/>
      <c r="B587" s="202">
        <f t="shared" si="4"/>
        <v>581</v>
      </c>
      <c r="C587" s="181">
        <v>43401.0</v>
      </c>
      <c r="D587" s="182">
        <f t="shared" si="5"/>
        <v>2018</v>
      </c>
      <c r="E587" s="212" t="str">
        <f>hyperlink("https://www.amazon.com/Who-Is-Michael-Ovitz/dp/B07DK2XMBZ/ref=sr_1_3?ie=UTF8&amp;qid=1546908462&amp;sr=1-3&amp;keywords=who+is+michael+ovitz","Who is Michael Ovitz?")</f>
        <v>Who is Michael Ovitz?</v>
      </c>
      <c r="F587" s="185" t="s">
        <v>2864</v>
      </c>
      <c r="G587" s="185" t="s">
        <v>2865</v>
      </c>
      <c r="H587" s="185" t="s">
        <v>613</v>
      </c>
      <c r="I587" s="210">
        <v>12.0</v>
      </c>
      <c r="J587" s="185" t="s">
        <v>1522</v>
      </c>
      <c r="K587" s="185">
        <v>384.0</v>
      </c>
      <c r="L587" s="185" t="s">
        <v>1574</v>
      </c>
      <c r="M587" s="211" t="s">
        <v>804</v>
      </c>
      <c r="N587" s="1"/>
    </row>
    <row r="588" ht="32.25" hidden="1" customHeight="1">
      <c r="A588" s="1"/>
      <c r="B588" s="202">
        <f t="shared" si="4"/>
        <v>582</v>
      </c>
      <c r="C588" s="181">
        <v>43428.0</v>
      </c>
      <c r="D588" s="182">
        <f t="shared" si="5"/>
        <v>2018</v>
      </c>
      <c r="E588" s="212" t="str">
        <f>hyperlink("https://www.amazon.com/Kiwi-Pair-Hamish-Bond-ebook/dp/B01JQL99DW/ref=sr_1_1?s=digital-text&amp;ie=UTF8&amp;qid=1546906224&amp;sr=1-1&amp;keywords=the+kiwi+pair","Kiwi Pair, The")</f>
        <v>Kiwi Pair, The</v>
      </c>
      <c r="F588" s="185" t="s">
        <v>2866</v>
      </c>
      <c r="G588" s="185" t="s">
        <v>2867</v>
      </c>
      <c r="H588" s="185" t="s">
        <v>613</v>
      </c>
      <c r="I588" s="210">
        <v>12.0</v>
      </c>
      <c r="J588" s="185" t="s">
        <v>1502</v>
      </c>
      <c r="K588" s="185">
        <v>267.0</v>
      </c>
      <c r="L588" s="185" t="s">
        <v>1526</v>
      </c>
      <c r="M588" s="211" t="s">
        <v>1527</v>
      </c>
      <c r="N588" s="1"/>
    </row>
    <row r="589" ht="32.25" hidden="1" customHeight="1">
      <c r="A589" s="1"/>
      <c r="B589" s="202">
        <f t="shared" si="4"/>
        <v>583</v>
      </c>
      <c r="C589" s="181">
        <v>43438.0</v>
      </c>
      <c r="D589" s="182">
        <f t="shared" si="5"/>
        <v>2018</v>
      </c>
      <c r="E589" s="212" t="str">
        <f>hyperlink("https://www.amazon.com/Sphinx-Charles-Harvard-Harry-Parker-ebook/dp/B01I498G3G/ref=sr_1_1?s=digital-text&amp;ie=UTF8&amp;qid=1546905182&amp;sr=1-1&amp;keywords=the+sphinx+harry+parker","The Sphinx of the Charles: A year at Harvard with Harry Parker")</f>
        <v>The Sphinx of the Charles: A year at Harvard with Harry Parker</v>
      </c>
      <c r="F589" s="185" t="s">
        <v>2868</v>
      </c>
      <c r="G589" s="185" t="s">
        <v>2869</v>
      </c>
      <c r="H589" s="185" t="s">
        <v>613</v>
      </c>
      <c r="I589" s="210">
        <v>12.0</v>
      </c>
      <c r="J589" s="185" t="s">
        <v>1502</v>
      </c>
      <c r="K589" s="185">
        <v>200.0</v>
      </c>
      <c r="L589" s="185" t="s">
        <v>1526</v>
      </c>
      <c r="M589" s="211" t="s">
        <v>1527</v>
      </c>
      <c r="N589" s="1"/>
    </row>
    <row r="590" ht="32.25" hidden="1" customHeight="1">
      <c r="A590" s="1"/>
      <c r="B590" s="202">
        <f t="shared" si="4"/>
        <v>584</v>
      </c>
      <c r="C590" s="181">
        <v>43738.0</v>
      </c>
      <c r="D590" s="182">
        <f t="shared" si="5"/>
        <v>2019</v>
      </c>
      <c r="E590" s="212" t="str">
        <f>hyperlink("https://smile.amazon.com/Three-Women-Lisa-Taddeo/dp/1451642296/ref=smi_www_rco2_go_smi_g3905707922?_encoding=UTF8&amp;%2AVersion%2A=1&amp;%2Aentries%2A=0&amp;ie=UTF8","Three Women")</f>
        <v>Three Women</v>
      </c>
      <c r="F590" s="185" t="s">
        <v>2870</v>
      </c>
      <c r="G590" s="185" t="s">
        <v>2871</v>
      </c>
      <c r="H590" s="185" t="s">
        <v>613</v>
      </c>
      <c r="I590" s="210">
        <v>12.0</v>
      </c>
      <c r="J590" s="185" t="s">
        <v>1509</v>
      </c>
      <c r="K590" s="185">
        <v>320.0</v>
      </c>
      <c r="L590" s="185" t="s">
        <v>1526</v>
      </c>
      <c r="M590" s="211" t="s">
        <v>1527</v>
      </c>
      <c r="N590" s="1"/>
    </row>
    <row r="591" ht="32.25" hidden="1" customHeight="1">
      <c r="A591" s="1"/>
      <c r="B591" s="202">
        <f t="shared" si="4"/>
        <v>585</v>
      </c>
      <c r="C591" s="181">
        <v>43538.0</v>
      </c>
      <c r="D591" s="182">
        <f t="shared" si="5"/>
        <v>2019</v>
      </c>
      <c r="E591" s="212" t="str">
        <f>hyperlink("https://www.amazon.com/gp/product/B00DMCJOXW/ref=x_gr_w_glide_sin?caller=Goodreads&amp;callerLink=https%3A%2F%2Fwww.goodreads.com%2Fbook%2Fshow%2F20485769-small-move-big-change&amp;tag=x_gr_w_glide_sin-20","Small Move, Big Change: Using Microresolutions to Transform Your Life Permanently")</f>
        <v>Small Move, Big Change: Using Microresolutions to Transform Your Life Permanently</v>
      </c>
      <c r="F591" s="185" t="s">
        <v>2872</v>
      </c>
      <c r="G591" s="185" t="s">
        <v>2873</v>
      </c>
      <c r="H591" s="185" t="s">
        <v>613</v>
      </c>
      <c r="I591" s="210">
        <v>12.0</v>
      </c>
      <c r="J591" s="185" t="s">
        <v>1496</v>
      </c>
      <c r="K591" s="185">
        <v>272.0</v>
      </c>
      <c r="L591" s="185" t="s">
        <v>1526</v>
      </c>
      <c r="M591" s="211" t="s">
        <v>1527</v>
      </c>
      <c r="N591" s="1"/>
    </row>
    <row r="592" ht="32.25" hidden="1" customHeight="1">
      <c r="A592" s="1"/>
      <c r="B592" s="202">
        <f t="shared" si="4"/>
        <v>586</v>
      </c>
      <c r="C592" s="181">
        <v>43793.0</v>
      </c>
      <c r="D592" s="182">
        <f t="shared" si="5"/>
        <v>2019</v>
      </c>
      <c r="E592" s="212" t="str">
        <f>hyperlink("https://www.amazon.com/Man-Who-Solved-Market-Revolution-ebook/dp/B07P1NNTSD/ref=sr_1_1?crid=394TZ7AJKTWJV&amp;keywords=the+man+who+solved+the+market&amp;qid=1575243377&amp;s=digital-text&amp;sprefix=the+man+who+so%2Cdigital-text%2C200&amp;sr=1-1","Man Who Solved The Market, The")</f>
        <v>Man Who Solved The Market, The</v>
      </c>
      <c r="F592" s="185" t="s">
        <v>2874</v>
      </c>
      <c r="G592" s="185" t="s">
        <v>2875</v>
      </c>
      <c r="H592" s="185" t="s">
        <v>613</v>
      </c>
      <c r="I592" s="210">
        <v>12.0</v>
      </c>
      <c r="J592" s="185" t="s">
        <v>1522</v>
      </c>
      <c r="K592" s="185">
        <v>382.0</v>
      </c>
      <c r="L592" s="185" t="s">
        <v>1526</v>
      </c>
      <c r="M592" s="211" t="s">
        <v>1527</v>
      </c>
      <c r="N592" s="1"/>
    </row>
    <row r="593" ht="32.25" hidden="1" customHeight="1">
      <c r="A593" s="1"/>
      <c r="B593" s="202">
        <f t="shared" si="4"/>
        <v>587</v>
      </c>
      <c r="C593" s="181">
        <v>43966.0</v>
      </c>
      <c r="D593" s="182">
        <f t="shared" si="5"/>
        <v>2020</v>
      </c>
      <c r="E593" s="212" t="str">
        <f>hyperlink("https://www.amazon.com/Writing-Without-Bullshit-Career-Saying/dp/0062477153/ref=sr_1_1?dchild=1&amp;keywords=writing+without+bullshit&amp;qid=1600491088&amp;sr=8-1","Writing Without Bullshit: Boost Your Career by Saying What You Mean")</f>
        <v>Writing Without Bullshit: Boost Your Career by Saying What You Mean</v>
      </c>
      <c r="F593" s="185" t="s">
        <v>2876</v>
      </c>
      <c r="G593" s="185" t="s">
        <v>2877</v>
      </c>
      <c r="H593" s="185" t="s">
        <v>613</v>
      </c>
      <c r="I593" s="210">
        <v>12.0</v>
      </c>
      <c r="J593" s="185" t="s">
        <v>1522</v>
      </c>
      <c r="K593" s="185">
        <v>304.0</v>
      </c>
      <c r="L593" s="185" t="s">
        <v>1526</v>
      </c>
      <c r="M593" s="228" t="s">
        <v>1527</v>
      </c>
      <c r="N593" s="1"/>
    </row>
    <row r="594" ht="32.25" hidden="1" customHeight="1">
      <c r="A594" s="1"/>
      <c r="B594" s="202">
        <f t="shared" si="4"/>
        <v>588</v>
      </c>
      <c r="C594" s="181">
        <v>44297.0</v>
      </c>
      <c r="D594" s="182">
        <f t="shared" si="5"/>
        <v>2021</v>
      </c>
      <c r="E594" s="212" t="str">
        <f>hyperlink("https://www.amazon.com/Draft-No-4-Writing-Process-ebook/dp/B06X18NHC1/ref=tmm_kin_swatch_0?_encoding=UTF8&amp;qid=1618199602&amp;sr=8-2","Draft No. 4: On the Writing Process")</f>
        <v>Draft No. 4: On the Writing Process</v>
      </c>
      <c r="F594" s="185" t="s">
        <v>2878</v>
      </c>
      <c r="G594" s="185" t="s">
        <v>2879</v>
      </c>
      <c r="H594" s="185" t="s">
        <v>613</v>
      </c>
      <c r="I594" s="210">
        <v>12.0</v>
      </c>
      <c r="J594" s="185" t="s">
        <v>1496</v>
      </c>
      <c r="K594" s="185">
        <v>210.0</v>
      </c>
      <c r="L594" s="185" t="s">
        <v>1497</v>
      </c>
      <c r="M594" s="211" t="s">
        <v>1498</v>
      </c>
      <c r="N594" s="1"/>
    </row>
    <row r="595" ht="32.25" hidden="1" customHeight="1">
      <c r="A595" s="1"/>
      <c r="B595" s="202">
        <f t="shared" si="4"/>
        <v>589</v>
      </c>
      <c r="C595" s="181">
        <v>44454.0</v>
      </c>
      <c r="D595" s="182">
        <f t="shared" si="5"/>
        <v>2021</v>
      </c>
      <c r="E595" s="212" t="str">
        <f>hyperlink("https://smile.amazon.com/slide-ology-Science-Presentation-Design-ebook-dp-B006QNDDHW/dp/B006QNDDHW/ref=mt_other?_encoding=UTF8&amp;me=&amp;qid=1644699718","Slide-ology: The Art and Science of Presentation Design")</f>
        <v>Slide-ology: The Art and Science of Presentation Design</v>
      </c>
      <c r="F595" s="185" t="s">
        <v>2880</v>
      </c>
      <c r="G595" s="185" t="s">
        <v>2881</v>
      </c>
      <c r="H595" s="185" t="s">
        <v>613</v>
      </c>
      <c r="I595" s="210">
        <v>12.0</v>
      </c>
      <c r="J595" s="185" t="s">
        <v>1522</v>
      </c>
      <c r="K595" s="185">
        <v>296.0</v>
      </c>
      <c r="L595" s="185" t="s">
        <v>1497</v>
      </c>
      <c r="M595" s="211" t="s">
        <v>1498</v>
      </c>
      <c r="N595" s="1"/>
    </row>
    <row r="596" ht="32.25" hidden="1" customHeight="1">
      <c r="A596" s="1"/>
      <c r="B596" s="202">
        <f t="shared" si="4"/>
        <v>590</v>
      </c>
      <c r="C596" s="181">
        <v>44557.0</v>
      </c>
      <c r="D596" s="182">
        <f t="shared" si="5"/>
        <v>2021</v>
      </c>
      <c r="E596" s="212" t="str">
        <f>hyperlink("https://smile.amazon.com/What-You-Do-Who-Are-ebook/dp/B07NVN4QCM/ref=sr_1_1?crid=JDCQJ9X7VO5T&amp;keywords=who+you+are+is+what+you+do&amp;qid=1644697185&amp;s=digital-text&amp;sprefix=who+you+are+is+what+you+do%2Cdigital-text%2C126&amp;sr=1-1","What You Do Is Who You Are: How to Create Your Business Culture")</f>
        <v>What You Do Is Who You Are: How to Create Your Business Culture</v>
      </c>
      <c r="F596" s="185" t="s">
        <v>1934</v>
      </c>
      <c r="G596" s="185" t="s">
        <v>2882</v>
      </c>
      <c r="H596" s="185" t="s">
        <v>613</v>
      </c>
      <c r="I596" s="210">
        <v>12.0</v>
      </c>
      <c r="J596" s="185" t="s">
        <v>1522</v>
      </c>
      <c r="K596" s="185">
        <v>289.0</v>
      </c>
      <c r="L596" s="185" t="s">
        <v>1526</v>
      </c>
      <c r="M596" s="228" t="s">
        <v>1527</v>
      </c>
      <c r="N596" s="1"/>
    </row>
    <row r="597" ht="32.25" hidden="1" customHeight="1">
      <c r="A597" s="1"/>
      <c r="B597" s="202">
        <f t="shared" si="4"/>
        <v>591</v>
      </c>
      <c r="C597" s="181">
        <v>44566.0</v>
      </c>
      <c r="D597" s="182">
        <f t="shared" si="5"/>
        <v>2022</v>
      </c>
      <c r="E597" s="212" t="str">
        <f>hyperlink("https://smile.amazon.com/Where-Crazy-People-Steve-Walker-ebook/dp/B01LYBSR4N/ref=sr_1_1?crid=1VXIB63LBP60W&amp;keywords=where+the+crazy+people+swim&amp;qid=1644698193&amp;s=digital-text&amp;sprefix=where+the+crazy+people+swim%2Cdigital-text%2C115&amp;sr=1-1","Where the Crazy People Swim")</f>
        <v>Where the Crazy People Swim</v>
      </c>
      <c r="F597" s="185" t="s">
        <v>2883</v>
      </c>
      <c r="G597" s="185" t="s">
        <v>2884</v>
      </c>
      <c r="H597" s="185" t="s">
        <v>613</v>
      </c>
      <c r="I597" s="210">
        <v>12.0</v>
      </c>
      <c r="J597" s="185" t="s">
        <v>1502</v>
      </c>
      <c r="K597" s="185">
        <v>266.0</v>
      </c>
      <c r="L597" s="185" t="s">
        <v>1526</v>
      </c>
      <c r="M597" s="228" t="s">
        <v>1527</v>
      </c>
      <c r="N597" s="1"/>
    </row>
    <row r="598" ht="32.25" hidden="1" customHeight="1">
      <c r="A598" s="1"/>
      <c r="B598" s="202">
        <f t="shared" si="4"/>
        <v>592</v>
      </c>
      <c r="C598" s="181">
        <v>44708.0</v>
      </c>
      <c r="D598" s="182">
        <f t="shared" si="5"/>
        <v>2022</v>
      </c>
      <c r="E598" s="212" t="str">
        <f>hyperlink("https://www.amazon.com/Phil-Rip-Roaring-Unauthorized-Biography-Superstar-ebook/dp/B09JPJC4L4/ref=sr_1_2?crid=IUHA54DHFWZS&amp;keywords=phil+mickelson+book&amp;qid=1657336084&amp;s=digital-text&amp;sprefix=phil+mi%2Cdigital-text%2C156&amp;sr=1-2","Phil:The Rip-Roaring (and Unauthorized!) Biography of Golf's Most Colorful Superstar")</f>
        <v>Phil:The Rip-Roaring (and Unauthorized!) Biography of Golf's Most Colorful Superstar</v>
      </c>
      <c r="F598" s="185" t="s">
        <v>2885</v>
      </c>
      <c r="G598" s="185" t="s">
        <v>2886</v>
      </c>
      <c r="H598" s="185" t="s">
        <v>613</v>
      </c>
      <c r="I598" s="210">
        <v>12.0</v>
      </c>
      <c r="J598" s="185" t="s">
        <v>1502</v>
      </c>
      <c r="K598" s="185">
        <v>251.0</v>
      </c>
      <c r="L598" s="185" t="s">
        <v>1526</v>
      </c>
      <c r="M598" s="228" t="s">
        <v>1527</v>
      </c>
      <c r="N598" s="1"/>
    </row>
    <row r="599" ht="32.25" hidden="1" customHeight="1">
      <c r="A599" s="1"/>
      <c r="B599" s="202">
        <f t="shared" si="4"/>
        <v>593</v>
      </c>
      <c r="C599" s="181">
        <v>44747.0</v>
      </c>
      <c r="D599" s="182">
        <f t="shared" si="5"/>
        <v>2022</v>
      </c>
      <c r="E599" s="212" t="str">
        <f>hyperlink("https://www.amazon.com/Dearly-Beloved-Novel-Cara-Wall-ebook/dp/B07P5J6P57/ref=sr_1_1?crid=26A4GYSL3A9O9&amp;keywords=dearly+beloved&amp;qid=1657336985&amp;s=digital-text&amp;sprefix=dearly+b%2Cdigital-text%2C188&amp;sr=1-1","Dearly Beloved, The")</f>
        <v>Dearly Beloved, The</v>
      </c>
      <c r="F599" s="185" t="s">
        <v>2887</v>
      </c>
      <c r="G599" s="185" t="s">
        <v>2888</v>
      </c>
      <c r="H599" s="185" t="s">
        <v>613</v>
      </c>
      <c r="I599" s="210">
        <v>12.0</v>
      </c>
      <c r="J599" s="185" t="s">
        <v>1509</v>
      </c>
      <c r="K599" s="185">
        <v>382.0</v>
      </c>
      <c r="L599" s="185" t="s">
        <v>1526</v>
      </c>
      <c r="M599" s="228" t="s">
        <v>1527</v>
      </c>
      <c r="N599" s="1"/>
    </row>
    <row r="600" ht="32.25" hidden="1" customHeight="1">
      <c r="A600" s="1"/>
      <c r="B600" s="202">
        <f t="shared" si="4"/>
        <v>594</v>
      </c>
      <c r="C600" s="181">
        <v>44776.0</v>
      </c>
      <c r="D600" s="182">
        <f t="shared" si="5"/>
        <v>2022</v>
      </c>
      <c r="E600" s="212" t="str">
        <f>hyperlink("https://www.amazon.com/Directed-James-Burrows-Legendary-Director/dp/0593358244/ref=sr_1_1?crid=1OFGKO0W7CCTS&amp;keywords=directed+by+james+burrows+book&amp;qid=1672287579&amp;sprefix=james+burrows%2Caps%2C182&amp;sr=8-1","Directed by James Burrows: Five Decades of Stories from the Legendary Director of Taxi, Cheers, Frasier, Friends, Will &amp; Grace, and More")</f>
        <v>Directed by James Burrows: Five Decades of Stories from the Legendary Director of Taxi, Cheers, Frasier, Friends, Will &amp; Grace, and More</v>
      </c>
      <c r="F600" s="185" t="s">
        <v>2889</v>
      </c>
      <c r="G600" s="185" t="s">
        <v>2890</v>
      </c>
      <c r="H600" s="185" t="s">
        <v>613</v>
      </c>
      <c r="I600" s="210">
        <v>12.0</v>
      </c>
      <c r="J600" s="185" t="s">
        <v>1496</v>
      </c>
      <c r="K600" s="185">
        <v>368.0</v>
      </c>
      <c r="L600" s="185" t="s">
        <v>1526</v>
      </c>
      <c r="M600" s="227" t="s">
        <v>1527</v>
      </c>
      <c r="N600" s="1"/>
    </row>
    <row r="601" ht="32.25" hidden="1" customHeight="1">
      <c r="A601" s="1"/>
      <c r="B601" s="202">
        <f t="shared" si="4"/>
        <v>595</v>
      </c>
      <c r="C601" s="181">
        <v>44871.0</v>
      </c>
      <c r="D601" s="182">
        <f t="shared" si="5"/>
        <v>2022</v>
      </c>
      <c r="E601" s="212" t="str">
        <f>hyperlink("https://www.amazon.com/Why-We-Swim-Bonnie-Tsui-ebook/dp/B07WJ1NH6N/ref=sr_1_1?crid=EPBHDQHDCCTW&amp;keywords=why+we+swim&amp;qid=1672292160&amp;s=digital-text&amp;sprefix=why+we+swim%2Cdigital-text%2C175&amp;sr=1-1","Why We Swim")</f>
        <v>Why We Swim</v>
      </c>
      <c r="F601" s="185" t="s">
        <v>2891</v>
      </c>
      <c r="G601" s="185" t="s">
        <v>2892</v>
      </c>
      <c r="H601" s="185" t="s">
        <v>613</v>
      </c>
      <c r="I601" s="210">
        <v>12.0</v>
      </c>
      <c r="J601" s="185" t="s">
        <v>1496</v>
      </c>
      <c r="K601" s="185">
        <v>282.0</v>
      </c>
      <c r="L601" s="185" t="s">
        <v>1526</v>
      </c>
      <c r="M601" s="227" t="s">
        <v>1527</v>
      </c>
      <c r="N601" s="1"/>
    </row>
    <row r="602" ht="32.25" hidden="1" customHeight="1">
      <c r="A602" s="1"/>
      <c r="B602" s="202">
        <f t="shared" si="4"/>
        <v>596</v>
      </c>
      <c r="C602" s="181">
        <v>44915.0</v>
      </c>
      <c r="D602" s="182">
        <f t="shared" si="5"/>
        <v>2022</v>
      </c>
      <c r="E602" s="212" t="str">
        <f>hyperlink("https://www.amazon.com/Lightning-Thief-Percy-Jackson-Olympians-ebook/dp/B0036G8IQS/ref=sr_1_1?crid=EMJHWJK4F0TE&amp;keywords=percy+jackson+and+the+lightning+thief&amp;qid=1672291556&amp;s=digital-text&amp;sprefix=percy+jacks%2Cdigital-text%2C186&amp;sr=1-1","Percy Jackson and the Olympians: The Lightning Thief")</f>
        <v>Percy Jackson and the Olympians: The Lightning Thief</v>
      </c>
      <c r="F602" s="185" t="s">
        <v>2893</v>
      </c>
      <c r="G602" s="185" t="s">
        <v>2894</v>
      </c>
      <c r="H602" s="185" t="s">
        <v>613</v>
      </c>
      <c r="I602" s="210">
        <v>12.0</v>
      </c>
      <c r="J602" s="185" t="s">
        <v>1509</v>
      </c>
      <c r="K602" s="185">
        <v>396.0</v>
      </c>
      <c r="L602" s="185" t="s">
        <v>1526</v>
      </c>
      <c r="M602" s="227" t="s">
        <v>1527</v>
      </c>
      <c r="N602" s="1"/>
    </row>
    <row r="603" ht="32.25" hidden="1" customHeight="1">
      <c r="A603" s="1"/>
      <c r="B603" s="202">
        <f t="shared" si="4"/>
        <v>597</v>
      </c>
      <c r="C603" s="181">
        <v>44999.0</v>
      </c>
      <c r="D603" s="182">
        <f t="shared" si="5"/>
        <v>2023</v>
      </c>
      <c r="E603" s="212" t="str">
        <f>hyperlink("https://www.amazon.com/Amp-Hypergrowth-Expectations-Increasing-Elevating-ebook/dp/B09QHBZDDZ/ref=sr_1_1?keywords=amp+it+up+frank+slootman&amp;qid=1687065209&amp;s=digital-text&amp;sprefix=amp+it+up%2Cdigital-text%2C160&amp;sr=1-1","Amp It Up: Leading for Hypergrowth by Raising Expectations, Increasing Urgency, and Elevating Intensity")</f>
        <v>Amp It Up: Leading for Hypergrowth by Raising Expectations, Increasing Urgency, and Elevating Intensity</v>
      </c>
      <c r="F603" s="185" t="s">
        <v>2895</v>
      </c>
      <c r="G603" s="185" t="s">
        <v>2896</v>
      </c>
      <c r="H603" s="185" t="s">
        <v>613</v>
      </c>
      <c r="I603" s="210">
        <v>12.0</v>
      </c>
      <c r="J603" s="185" t="s">
        <v>1522</v>
      </c>
      <c r="K603" s="185">
        <v>208.0</v>
      </c>
      <c r="L603" s="185" t="s">
        <v>1526</v>
      </c>
      <c r="M603" s="227" t="s">
        <v>1527</v>
      </c>
      <c r="N603" s="1"/>
    </row>
    <row r="604" ht="32.25" hidden="1" customHeight="1">
      <c r="A604" s="1"/>
      <c r="B604" s="202">
        <f t="shared" si="4"/>
        <v>598</v>
      </c>
      <c r="C604" s="181">
        <v>45031.0</v>
      </c>
      <c r="D604" s="182">
        <f t="shared" si="5"/>
        <v>2023</v>
      </c>
      <c r="E604" s="212" t="str">
        <f>hyperlink("https://www.amazon.com/Mamba-Mentality-How-Play-ebook/dp/B07DC3WRKT/ref=sr_1_1?keywords=kobe+bryant+the+mamba+mentality&amp;qid=1687061990&amp;s=digital-text&amp;sprefix=mamba+ment%2Cdigital-text%2C166&amp;sr=1-1","Mamba Mentality, The: How I Play")</f>
        <v>Mamba Mentality, The: How I Play</v>
      </c>
      <c r="F604" s="185" t="s">
        <v>2897</v>
      </c>
      <c r="G604" s="185" t="s">
        <v>2898</v>
      </c>
      <c r="H604" s="185" t="s">
        <v>613</v>
      </c>
      <c r="I604" s="210">
        <v>12.0</v>
      </c>
      <c r="J604" s="185" t="s">
        <v>1502</v>
      </c>
      <c r="K604" s="185">
        <v>236.0</v>
      </c>
      <c r="L604" s="185" t="s">
        <v>1526</v>
      </c>
      <c r="M604" s="227" t="s">
        <v>1527</v>
      </c>
      <c r="N604" s="1"/>
    </row>
    <row r="605" ht="32.25" hidden="1" customHeight="1">
      <c r="A605" s="1"/>
      <c r="B605" s="202">
        <f t="shared" si="4"/>
        <v>599</v>
      </c>
      <c r="C605" s="181">
        <v>45145.0</v>
      </c>
      <c r="D605" s="182">
        <f t="shared" si="5"/>
        <v>2023</v>
      </c>
      <c r="E605" s="212" t="str">
        <f>hyperlink("https://www.amazon.com/Resilience-Hard-Won-Wisdom-Living-Better-ebook/dp/B00LZ7GSNU/ref=sr_1_1?crid=2SPJN6FY3RNDY&amp;keywords=resilience+eric+greitens&amp;qid=1691469553&amp;sprefix=resilience+gre%2Caps%2C146&amp;sr=8-1","Resilience: Hard-Won Wisdom for Living a Better Life")</f>
        <v>Resilience: Hard-Won Wisdom for Living a Better Life</v>
      </c>
      <c r="F605" s="185" t="s">
        <v>2899</v>
      </c>
      <c r="G605" s="185" t="s">
        <v>2900</v>
      </c>
      <c r="H605" s="185" t="s">
        <v>613</v>
      </c>
      <c r="I605" s="210">
        <v>12.0</v>
      </c>
      <c r="J605" s="185" t="s">
        <v>1496</v>
      </c>
      <c r="K605" s="185">
        <v>322.0</v>
      </c>
      <c r="L605" s="185" t="s">
        <v>1526</v>
      </c>
      <c r="M605" s="227" t="s">
        <v>1527</v>
      </c>
      <c r="N605" s="1"/>
    </row>
    <row r="606" ht="32.25" hidden="1" customHeight="1">
      <c r="A606" s="1"/>
      <c r="B606" s="202">
        <f t="shared" si="4"/>
        <v>600</v>
      </c>
      <c r="C606" s="181">
        <v>45473.0</v>
      </c>
      <c r="D606" s="182">
        <f t="shared" si="5"/>
        <v>2024</v>
      </c>
      <c r="E606" s="212" t="str">
        <f>hyperlink("https://a.co/d/4lUDxl5","Exercised: Why Something We Never Evolved To Do Is Healthy and Rewarding")</f>
        <v>Exercised: Why Something We Never Evolved To Do Is Healthy and Rewarding</v>
      </c>
      <c r="F606" s="185" t="s">
        <v>2015</v>
      </c>
      <c r="G606" s="185" t="s">
        <v>2901</v>
      </c>
      <c r="H606" s="185" t="s">
        <v>613</v>
      </c>
      <c r="I606" s="210">
        <v>12.0</v>
      </c>
      <c r="J606" s="185" t="s">
        <v>1496</v>
      </c>
      <c r="K606" s="185">
        <v>466.0</v>
      </c>
      <c r="L606" s="185" t="s">
        <v>1526</v>
      </c>
      <c r="M606" s="227" t="s">
        <v>1527</v>
      </c>
      <c r="N606" s="1"/>
    </row>
    <row r="607" ht="32.25" hidden="1" customHeight="1">
      <c r="A607" s="1"/>
      <c r="B607" s="202">
        <f t="shared" si="4"/>
        <v>601</v>
      </c>
      <c r="C607" s="181">
        <v>45476.0</v>
      </c>
      <c r="D607" s="182">
        <f t="shared" si="5"/>
        <v>2024</v>
      </c>
      <c r="E607" s="212" t="str">
        <f>hyperlink("https://a.co/d/gRbQiCq","Brave New Words: How AI Will Revolutionize Education (and Why That's A Good Thing")</f>
        <v>Brave New Words: How AI Will Revolutionize Education (and Why That's A Good Thing</v>
      </c>
      <c r="F607" s="185" t="s">
        <v>2902</v>
      </c>
      <c r="G607" s="185" t="s">
        <v>2903</v>
      </c>
      <c r="H607" s="185" t="s">
        <v>613</v>
      </c>
      <c r="I607" s="210">
        <v>12.0</v>
      </c>
      <c r="J607" s="185" t="s">
        <v>1522</v>
      </c>
      <c r="K607" s="185">
        <v>271.0</v>
      </c>
      <c r="L607" s="185" t="s">
        <v>1526</v>
      </c>
      <c r="M607" s="227" t="s">
        <v>1527</v>
      </c>
      <c r="N607" s="1"/>
    </row>
    <row r="608" ht="32.25" hidden="1" customHeight="1">
      <c r="A608" s="1"/>
      <c r="B608" s="202">
        <f t="shared" si="4"/>
        <v>602</v>
      </c>
      <c r="C608" s="181">
        <v>45568.0</v>
      </c>
      <c r="D608" s="182">
        <f t="shared" si="5"/>
        <v>2024</v>
      </c>
      <c r="E608" s="212" t="str">
        <f>hyperlink("https://a.co/d/7fiOLrp","Be Useful: Seven Tools for Life")</f>
        <v>Be Useful: Seven Tools for Life</v>
      </c>
      <c r="F608" s="185" t="s">
        <v>2904</v>
      </c>
      <c r="G608" s="185" t="s">
        <v>2905</v>
      </c>
      <c r="H608" s="185" t="s">
        <v>613</v>
      </c>
      <c r="I608" s="210">
        <v>12.0</v>
      </c>
      <c r="J608" s="185" t="s">
        <v>1496</v>
      </c>
      <c r="K608" s="185">
        <v>284.0</v>
      </c>
      <c r="L608" s="185" t="s">
        <v>1574</v>
      </c>
      <c r="M608" s="211" t="s">
        <v>804</v>
      </c>
      <c r="N608" s="1"/>
    </row>
    <row r="609" ht="32.25" hidden="1" customHeight="1">
      <c r="A609" s="1"/>
      <c r="B609" s="202">
        <f t="shared" si="4"/>
        <v>603</v>
      </c>
      <c r="C609" s="181">
        <v>45656.0</v>
      </c>
      <c r="D609" s="182">
        <f t="shared" si="5"/>
        <v>2024</v>
      </c>
      <c r="E609" s="212" t="str">
        <f>hyperlink("https://a.co/d/eya2Dkw","Coming Wave, The: Technology, Power, and the Twenty-first Century's Greatest Dilemma")</f>
        <v>Coming Wave, The: Technology, Power, and the Twenty-first Century's Greatest Dilemma</v>
      </c>
      <c r="F609" s="185" t="s">
        <v>2906</v>
      </c>
      <c r="G609" s="185" t="s">
        <v>2907</v>
      </c>
      <c r="H609" s="185" t="s">
        <v>613</v>
      </c>
      <c r="I609" s="210">
        <v>12.0</v>
      </c>
      <c r="J609" s="185" t="s">
        <v>1496</v>
      </c>
      <c r="K609" s="185">
        <v>500.0</v>
      </c>
      <c r="L609" s="185" t="s">
        <v>1526</v>
      </c>
      <c r="M609" s="227" t="s">
        <v>1527</v>
      </c>
      <c r="N609" s="1"/>
    </row>
    <row r="610" ht="32.25" customHeight="1">
      <c r="A610" s="1"/>
      <c r="B610" s="202">
        <f t="shared" si="4"/>
        <v>604</v>
      </c>
      <c r="C610" s="181">
        <v>45704.0</v>
      </c>
      <c r="D610" s="182">
        <f t="shared" si="5"/>
        <v>2025</v>
      </c>
      <c r="E610" s="212" t="str">
        <f>hyperlink("https://a.co/d/fTnzb4L","Superagency: What Could Possibly Go Right with Our AI Future")</f>
        <v>Superagency: What Could Possibly Go Right with Our AI Future</v>
      </c>
      <c r="F610" s="185" t="s">
        <v>2908</v>
      </c>
      <c r="G610" s="185" t="s">
        <v>2909</v>
      </c>
      <c r="H610" s="185" t="s">
        <v>613</v>
      </c>
      <c r="I610" s="210">
        <v>12.0</v>
      </c>
      <c r="J610" s="185" t="s">
        <v>1496</v>
      </c>
      <c r="K610" s="185">
        <v>288.0</v>
      </c>
      <c r="L610" s="185" t="s">
        <v>1526</v>
      </c>
      <c r="M610" s="227" t="s">
        <v>1527</v>
      </c>
      <c r="N610" s="1"/>
    </row>
    <row r="611" ht="32.25" customHeight="1">
      <c r="A611" s="1"/>
      <c r="B611" s="202">
        <f t="shared" si="4"/>
        <v>605</v>
      </c>
      <c r="C611" s="181">
        <v>45788.0</v>
      </c>
      <c r="D611" s="182">
        <f t="shared" si="5"/>
        <v>2025</v>
      </c>
      <c r="E611" s="212" t="str">
        <f>hyperlink("https://a.co/d/aC1l4MX","Good Strategy Bad Strategy: The Difference and Why It Matters")</f>
        <v>Good Strategy Bad Strategy: The Difference and Why It Matters</v>
      </c>
      <c r="F611" s="185" t="s">
        <v>2910</v>
      </c>
      <c r="G611" s="185" t="s">
        <v>2911</v>
      </c>
      <c r="H611" s="185" t="s">
        <v>613</v>
      </c>
      <c r="I611" s="210">
        <v>12.0</v>
      </c>
      <c r="J611" s="185" t="s">
        <v>1522</v>
      </c>
      <c r="K611" s="185">
        <v>338.0</v>
      </c>
      <c r="L611" s="185" t="s">
        <v>1526</v>
      </c>
      <c r="M611" s="227" t="s">
        <v>1527</v>
      </c>
      <c r="N611" s="1"/>
    </row>
    <row r="612" ht="32.25" customHeight="1">
      <c r="A612" s="1"/>
      <c r="B612" s="202">
        <f t="shared" si="4"/>
        <v>606</v>
      </c>
      <c r="C612" s="181">
        <v>45900.0</v>
      </c>
      <c r="D612" s="182">
        <f t="shared" si="5"/>
        <v>2025</v>
      </c>
      <c r="E612" s="212" t="str">
        <f>hyperlink("https://a.co/d/6nFji2T","Adventures of Huckleberry Finn, The")</f>
        <v>Adventures of Huckleberry Finn, The</v>
      </c>
      <c r="F612" s="185" t="s">
        <v>1584</v>
      </c>
      <c r="G612" s="185" t="s">
        <v>2912</v>
      </c>
      <c r="H612" s="185" t="s">
        <v>613</v>
      </c>
      <c r="I612" s="210">
        <v>12.0</v>
      </c>
      <c r="J612" s="185" t="s">
        <v>1509</v>
      </c>
      <c r="K612" s="185">
        <v>245.0</v>
      </c>
      <c r="L612" s="185" t="s">
        <v>1526</v>
      </c>
      <c r="M612" s="227" t="s">
        <v>1527</v>
      </c>
      <c r="N612" s="1"/>
    </row>
    <row r="613" ht="32.25" customHeight="1">
      <c r="A613" s="1"/>
      <c r="B613" s="202">
        <f t="shared" si="4"/>
        <v>607</v>
      </c>
      <c r="C613" s="181">
        <v>45901.0</v>
      </c>
      <c r="D613" s="182">
        <f t="shared" si="5"/>
        <v>2025</v>
      </c>
      <c r="E613" s="212" t="str">
        <f>hyperlink("https://a.co/d/cIDGwTK","Normal People")</f>
        <v>Normal People</v>
      </c>
      <c r="F613" s="185" t="s">
        <v>2913</v>
      </c>
      <c r="G613" s="185" t="s">
        <v>2914</v>
      </c>
      <c r="H613" s="185" t="s">
        <v>613</v>
      </c>
      <c r="I613" s="210">
        <v>12.0</v>
      </c>
      <c r="J613" s="185" t="s">
        <v>1509</v>
      </c>
      <c r="K613" s="185">
        <v>278.0</v>
      </c>
      <c r="L613" s="185" t="s">
        <v>1526</v>
      </c>
      <c r="M613" s="227" t="s">
        <v>1527</v>
      </c>
      <c r="N613" s="1"/>
    </row>
    <row r="614" ht="32.25" customHeight="1">
      <c r="A614" s="1"/>
      <c r="B614" s="202">
        <f t="shared" si="4"/>
        <v>608</v>
      </c>
      <c r="C614" s="181">
        <v>45941.0</v>
      </c>
      <c r="D614" s="182">
        <v>2025.0</v>
      </c>
      <c r="E614" s="212" t="str">
        <f>hyperlink("Killers of the Flower Moon","Killers of the Flower Moon: The Osage Murders and the Birth of the FBI")</f>
        <v>Killers of the Flower Moon: The Osage Murders and the Birth of the FBI</v>
      </c>
      <c r="F614" s="185" t="s">
        <v>2915</v>
      </c>
      <c r="G614" s="185" t="s">
        <v>2916</v>
      </c>
      <c r="H614" s="185" t="s">
        <v>613</v>
      </c>
      <c r="I614" s="210">
        <v>12.0</v>
      </c>
      <c r="J614" s="185" t="s">
        <v>2917</v>
      </c>
      <c r="K614" s="185">
        <v>347.0</v>
      </c>
      <c r="L614" s="185" t="s">
        <v>1497</v>
      </c>
      <c r="M614" s="227" t="s">
        <v>1527</v>
      </c>
      <c r="N614" s="1"/>
    </row>
    <row r="615" ht="32.25" hidden="1" customHeight="1">
      <c r="A615" s="1"/>
      <c r="B615" s="202">
        <f t="shared" si="4"/>
        <v>609</v>
      </c>
      <c r="C615" s="181">
        <v>36515.0</v>
      </c>
      <c r="D615" s="182">
        <f t="shared" ref="D615:D737" si="6">year(C615)</f>
        <v>1999</v>
      </c>
      <c r="E615" s="203" t="s">
        <v>2918</v>
      </c>
      <c r="F615" s="184" t="s">
        <v>2919</v>
      </c>
      <c r="G615" s="184" t="s">
        <v>2920</v>
      </c>
      <c r="H615" s="184" t="s">
        <v>864</v>
      </c>
      <c r="I615" s="28">
        <v>11.0</v>
      </c>
      <c r="J615" s="184" t="s">
        <v>1509</v>
      </c>
      <c r="K615" s="218"/>
      <c r="L615" s="184" t="s">
        <v>1497</v>
      </c>
      <c r="M615" s="186" t="s">
        <v>804</v>
      </c>
      <c r="N615" s="1"/>
    </row>
    <row r="616" ht="43.5" hidden="1" customHeight="1">
      <c r="A616" s="1"/>
      <c r="B616" s="232">
        <f t="shared" si="4"/>
        <v>610</v>
      </c>
      <c r="C616" s="181">
        <v>38053.0</v>
      </c>
      <c r="D616" s="182">
        <f t="shared" si="6"/>
        <v>2004</v>
      </c>
      <c r="E616" s="203" t="s">
        <v>2921</v>
      </c>
      <c r="F616" s="184" t="s">
        <v>2098</v>
      </c>
      <c r="G616" s="184" t="s">
        <v>2922</v>
      </c>
      <c r="H616" s="184" t="s">
        <v>864</v>
      </c>
      <c r="I616" s="28">
        <v>11.0</v>
      </c>
      <c r="J616" s="184" t="s">
        <v>1522</v>
      </c>
      <c r="K616" s="218"/>
      <c r="L616" s="184" t="s">
        <v>1497</v>
      </c>
      <c r="M616" s="186" t="s">
        <v>1498</v>
      </c>
      <c r="N616" s="1"/>
    </row>
    <row r="617" ht="30.75" hidden="1" customHeight="1">
      <c r="A617" s="1"/>
      <c r="B617" s="232">
        <f t="shared" si="4"/>
        <v>611</v>
      </c>
      <c r="C617" s="181">
        <v>38119.0</v>
      </c>
      <c r="D617" s="182">
        <f t="shared" si="6"/>
        <v>2004</v>
      </c>
      <c r="E617" s="203" t="s">
        <v>2923</v>
      </c>
      <c r="F617" s="184" t="s">
        <v>1767</v>
      </c>
      <c r="G617" s="184" t="s">
        <v>2924</v>
      </c>
      <c r="H617" s="184" t="s">
        <v>864</v>
      </c>
      <c r="I617" s="28">
        <v>11.0</v>
      </c>
      <c r="J617" s="184" t="s">
        <v>1522</v>
      </c>
      <c r="K617" s="218"/>
      <c r="L617" s="184" t="s">
        <v>1497</v>
      </c>
      <c r="M617" s="186" t="s">
        <v>1498</v>
      </c>
      <c r="N617" s="1"/>
    </row>
    <row r="618" ht="30.0" hidden="1" customHeight="1">
      <c r="A618" s="1"/>
      <c r="B618" s="232">
        <f t="shared" si="4"/>
        <v>612</v>
      </c>
      <c r="C618" s="181">
        <v>38153.0</v>
      </c>
      <c r="D618" s="182">
        <f t="shared" si="6"/>
        <v>2004</v>
      </c>
      <c r="E618" s="203" t="s">
        <v>2925</v>
      </c>
      <c r="F618" s="184" t="s">
        <v>2926</v>
      </c>
      <c r="G618" s="184" t="s">
        <v>2927</v>
      </c>
      <c r="H618" s="184" t="s">
        <v>864</v>
      </c>
      <c r="I618" s="28">
        <v>11.0</v>
      </c>
      <c r="J618" s="184" t="s">
        <v>1522</v>
      </c>
      <c r="K618" s="218"/>
      <c r="L618" s="184" t="s">
        <v>1497</v>
      </c>
      <c r="M618" s="186" t="s">
        <v>1498</v>
      </c>
      <c r="N618" s="1"/>
    </row>
    <row r="619" ht="39.0" hidden="1" customHeight="1">
      <c r="A619" s="1"/>
      <c r="B619" s="232">
        <f t="shared" si="4"/>
        <v>613</v>
      </c>
      <c r="C619" s="181">
        <v>38738.0</v>
      </c>
      <c r="D619" s="182">
        <f t="shared" si="6"/>
        <v>2006</v>
      </c>
      <c r="E619" s="203" t="s">
        <v>2928</v>
      </c>
      <c r="F619" s="184" t="s">
        <v>2929</v>
      </c>
      <c r="G619" s="184" t="s">
        <v>2930</v>
      </c>
      <c r="H619" s="184" t="s">
        <v>864</v>
      </c>
      <c r="I619" s="28">
        <v>11.0</v>
      </c>
      <c r="J619" s="184" t="s">
        <v>1522</v>
      </c>
      <c r="K619" s="218"/>
      <c r="L619" s="184" t="s">
        <v>1497</v>
      </c>
      <c r="M619" s="186" t="s">
        <v>1498</v>
      </c>
      <c r="N619" s="1"/>
    </row>
    <row r="620" ht="39.0" hidden="1" customHeight="1">
      <c r="A620" s="1"/>
      <c r="B620" s="232">
        <f t="shared" si="4"/>
        <v>614</v>
      </c>
      <c r="C620" s="181">
        <v>39181.0</v>
      </c>
      <c r="D620" s="182">
        <f t="shared" si="6"/>
        <v>2007</v>
      </c>
      <c r="E620" s="203" t="s">
        <v>2931</v>
      </c>
      <c r="F620" s="184" t="s">
        <v>2932</v>
      </c>
      <c r="G620" s="184" t="s">
        <v>2933</v>
      </c>
      <c r="H620" s="184" t="s">
        <v>864</v>
      </c>
      <c r="I620" s="28">
        <v>11.0</v>
      </c>
      <c r="J620" s="184" t="s">
        <v>1502</v>
      </c>
      <c r="K620" s="218"/>
      <c r="L620" s="184" t="s">
        <v>1497</v>
      </c>
      <c r="M620" s="186" t="s">
        <v>1498</v>
      </c>
      <c r="N620" s="1"/>
    </row>
    <row r="621" ht="65.25" hidden="1" customHeight="1">
      <c r="A621" s="1"/>
      <c r="B621" s="232">
        <f t="shared" si="4"/>
        <v>615</v>
      </c>
      <c r="C621" s="181">
        <v>39253.0</v>
      </c>
      <c r="D621" s="182">
        <f t="shared" si="6"/>
        <v>2007</v>
      </c>
      <c r="E621" s="203" t="s">
        <v>2934</v>
      </c>
      <c r="F621" s="184" t="s">
        <v>2935</v>
      </c>
      <c r="G621" s="184" t="s">
        <v>2936</v>
      </c>
      <c r="H621" s="184" t="s">
        <v>864</v>
      </c>
      <c r="I621" s="28">
        <v>11.0</v>
      </c>
      <c r="J621" s="184" t="s">
        <v>1496</v>
      </c>
      <c r="K621" s="218"/>
      <c r="L621" s="184" t="s">
        <v>1497</v>
      </c>
      <c r="M621" s="186" t="s">
        <v>1498</v>
      </c>
      <c r="N621" s="1"/>
    </row>
    <row r="622" ht="29.25" hidden="1" customHeight="1">
      <c r="A622" s="1"/>
      <c r="B622" s="232">
        <f t="shared" si="4"/>
        <v>616</v>
      </c>
      <c r="C622" s="181">
        <v>39274.0</v>
      </c>
      <c r="D622" s="182">
        <f t="shared" si="6"/>
        <v>2007</v>
      </c>
      <c r="E622" s="203" t="s">
        <v>2937</v>
      </c>
      <c r="F622" s="184" t="s">
        <v>1845</v>
      </c>
      <c r="G622" s="184" t="s">
        <v>2938</v>
      </c>
      <c r="H622" s="184" t="s">
        <v>864</v>
      </c>
      <c r="I622" s="28">
        <v>11.0</v>
      </c>
      <c r="J622" s="184" t="s">
        <v>1509</v>
      </c>
      <c r="K622" s="218"/>
      <c r="L622" s="184" t="s">
        <v>1497</v>
      </c>
      <c r="M622" s="186" t="s">
        <v>804</v>
      </c>
      <c r="N622" s="1"/>
    </row>
    <row r="623" ht="54.0" hidden="1" customHeight="1">
      <c r="A623" s="1"/>
      <c r="B623" s="232">
        <f t="shared" si="4"/>
        <v>617</v>
      </c>
      <c r="C623" s="181">
        <v>39325.0</v>
      </c>
      <c r="D623" s="182">
        <f t="shared" si="6"/>
        <v>2007</v>
      </c>
      <c r="E623" s="203" t="s">
        <v>218</v>
      </c>
      <c r="F623" s="184" t="s">
        <v>1549</v>
      </c>
      <c r="G623" s="184" t="s">
        <v>2939</v>
      </c>
      <c r="H623" s="184" t="s">
        <v>864</v>
      </c>
      <c r="I623" s="28">
        <v>11.0</v>
      </c>
      <c r="J623" s="184" t="s">
        <v>1509</v>
      </c>
      <c r="K623" s="218"/>
      <c r="L623" s="184" t="s">
        <v>1497</v>
      </c>
      <c r="M623" s="186" t="s">
        <v>804</v>
      </c>
      <c r="N623" s="1"/>
    </row>
    <row r="624" ht="40.5" hidden="1" customHeight="1">
      <c r="A624" s="1"/>
      <c r="B624" s="232">
        <f t="shared" si="4"/>
        <v>618</v>
      </c>
      <c r="C624" s="181">
        <v>39738.0</v>
      </c>
      <c r="D624" s="182">
        <f t="shared" si="6"/>
        <v>2008</v>
      </c>
      <c r="E624" s="203" t="s">
        <v>2940</v>
      </c>
      <c r="F624" s="184" t="s">
        <v>1845</v>
      </c>
      <c r="G624" s="184" t="s">
        <v>2941</v>
      </c>
      <c r="H624" s="184" t="s">
        <v>864</v>
      </c>
      <c r="I624" s="28">
        <v>11.0</v>
      </c>
      <c r="J624" s="184" t="s">
        <v>1509</v>
      </c>
      <c r="K624" s="184" t="s">
        <v>1847</v>
      </c>
      <c r="L624" s="184" t="s">
        <v>1574</v>
      </c>
      <c r="M624" s="186" t="s">
        <v>804</v>
      </c>
      <c r="N624" s="1"/>
    </row>
    <row r="625" ht="31.5" hidden="1" customHeight="1">
      <c r="A625" s="1"/>
      <c r="B625" s="232">
        <f t="shared" si="4"/>
        <v>619</v>
      </c>
      <c r="C625" s="181">
        <v>39920.0</v>
      </c>
      <c r="D625" s="182">
        <f t="shared" si="6"/>
        <v>2009</v>
      </c>
      <c r="E625" s="203" t="s">
        <v>2942</v>
      </c>
      <c r="F625" s="184" t="s">
        <v>2943</v>
      </c>
      <c r="G625" s="184" t="s">
        <v>2944</v>
      </c>
      <c r="H625" s="184" t="s">
        <v>864</v>
      </c>
      <c r="I625" s="28">
        <v>11.0</v>
      </c>
      <c r="J625" s="184" t="s">
        <v>1522</v>
      </c>
      <c r="K625" s="184">
        <v>300.0</v>
      </c>
      <c r="L625" s="184" t="s">
        <v>1497</v>
      </c>
      <c r="M625" s="186" t="s">
        <v>1498</v>
      </c>
      <c r="N625" s="1"/>
    </row>
    <row r="626" ht="31.5" hidden="1" customHeight="1">
      <c r="A626" s="1"/>
      <c r="B626" s="232">
        <f t="shared" si="4"/>
        <v>620</v>
      </c>
      <c r="C626" s="181">
        <v>40053.0</v>
      </c>
      <c r="D626" s="182">
        <f t="shared" si="6"/>
        <v>2009</v>
      </c>
      <c r="E626" s="203" t="s">
        <v>2945</v>
      </c>
      <c r="F626" s="184" t="s">
        <v>2946</v>
      </c>
      <c r="G626" s="184" t="s">
        <v>2947</v>
      </c>
      <c r="H626" s="184" t="s">
        <v>864</v>
      </c>
      <c r="I626" s="28">
        <v>11.0</v>
      </c>
      <c r="J626" s="184" t="s">
        <v>1522</v>
      </c>
      <c r="K626" s="184">
        <v>139.0</v>
      </c>
      <c r="L626" s="184" t="s">
        <v>1497</v>
      </c>
      <c r="M626" s="186" t="s">
        <v>1527</v>
      </c>
      <c r="N626" s="1"/>
    </row>
    <row r="627" ht="27.0" hidden="1" customHeight="1">
      <c r="A627" s="1"/>
      <c r="B627" s="232">
        <f t="shared" si="4"/>
        <v>621</v>
      </c>
      <c r="C627" s="181">
        <v>40817.0</v>
      </c>
      <c r="D627" s="182">
        <f t="shared" si="6"/>
        <v>2011</v>
      </c>
      <c r="E627" s="203" t="s">
        <v>2948</v>
      </c>
      <c r="F627" s="184" t="s">
        <v>2949</v>
      </c>
      <c r="G627" s="184" t="s">
        <v>2950</v>
      </c>
      <c r="H627" s="184" t="s">
        <v>864</v>
      </c>
      <c r="I627" s="28">
        <v>11.0</v>
      </c>
      <c r="J627" s="184" t="s">
        <v>1522</v>
      </c>
      <c r="K627" s="184">
        <v>272.0</v>
      </c>
      <c r="L627" s="184" t="s">
        <v>2207</v>
      </c>
      <c r="M627" s="186" t="s">
        <v>1527</v>
      </c>
      <c r="N627" s="1"/>
    </row>
    <row r="628" ht="27.0" hidden="1" customHeight="1">
      <c r="A628" s="1"/>
      <c r="B628" s="232">
        <f t="shared" si="4"/>
        <v>622</v>
      </c>
      <c r="C628" s="181">
        <v>41002.0</v>
      </c>
      <c r="D628" s="182">
        <f t="shared" si="6"/>
        <v>2012</v>
      </c>
      <c r="E628" s="203" t="s">
        <v>887</v>
      </c>
      <c r="F628" s="184" t="s">
        <v>2951</v>
      </c>
      <c r="G628" s="184" t="s">
        <v>2952</v>
      </c>
      <c r="H628" s="184" t="s">
        <v>864</v>
      </c>
      <c r="I628" s="28">
        <v>11.0</v>
      </c>
      <c r="J628" s="184" t="s">
        <v>1509</v>
      </c>
      <c r="K628" s="184">
        <v>384.0</v>
      </c>
      <c r="L628" s="184" t="s">
        <v>1526</v>
      </c>
      <c r="M628" s="186" t="s">
        <v>1498</v>
      </c>
      <c r="N628" s="1"/>
    </row>
    <row r="629" ht="27.0" hidden="1" customHeight="1">
      <c r="A629" s="1"/>
      <c r="B629" s="232">
        <f t="shared" si="4"/>
        <v>623</v>
      </c>
      <c r="C629" s="181">
        <v>41110.0</v>
      </c>
      <c r="D629" s="182">
        <f t="shared" si="6"/>
        <v>2012</v>
      </c>
      <c r="E629" s="203" t="s">
        <v>2953</v>
      </c>
      <c r="F629" s="184" t="s">
        <v>2954</v>
      </c>
      <c r="G629" s="185" t="s">
        <v>2955</v>
      </c>
      <c r="H629" s="184" t="s">
        <v>864</v>
      </c>
      <c r="I629" s="28">
        <v>11.0</v>
      </c>
      <c r="J629" s="184" t="s">
        <v>1522</v>
      </c>
      <c r="K629" s="184">
        <v>124.0</v>
      </c>
      <c r="L629" s="184" t="s">
        <v>1526</v>
      </c>
      <c r="M629" s="186" t="s">
        <v>1527</v>
      </c>
      <c r="N629" s="1"/>
    </row>
    <row r="630" ht="27.0" hidden="1" customHeight="1">
      <c r="A630" s="1"/>
      <c r="B630" s="232">
        <f t="shared" si="4"/>
        <v>624</v>
      </c>
      <c r="C630" s="181">
        <v>41324.0</v>
      </c>
      <c r="D630" s="182">
        <f t="shared" si="6"/>
        <v>2013</v>
      </c>
      <c r="E630" s="203" t="s">
        <v>2956</v>
      </c>
      <c r="F630" s="184" t="s">
        <v>2957</v>
      </c>
      <c r="G630" s="184" t="s">
        <v>2958</v>
      </c>
      <c r="H630" s="184" t="s">
        <v>864</v>
      </c>
      <c r="I630" s="28">
        <v>11.0</v>
      </c>
      <c r="J630" s="184" t="s">
        <v>1496</v>
      </c>
      <c r="K630" s="184">
        <v>318.0</v>
      </c>
      <c r="L630" s="184" t="s">
        <v>1526</v>
      </c>
      <c r="M630" s="186" t="s">
        <v>804</v>
      </c>
      <c r="N630" s="1"/>
    </row>
    <row r="631" ht="27.0" hidden="1" customHeight="1">
      <c r="A631" s="1"/>
      <c r="B631" s="232">
        <f t="shared" si="4"/>
        <v>625</v>
      </c>
      <c r="C631" s="181">
        <v>41719.0</v>
      </c>
      <c r="D631" s="182">
        <f t="shared" si="6"/>
        <v>2014</v>
      </c>
      <c r="E631" s="212" t="str">
        <f>hyperlink("http://www.amazon.com/Revenue-CMO-Glenn-Gow-ebook/dp/B00E4QLXNE/ref=sr_1_1?s=digital-text&amp;ie=UTF8&amp;qid=1396203979&amp;sr=1-1&amp;keywords=revenue+and+the+cmo","Revenue and the CMO")</f>
        <v>Revenue and the CMO</v>
      </c>
      <c r="F631" s="184" t="s">
        <v>2959</v>
      </c>
      <c r="G631" s="184" t="s">
        <v>2960</v>
      </c>
      <c r="H631" s="184" t="s">
        <v>864</v>
      </c>
      <c r="I631" s="28">
        <v>11.0</v>
      </c>
      <c r="J631" s="184" t="s">
        <v>1522</v>
      </c>
      <c r="K631" s="184">
        <v>110.0</v>
      </c>
      <c r="L631" s="184" t="s">
        <v>1526</v>
      </c>
      <c r="M631" s="186" t="s">
        <v>1527</v>
      </c>
      <c r="N631" s="1"/>
    </row>
    <row r="632" ht="27.0" hidden="1" customHeight="1">
      <c r="A632" s="1"/>
      <c r="B632" s="232">
        <f t="shared" si="4"/>
        <v>626</v>
      </c>
      <c r="C632" s="181">
        <v>42028.0</v>
      </c>
      <c r="D632" s="182">
        <f t="shared" si="6"/>
        <v>2015</v>
      </c>
      <c r="E632" s="212" t="str">
        <f>hyperlink("http://www.amazon.com/Marissa-Mayer-Fight-Save-Yahoo-ebook/dp/B00LLIJ22W/ref=sr_1_1?s=digital-text&amp;ie=UTF8&amp;qid=1431230805&amp;sr=1-1&amp;keywords=marissa+mayer+and+the+fight+to+save+yahoo","Marissa Mayer and the fight to save Yahoo")</f>
        <v>Marissa Mayer and the fight to save Yahoo</v>
      </c>
      <c r="F632" s="184" t="s">
        <v>2961</v>
      </c>
      <c r="G632" s="184" t="s">
        <v>2962</v>
      </c>
      <c r="H632" s="184" t="s">
        <v>864</v>
      </c>
      <c r="I632" s="28">
        <v>11.0</v>
      </c>
      <c r="J632" s="184" t="s">
        <v>1522</v>
      </c>
      <c r="K632" s="184">
        <v>341.0</v>
      </c>
      <c r="L632" s="184" t="s">
        <v>1526</v>
      </c>
      <c r="M632" s="186" t="s">
        <v>1527</v>
      </c>
      <c r="N632" s="1"/>
    </row>
    <row r="633" ht="27.0" hidden="1" customHeight="1">
      <c r="A633" s="1"/>
      <c r="B633" s="232">
        <f t="shared" si="4"/>
        <v>627</v>
      </c>
      <c r="C633" s="181">
        <v>42006.0</v>
      </c>
      <c r="D633" s="182">
        <f t="shared" si="6"/>
        <v>2015</v>
      </c>
      <c r="E633" s="212" t="str">
        <f>hyperlink("http://www.amazon.com/Stuff-Matters-Exploring-Marvelous-Materials-ebook/dp/B00E78IFV2/ref=sr_1_1_ha?s=digital-text&amp;ie=UTF8&amp;qid=1431233333&amp;sr=1-1&amp;keywords=stuff+matters","Stuff Matters: Exploring the Marvelous Materials That Shape Our Man-Made World")</f>
        <v>Stuff Matters: Exploring the Marvelous Materials That Shape Our Man-Made World</v>
      </c>
      <c r="F633" s="184" t="s">
        <v>2963</v>
      </c>
      <c r="G633" s="184" t="s">
        <v>2964</v>
      </c>
      <c r="H633" s="184" t="s">
        <v>864</v>
      </c>
      <c r="I633" s="28">
        <v>11.0</v>
      </c>
      <c r="J633" s="184" t="s">
        <v>1496</v>
      </c>
      <c r="K633" s="184">
        <v>277.0</v>
      </c>
      <c r="L633" s="184" t="s">
        <v>1526</v>
      </c>
      <c r="M633" s="186" t="s">
        <v>1527</v>
      </c>
      <c r="N633" s="1"/>
    </row>
    <row r="634" ht="27.0" hidden="1" customHeight="1">
      <c r="A634" s="1"/>
      <c r="B634" s="232">
        <f t="shared" si="4"/>
        <v>628</v>
      </c>
      <c r="C634" s="181">
        <v>42391.0</v>
      </c>
      <c r="D634" s="182">
        <f t="shared" si="6"/>
        <v>2016</v>
      </c>
      <c r="E634" s="212" t="str">
        <f>hyperlink("http://www.amazon.com/Moonstone-Wilkie-Collins-ebook/dp/B0084AYI92/ref=sr_1_1?s=digital-text&amp;ie=UTF8&amp;qid=1453523666&amp;sr=1-1&amp;keywords=the+moonstone","Moonstone, The")</f>
        <v>Moonstone, The</v>
      </c>
      <c r="F634" s="185" t="s">
        <v>2965</v>
      </c>
      <c r="G634" s="185" t="s">
        <v>2966</v>
      </c>
      <c r="H634" s="185" t="s">
        <v>864</v>
      </c>
      <c r="I634" s="210">
        <v>11.0</v>
      </c>
      <c r="J634" s="185" t="s">
        <v>1509</v>
      </c>
      <c r="K634" s="185">
        <v>377.0</v>
      </c>
      <c r="L634" s="185" t="s">
        <v>1526</v>
      </c>
      <c r="M634" s="211" t="s">
        <v>804</v>
      </c>
      <c r="N634" s="1"/>
    </row>
    <row r="635" ht="27.0" hidden="1" customHeight="1">
      <c r="A635" s="1"/>
      <c r="B635" s="232">
        <f t="shared" si="4"/>
        <v>629</v>
      </c>
      <c r="C635" s="181">
        <v>42705.0</v>
      </c>
      <c r="D635" s="182">
        <f t="shared" si="6"/>
        <v>2016</v>
      </c>
      <c r="E635" s="212" t="str">
        <f>hyperlink("https://www.amazon.com/Mothers-Milk-Edward-St-Aubyn/dp/1890447404/ref=sr_1_1?s=books&amp;ie=UTF8&amp;qid=1482603309&amp;sr=1-1&amp;keywords=edward+st+aubyn+mother%27s+milk","Mother's Milk")</f>
        <v>Mother's Milk</v>
      </c>
      <c r="F635" s="185" t="s">
        <v>2277</v>
      </c>
      <c r="G635" s="185" t="s">
        <v>2967</v>
      </c>
      <c r="H635" s="185" t="s">
        <v>864</v>
      </c>
      <c r="I635" s="210">
        <v>11.0</v>
      </c>
      <c r="J635" s="185" t="s">
        <v>1509</v>
      </c>
      <c r="K635" s="185">
        <v>240.0</v>
      </c>
      <c r="L635" s="185" t="s">
        <v>1574</v>
      </c>
      <c r="M635" s="211" t="s">
        <v>804</v>
      </c>
      <c r="N635" s="1"/>
    </row>
    <row r="636" ht="27.0" hidden="1" customHeight="1">
      <c r="A636" s="1"/>
      <c r="B636" s="232">
        <f t="shared" si="4"/>
        <v>630</v>
      </c>
      <c r="C636" s="181">
        <v>43003.0</v>
      </c>
      <c r="D636" s="182">
        <f t="shared" si="6"/>
        <v>2017</v>
      </c>
      <c r="E636" s="212" t="str">
        <f>hyperlink("https://www.amazon.com/Sun-Moon-Rolling-Stones-ebook/dp/B015BCWZW2/ref=sr_1_2?s=digital-text&amp;ie=UTF8&amp;qid=1514760315&amp;sr=1-2&amp;keywords=the+sun+the+moon+and+the+rolling+stones","The Sun, The Moon, and the Rolling Stones")</f>
        <v>The Sun, The Moon, and the Rolling Stones</v>
      </c>
      <c r="F636" s="185" t="s">
        <v>2968</v>
      </c>
      <c r="G636" s="185" t="s">
        <v>2969</v>
      </c>
      <c r="H636" s="185" t="s">
        <v>864</v>
      </c>
      <c r="I636" s="210">
        <v>11.0</v>
      </c>
      <c r="J636" s="185" t="s">
        <v>1657</v>
      </c>
      <c r="K636" s="185">
        <v>400.0</v>
      </c>
      <c r="L636" s="185" t="s">
        <v>1574</v>
      </c>
      <c r="M636" s="211" t="s">
        <v>804</v>
      </c>
      <c r="N636" s="1"/>
    </row>
    <row r="637" ht="27.0" hidden="1" customHeight="1">
      <c r="A637" s="1"/>
      <c r="B637" s="232">
        <f t="shared" si="4"/>
        <v>631</v>
      </c>
      <c r="C637" s="181">
        <v>43480.0</v>
      </c>
      <c r="D637" s="182">
        <f t="shared" si="6"/>
        <v>2019</v>
      </c>
      <c r="E637" s="212" t="str">
        <f>hyperlink("https://www.amazon.com/Forward-Memoir-Abby-Wambach-ebook/dp/B018Y1J6C4/ref=sr_1_1?crid=2UGZFHWC1MOLC&amp;keywords=forward+a+memoir&amp;qid=1550436494&amp;s=digital-text&amp;sprefix=forwrd%3A+a+m%2Cdigital-text%2C215&amp;sr=1-1","Forward: A Memoir")</f>
        <v>Forward: A Memoir</v>
      </c>
      <c r="F637" s="185" t="s">
        <v>2970</v>
      </c>
      <c r="G637" s="185" t="s">
        <v>2971</v>
      </c>
      <c r="H637" s="185" t="s">
        <v>864</v>
      </c>
      <c r="I637" s="210">
        <v>11.0</v>
      </c>
      <c r="J637" s="185" t="s">
        <v>1509</v>
      </c>
      <c r="K637" s="185">
        <v>245.0</v>
      </c>
      <c r="L637" s="185" t="s">
        <v>1526</v>
      </c>
      <c r="M637" s="211" t="s">
        <v>1527</v>
      </c>
      <c r="N637" s="1"/>
    </row>
    <row r="638" ht="27.0" hidden="1" customHeight="1">
      <c r="A638" s="1"/>
      <c r="B638" s="232">
        <f t="shared" si="4"/>
        <v>632</v>
      </c>
      <c r="C638" s="181">
        <v>44528.0</v>
      </c>
      <c r="D638" s="182">
        <f t="shared" si="6"/>
        <v>2021</v>
      </c>
      <c r="E638" s="212" t="str">
        <f>hyperlink("https://smile.amazon.com/Keep-Calm-Swim-France-English-ebook/dp/B07GMYZYST/ref=sr_1_5?crid=EVB9KKB062A3&amp;keywords=keep+calm+and+swim+to+france&amp;qid=1644699190&amp;sprefix=keep+calm+and+swim+to+franc%2Caps%2C136&amp;sr=8-5","Keep Calm and Swim to France: Tales of an English Channel Swimmer")</f>
        <v>Keep Calm and Swim to France: Tales of an English Channel Swimmer</v>
      </c>
      <c r="F638" s="185" t="s">
        <v>2972</v>
      </c>
      <c r="G638" s="185" t="s">
        <v>2973</v>
      </c>
      <c r="H638" s="185" t="s">
        <v>864</v>
      </c>
      <c r="I638" s="210">
        <v>11.0</v>
      </c>
      <c r="J638" s="185" t="s">
        <v>1502</v>
      </c>
      <c r="K638" s="185">
        <v>227.0</v>
      </c>
      <c r="L638" s="185" t="s">
        <v>1526</v>
      </c>
      <c r="M638" s="228" t="s">
        <v>1527</v>
      </c>
      <c r="N638" s="1"/>
    </row>
    <row r="639" ht="27.0" hidden="1" customHeight="1">
      <c r="A639" s="1"/>
      <c r="B639" s="232">
        <f t="shared" si="4"/>
        <v>633</v>
      </c>
      <c r="C639" s="181">
        <v>44967.0</v>
      </c>
      <c r="D639" s="182">
        <f t="shared" si="6"/>
        <v>2023</v>
      </c>
      <c r="E639" s="212" t="str">
        <f>hyperlink("https://www.amazon.com/Power-Law-Venture-Capital-Making-ebook/dp/B0942SZJ8H/ref=sr_1_3?crid=399KM8IDN7HGZ&amp;keywords=power+law&amp;qid=1676343656&amp;s=digital-text&amp;sprefix=power+law%2Cdigital-text%2C223&amp;sr=1-3","Power Law, The: Venture Capital and the Making of the New Future") </f>
        <v>Power Law, The: Venture Capital and the Making of the New Future</v>
      </c>
      <c r="F639" s="185" t="s">
        <v>2974</v>
      </c>
      <c r="G639" s="185" t="s">
        <v>2975</v>
      </c>
      <c r="H639" s="185" t="s">
        <v>864</v>
      </c>
      <c r="I639" s="210">
        <v>11.0</v>
      </c>
      <c r="J639" s="185" t="s">
        <v>1522</v>
      </c>
      <c r="K639" s="185">
        <v>496.0</v>
      </c>
      <c r="L639" s="185" t="s">
        <v>1526</v>
      </c>
      <c r="M639" s="227" t="s">
        <v>1527</v>
      </c>
      <c r="N639" s="1"/>
    </row>
    <row r="640" ht="27.0" hidden="1" customHeight="1">
      <c r="A640" s="1"/>
      <c r="B640" s="232">
        <f t="shared" si="4"/>
        <v>634</v>
      </c>
      <c r="C640" s="181">
        <v>45046.0</v>
      </c>
      <c r="D640" s="182">
        <f t="shared" si="6"/>
        <v>2023</v>
      </c>
      <c r="E640" s="212" t="str">
        <f>hyperlink("https://www.amazon.com/Fear-Bubble-Harness-Without-Limits-ebook/dp/B07PDNVTP3/ref=tmm_kin_swatch_0?_encoding=UTF8&amp;qid=1683501528&amp;sr=8-1","Fear Bubble, The: Harness Fear and Live Without Limits")</f>
        <v>Fear Bubble, The: Harness Fear and Live Without Limits</v>
      </c>
      <c r="F640" s="185" t="s">
        <v>2976</v>
      </c>
      <c r="G640" s="185" t="s">
        <v>2977</v>
      </c>
      <c r="H640" s="185" t="s">
        <v>864</v>
      </c>
      <c r="I640" s="210">
        <v>11.0</v>
      </c>
      <c r="J640" s="185" t="s">
        <v>1496</v>
      </c>
      <c r="K640" s="185">
        <v>323.0</v>
      </c>
      <c r="L640" s="185" t="s">
        <v>1526</v>
      </c>
      <c r="M640" s="227" t="s">
        <v>1527</v>
      </c>
      <c r="N640" s="1"/>
    </row>
    <row r="641" ht="27.0" hidden="1" customHeight="1">
      <c r="A641" s="1"/>
      <c r="B641" s="232">
        <f t="shared" si="4"/>
        <v>635</v>
      </c>
      <c r="C641" s="181">
        <v>45049.0</v>
      </c>
      <c r="D641" s="182">
        <f t="shared" si="6"/>
        <v>2023</v>
      </c>
      <c r="E641" s="212" t="str">
        <f>hyperlink("https://www.amazon.com/The-Art-of-Resilience/dp/B07R95HZ54/ref=sr_1_1?keywords=the+art+of+resilience+ross+edgley&amp;qid=1683499285&amp;sprefix=resilience+edgley%2Caps%2C145&amp;sr=8-1","The Art of Resilience: Strategies for an Unbreakable Mind and Body")</f>
        <v>The Art of Resilience: Strategies for an Unbreakable Mind and Body</v>
      </c>
      <c r="F641" s="185" t="s">
        <v>2978</v>
      </c>
      <c r="G641" s="185" t="s">
        <v>2979</v>
      </c>
      <c r="H641" s="185" t="s">
        <v>864</v>
      </c>
      <c r="I641" s="210">
        <v>11.0</v>
      </c>
      <c r="J641" s="185" t="s">
        <v>1502</v>
      </c>
      <c r="K641" s="185">
        <v>384.0</v>
      </c>
      <c r="L641" s="185" t="s">
        <v>1526</v>
      </c>
      <c r="M641" s="227" t="s">
        <v>1527</v>
      </c>
      <c r="N641" s="1"/>
    </row>
    <row r="642" ht="27.0" hidden="1" customHeight="1">
      <c r="A642" s="1"/>
      <c r="B642" s="232">
        <f t="shared" si="4"/>
        <v>636</v>
      </c>
      <c r="C642" s="181">
        <v>45168.0</v>
      </c>
      <c r="D642" s="182">
        <f t="shared" si="6"/>
        <v>2023</v>
      </c>
      <c r="E642" s="212" t="str">
        <f>hyperlink("https://www.amazon.com/Goes-So-Fast-Do-Overs-ebook/dp/B09X3ZZMQX/ref=sr_1_1?keywords=it+goes+so+fast+mary+louise+kelly&amp;qid=1693454826&amp;sprefix=it+goes+s%2Caps%2C175&amp;sr=8-1","It. Goes. So. Fast.: The Year of No Do-Overs")</f>
        <v>It. Goes. So. Fast.: The Year of No Do-Overs</v>
      </c>
      <c r="F642" s="185" t="s">
        <v>2980</v>
      </c>
      <c r="G642" s="185" t="s">
        <v>2981</v>
      </c>
      <c r="H642" s="185" t="s">
        <v>864</v>
      </c>
      <c r="I642" s="210">
        <v>11.0</v>
      </c>
      <c r="J642" s="185" t="s">
        <v>1496</v>
      </c>
      <c r="K642" s="185">
        <v>231.0</v>
      </c>
      <c r="L642" s="185" t="s">
        <v>1526</v>
      </c>
      <c r="M642" s="227" t="s">
        <v>1527</v>
      </c>
      <c r="N642" s="1"/>
    </row>
    <row r="643" ht="27.0" hidden="1" customHeight="1">
      <c r="A643" s="1"/>
      <c r="B643" s="232">
        <f t="shared" si="4"/>
        <v>637</v>
      </c>
      <c r="C643" s="181">
        <v>36711.0</v>
      </c>
      <c r="D643" s="182">
        <f t="shared" si="6"/>
        <v>2000</v>
      </c>
      <c r="E643" s="203" t="s">
        <v>2982</v>
      </c>
      <c r="F643" s="184" t="s">
        <v>2983</v>
      </c>
      <c r="G643" s="184" t="s">
        <v>2984</v>
      </c>
      <c r="H643" s="184" t="s">
        <v>932</v>
      </c>
      <c r="I643" s="28">
        <v>10.0</v>
      </c>
      <c r="J643" s="184" t="s">
        <v>1502</v>
      </c>
      <c r="K643" s="218"/>
      <c r="L643" s="184" t="s">
        <v>1497</v>
      </c>
      <c r="M643" s="186" t="s">
        <v>804</v>
      </c>
      <c r="N643" s="1"/>
    </row>
    <row r="644" ht="30.0" hidden="1" customHeight="1">
      <c r="A644" s="1"/>
      <c r="B644" s="232">
        <f t="shared" si="4"/>
        <v>638</v>
      </c>
      <c r="C644" s="181">
        <v>36719.0</v>
      </c>
      <c r="D644" s="182">
        <f t="shared" si="6"/>
        <v>2000</v>
      </c>
      <c r="E644" s="203" t="s">
        <v>2985</v>
      </c>
      <c r="F644" s="184" t="s">
        <v>2986</v>
      </c>
      <c r="G644" s="184" t="s">
        <v>2987</v>
      </c>
      <c r="H644" s="184" t="s">
        <v>932</v>
      </c>
      <c r="I644" s="28">
        <v>10.0</v>
      </c>
      <c r="J644" s="184" t="s">
        <v>1502</v>
      </c>
      <c r="K644" s="218"/>
      <c r="L644" s="184" t="s">
        <v>1497</v>
      </c>
      <c r="M644" s="186" t="s">
        <v>804</v>
      </c>
      <c r="N644" s="1"/>
    </row>
    <row r="645" ht="24.0" hidden="1" customHeight="1">
      <c r="A645" s="1"/>
      <c r="B645" s="232">
        <f t="shared" si="4"/>
        <v>639</v>
      </c>
      <c r="C645" s="181">
        <v>36803.0</v>
      </c>
      <c r="D645" s="182">
        <f t="shared" si="6"/>
        <v>2000</v>
      </c>
      <c r="E645" s="203" t="s">
        <v>2988</v>
      </c>
      <c r="F645" s="184" t="s">
        <v>2989</v>
      </c>
      <c r="G645" s="184" t="s">
        <v>2990</v>
      </c>
      <c r="H645" s="184" t="s">
        <v>932</v>
      </c>
      <c r="I645" s="28">
        <v>10.0</v>
      </c>
      <c r="J645" s="184" t="s">
        <v>1502</v>
      </c>
      <c r="K645" s="218"/>
      <c r="L645" s="184" t="s">
        <v>1497</v>
      </c>
      <c r="M645" s="186" t="s">
        <v>804</v>
      </c>
      <c r="N645" s="1"/>
    </row>
    <row r="646" ht="29.25" hidden="1" customHeight="1">
      <c r="A646" s="1"/>
      <c r="B646" s="232">
        <f t="shared" si="4"/>
        <v>640</v>
      </c>
      <c r="C646" s="181">
        <v>37370.0</v>
      </c>
      <c r="D646" s="182">
        <f t="shared" si="6"/>
        <v>2002</v>
      </c>
      <c r="E646" s="203" t="s">
        <v>2991</v>
      </c>
      <c r="F646" s="184" t="s">
        <v>2992</v>
      </c>
      <c r="G646" s="184" t="s">
        <v>2993</v>
      </c>
      <c r="H646" s="184" t="s">
        <v>932</v>
      </c>
      <c r="I646" s="28">
        <v>10.0</v>
      </c>
      <c r="J646" s="184" t="s">
        <v>1502</v>
      </c>
      <c r="K646" s="218"/>
      <c r="L646" s="184" t="s">
        <v>1497</v>
      </c>
      <c r="M646" s="186" t="s">
        <v>804</v>
      </c>
      <c r="N646" s="1"/>
    </row>
    <row r="647" ht="34.5" hidden="1" customHeight="1">
      <c r="A647" s="1"/>
      <c r="B647" s="232">
        <f t="shared" si="4"/>
        <v>641</v>
      </c>
      <c r="C647" s="181">
        <v>37379.0</v>
      </c>
      <c r="D647" s="182">
        <f t="shared" si="6"/>
        <v>2002</v>
      </c>
      <c r="E647" s="203" t="s">
        <v>2994</v>
      </c>
      <c r="F647" s="184" t="s">
        <v>2995</v>
      </c>
      <c r="G647" s="184" t="s">
        <v>2996</v>
      </c>
      <c r="H647" s="184" t="s">
        <v>932</v>
      </c>
      <c r="I647" s="28">
        <v>10.0</v>
      </c>
      <c r="J647" s="184" t="s">
        <v>1502</v>
      </c>
      <c r="K647" s="218"/>
      <c r="L647" s="184" t="s">
        <v>1497</v>
      </c>
      <c r="M647" s="186" t="s">
        <v>804</v>
      </c>
      <c r="N647" s="1"/>
    </row>
    <row r="648" ht="33.0" hidden="1" customHeight="1">
      <c r="A648" s="1"/>
      <c r="B648" s="232">
        <f t="shared" si="4"/>
        <v>642</v>
      </c>
      <c r="C648" s="181">
        <v>37571.0</v>
      </c>
      <c r="D648" s="182">
        <f t="shared" si="6"/>
        <v>2002</v>
      </c>
      <c r="E648" s="203" t="s">
        <v>2997</v>
      </c>
      <c r="F648" s="184" t="s">
        <v>2998</v>
      </c>
      <c r="G648" s="184" t="s">
        <v>2999</v>
      </c>
      <c r="H648" s="184" t="s">
        <v>932</v>
      </c>
      <c r="I648" s="28">
        <v>10.0</v>
      </c>
      <c r="J648" s="184" t="s">
        <v>1502</v>
      </c>
      <c r="K648" s="218"/>
      <c r="L648" s="184" t="s">
        <v>1497</v>
      </c>
      <c r="M648" s="186" t="s">
        <v>804</v>
      </c>
      <c r="N648" s="1"/>
    </row>
    <row r="649" ht="39.0" hidden="1" customHeight="1">
      <c r="A649" s="1"/>
      <c r="B649" s="232">
        <f t="shared" si="4"/>
        <v>643</v>
      </c>
      <c r="C649" s="181">
        <v>38008.0</v>
      </c>
      <c r="D649" s="182">
        <f t="shared" si="6"/>
        <v>2004</v>
      </c>
      <c r="E649" s="203" t="s">
        <v>3000</v>
      </c>
      <c r="F649" s="184" t="s">
        <v>2663</v>
      </c>
      <c r="G649" s="184" t="s">
        <v>3001</v>
      </c>
      <c r="H649" s="184" t="s">
        <v>932</v>
      </c>
      <c r="I649" s="28">
        <v>10.0</v>
      </c>
      <c r="J649" s="184" t="s">
        <v>1502</v>
      </c>
      <c r="K649" s="218"/>
      <c r="L649" s="184" t="s">
        <v>1497</v>
      </c>
      <c r="M649" s="186" t="s">
        <v>804</v>
      </c>
      <c r="N649" s="1"/>
    </row>
    <row r="650" ht="36.0" hidden="1" customHeight="1">
      <c r="A650" s="1"/>
      <c r="B650" s="232">
        <f t="shared" si="4"/>
        <v>644</v>
      </c>
      <c r="C650" s="181">
        <v>38135.0</v>
      </c>
      <c r="D650" s="182">
        <f t="shared" si="6"/>
        <v>2004</v>
      </c>
      <c r="E650" s="203" t="s">
        <v>3002</v>
      </c>
      <c r="F650" s="184" t="s">
        <v>3003</v>
      </c>
      <c r="G650" s="184" t="s">
        <v>3004</v>
      </c>
      <c r="H650" s="184" t="s">
        <v>932</v>
      </c>
      <c r="I650" s="28">
        <v>10.0</v>
      </c>
      <c r="J650" s="184" t="s">
        <v>1502</v>
      </c>
      <c r="K650" s="218"/>
      <c r="L650" s="184" t="s">
        <v>1497</v>
      </c>
      <c r="M650" s="186" t="s">
        <v>804</v>
      </c>
      <c r="N650" s="1"/>
    </row>
    <row r="651" ht="21.0" hidden="1" customHeight="1">
      <c r="A651" s="1"/>
      <c r="B651" s="232">
        <f t="shared" si="4"/>
        <v>645</v>
      </c>
      <c r="C651" s="181">
        <v>38276.0</v>
      </c>
      <c r="D651" s="182">
        <f t="shared" si="6"/>
        <v>2004</v>
      </c>
      <c r="E651" s="203" t="s">
        <v>3005</v>
      </c>
      <c r="F651" s="184" t="s">
        <v>2784</v>
      </c>
      <c r="G651" s="184" t="s">
        <v>3006</v>
      </c>
      <c r="H651" s="184" t="s">
        <v>932</v>
      </c>
      <c r="I651" s="28">
        <v>10.0</v>
      </c>
      <c r="J651" s="184" t="s">
        <v>1522</v>
      </c>
      <c r="K651" s="218"/>
      <c r="L651" s="184" t="s">
        <v>1497</v>
      </c>
      <c r="M651" s="186" t="s">
        <v>1498</v>
      </c>
      <c r="N651" s="1"/>
    </row>
    <row r="652" ht="39.0" hidden="1" customHeight="1">
      <c r="A652" s="1"/>
      <c r="B652" s="232">
        <f t="shared" si="4"/>
        <v>646</v>
      </c>
      <c r="C652" s="181">
        <v>38487.0</v>
      </c>
      <c r="D652" s="182">
        <f t="shared" si="6"/>
        <v>2005</v>
      </c>
      <c r="E652" s="203" t="s">
        <v>3007</v>
      </c>
      <c r="F652" s="184" t="s">
        <v>3008</v>
      </c>
      <c r="G652" s="184" t="s">
        <v>3009</v>
      </c>
      <c r="H652" s="184" t="s">
        <v>932</v>
      </c>
      <c r="I652" s="28">
        <v>10.0</v>
      </c>
      <c r="J652" s="184" t="s">
        <v>1522</v>
      </c>
      <c r="K652" s="218"/>
      <c r="L652" s="184" t="s">
        <v>1497</v>
      </c>
      <c r="M652" s="186" t="s">
        <v>1527</v>
      </c>
      <c r="N652" s="1"/>
    </row>
    <row r="653" ht="34.5" hidden="1" customHeight="1">
      <c r="A653" s="1"/>
      <c r="B653" s="232">
        <f t="shared" si="4"/>
        <v>647</v>
      </c>
      <c r="C653" s="181">
        <v>38535.0</v>
      </c>
      <c r="D653" s="182">
        <f t="shared" si="6"/>
        <v>2005</v>
      </c>
      <c r="E653" s="203" t="s">
        <v>3010</v>
      </c>
      <c r="F653" s="184" t="s">
        <v>1897</v>
      </c>
      <c r="G653" s="184" t="s">
        <v>3011</v>
      </c>
      <c r="H653" s="184" t="s">
        <v>932</v>
      </c>
      <c r="I653" s="28">
        <v>10.0</v>
      </c>
      <c r="J653" s="184" t="s">
        <v>1502</v>
      </c>
      <c r="K653" s="218"/>
      <c r="L653" s="184" t="s">
        <v>1497</v>
      </c>
      <c r="M653" s="186" t="s">
        <v>1498</v>
      </c>
      <c r="N653" s="1"/>
    </row>
    <row r="654" ht="19.5" hidden="1" customHeight="1">
      <c r="A654" s="1"/>
      <c r="B654" s="232">
        <f t="shared" si="4"/>
        <v>648</v>
      </c>
      <c r="C654" s="181">
        <v>38554.0</v>
      </c>
      <c r="D654" s="182">
        <f t="shared" si="6"/>
        <v>2005</v>
      </c>
      <c r="E654" s="203" t="s">
        <v>3012</v>
      </c>
      <c r="F654" s="184" t="s">
        <v>2063</v>
      </c>
      <c r="G654" s="184" t="s">
        <v>3013</v>
      </c>
      <c r="H654" s="184" t="s">
        <v>932</v>
      </c>
      <c r="I654" s="28">
        <v>10.0</v>
      </c>
      <c r="J654" s="184" t="s">
        <v>1522</v>
      </c>
      <c r="K654" s="218"/>
      <c r="L654" s="184" t="s">
        <v>1497</v>
      </c>
      <c r="M654" s="186" t="s">
        <v>1498</v>
      </c>
      <c r="N654" s="1"/>
    </row>
    <row r="655" ht="32.25" hidden="1" customHeight="1">
      <c r="A655" s="1"/>
      <c r="B655" s="232">
        <f t="shared" si="4"/>
        <v>649</v>
      </c>
      <c r="C655" s="181">
        <v>38640.0</v>
      </c>
      <c r="D655" s="182">
        <f t="shared" si="6"/>
        <v>2005</v>
      </c>
      <c r="E655" s="203" t="s">
        <v>3014</v>
      </c>
      <c r="F655" s="184" t="s">
        <v>3015</v>
      </c>
      <c r="G655" s="184" t="s">
        <v>3016</v>
      </c>
      <c r="H655" s="184" t="s">
        <v>932</v>
      </c>
      <c r="I655" s="28">
        <v>10.0</v>
      </c>
      <c r="J655" s="184" t="s">
        <v>1522</v>
      </c>
      <c r="K655" s="218"/>
      <c r="L655" s="184" t="s">
        <v>1497</v>
      </c>
      <c r="M655" s="186" t="s">
        <v>1498</v>
      </c>
      <c r="N655" s="1"/>
    </row>
    <row r="656" ht="36.0" hidden="1" customHeight="1">
      <c r="A656" s="1"/>
      <c r="B656" s="232">
        <f t="shared" si="4"/>
        <v>650</v>
      </c>
      <c r="C656" s="181">
        <v>38666.0</v>
      </c>
      <c r="D656" s="182">
        <f t="shared" si="6"/>
        <v>2005</v>
      </c>
      <c r="E656" s="203" t="s">
        <v>3017</v>
      </c>
      <c r="F656" s="184" t="s">
        <v>3018</v>
      </c>
      <c r="G656" s="184" t="s">
        <v>3019</v>
      </c>
      <c r="H656" s="184" t="s">
        <v>932</v>
      </c>
      <c r="I656" s="28">
        <v>10.0</v>
      </c>
      <c r="J656" s="184" t="s">
        <v>1522</v>
      </c>
      <c r="K656" s="218"/>
      <c r="L656" s="184" t="s">
        <v>1497</v>
      </c>
      <c r="M656" s="186" t="s">
        <v>1527</v>
      </c>
      <c r="N656" s="1"/>
    </row>
    <row r="657" ht="30.0" hidden="1" customHeight="1">
      <c r="A657" s="1"/>
      <c r="B657" s="232">
        <f t="shared" si="4"/>
        <v>651</v>
      </c>
      <c r="C657" s="181">
        <v>38906.0</v>
      </c>
      <c r="D657" s="182">
        <f t="shared" si="6"/>
        <v>2006</v>
      </c>
      <c r="E657" s="203" t="s">
        <v>3020</v>
      </c>
      <c r="F657" s="184" t="s">
        <v>3021</v>
      </c>
      <c r="G657" s="184" t="s">
        <v>3022</v>
      </c>
      <c r="H657" s="184" t="s">
        <v>932</v>
      </c>
      <c r="I657" s="28">
        <v>10.0</v>
      </c>
      <c r="J657" s="184" t="s">
        <v>1509</v>
      </c>
      <c r="K657" s="218"/>
      <c r="L657" s="184" t="s">
        <v>1497</v>
      </c>
      <c r="M657" s="186" t="s">
        <v>804</v>
      </c>
      <c r="N657" s="1"/>
    </row>
    <row r="658" ht="36.0" hidden="1" customHeight="1">
      <c r="A658" s="1"/>
      <c r="B658" s="232">
        <f t="shared" si="4"/>
        <v>652</v>
      </c>
      <c r="C658" s="181">
        <v>38928.0</v>
      </c>
      <c r="D658" s="182">
        <f t="shared" si="6"/>
        <v>2006</v>
      </c>
      <c r="E658" s="203" t="s">
        <v>3023</v>
      </c>
      <c r="F658" s="184" t="s">
        <v>1911</v>
      </c>
      <c r="G658" s="184" t="s">
        <v>3024</v>
      </c>
      <c r="H658" s="184" t="s">
        <v>932</v>
      </c>
      <c r="I658" s="28">
        <v>10.0</v>
      </c>
      <c r="J658" s="184" t="s">
        <v>1522</v>
      </c>
      <c r="K658" s="218"/>
      <c r="L658" s="184" t="s">
        <v>1497</v>
      </c>
      <c r="M658" s="186" t="s">
        <v>1498</v>
      </c>
      <c r="N658" s="1"/>
    </row>
    <row r="659" ht="43.5" hidden="1" customHeight="1">
      <c r="A659" s="1"/>
      <c r="B659" s="232">
        <f t="shared" si="4"/>
        <v>653</v>
      </c>
      <c r="C659" s="181">
        <v>39233.0</v>
      </c>
      <c r="D659" s="182">
        <f t="shared" si="6"/>
        <v>2007</v>
      </c>
      <c r="E659" s="203" t="s">
        <v>3025</v>
      </c>
      <c r="F659" s="184" t="s">
        <v>3026</v>
      </c>
      <c r="G659" s="184" t="s">
        <v>3027</v>
      </c>
      <c r="H659" s="184" t="s">
        <v>932</v>
      </c>
      <c r="I659" s="28">
        <v>10.0</v>
      </c>
      <c r="J659" s="184" t="s">
        <v>1522</v>
      </c>
      <c r="K659" s="218"/>
      <c r="L659" s="184" t="s">
        <v>1497</v>
      </c>
      <c r="M659" s="186" t="s">
        <v>1498</v>
      </c>
      <c r="N659" s="1"/>
    </row>
    <row r="660" ht="49.5" hidden="1" customHeight="1">
      <c r="A660" s="1"/>
      <c r="B660" s="232">
        <f t="shared" si="4"/>
        <v>654</v>
      </c>
      <c r="C660" s="181">
        <v>39300.0</v>
      </c>
      <c r="D660" s="182">
        <f t="shared" si="6"/>
        <v>2007</v>
      </c>
      <c r="E660" s="203" t="s">
        <v>3028</v>
      </c>
      <c r="F660" s="184" t="s">
        <v>3029</v>
      </c>
      <c r="G660" s="185" t="s">
        <v>3030</v>
      </c>
      <c r="H660" s="184" t="s">
        <v>932</v>
      </c>
      <c r="I660" s="28">
        <v>10.0</v>
      </c>
      <c r="J660" s="184" t="s">
        <v>1509</v>
      </c>
      <c r="K660" s="218"/>
      <c r="L660" s="184" t="s">
        <v>1497</v>
      </c>
      <c r="M660" s="186" t="s">
        <v>804</v>
      </c>
      <c r="N660" s="1"/>
    </row>
    <row r="661" ht="37.5" hidden="1" customHeight="1">
      <c r="A661" s="1"/>
      <c r="B661" s="232">
        <f t="shared" si="4"/>
        <v>655</v>
      </c>
      <c r="C661" s="181">
        <v>39314.0</v>
      </c>
      <c r="D661" s="182">
        <f t="shared" si="6"/>
        <v>2007</v>
      </c>
      <c r="E661" s="203" t="s">
        <v>3031</v>
      </c>
      <c r="F661" s="184" t="s">
        <v>1546</v>
      </c>
      <c r="G661" s="184" t="s">
        <v>3032</v>
      </c>
      <c r="H661" s="184" t="s">
        <v>932</v>
      </c>
      <c r="I661" s="28">
        <v>10.0</v>
      </c>
      <c r="J661" s="184" t="s">
        <v>1509</v>
      </c>
      <c r="K661" s="218"/>
      <c r="L661" s="184" t="s">
        <v>1497</v>
      </c>
      <c r="M661" s="186" t="s">
        <v>804</v>
      </c>
      <c r="N661" s="1"/>
    </row>
    <row r="662" ht="53.25" hidden="1" customHeight="1">
      <c r="A662" s="1"/>
      <c r="B662" s="232">
        <f t="shared" si="4"/>
        <v>656</v>
      </c>
      <c r="C662" s="181">
        <v>39437.0</v>
      </c>
      <c r="D662" s="182">
        <f t="shared" si="6"/>
        <v>2007</v>
      </c>
      <c r="E662" s="203" t="s">
        <v>3033</v>
      </c>
      <c r="F662" s="184" t="s">
        <v>3034</v>
      </c>
      <c r="G662" s="184" t="s">
        <v>3035</v>
      </c>
      <c r="H662" s="184" t="s">
        <v>932</v>
      </c>
      <c r="I662" s="28">
        <v>10.0</v>
      </c>
      <c r="J662" s="184" t="s">
        <v>1496</v>
      </c>
      <c r="K662" s="218"/>
      <c r="L662" s="184" t="s">
        <v>1497</v>
      </c>
      <c r="M662" s="186" t="s">
        <v>1498</v>
      </c>
      <c r="N662" s="1"/>
    </row>
    <row r="663" ht="55.5" hidden="1" customHeight="1">
      <c r="A663" s="1"/>
      <c r="B663" s="232">
        <f t="shared" si="4"/>
        <v>657</v>
      </c>
      <c r="C663" s="181">
        <v>39533.0</v>
      </c>
      <c r="D663" s="182">
        <f t="shared" si="6"/>
        <v>2008</v>
      </c>
      <c r="E663" s="203" t="s">
        <v>3036</v>
      </c>
      <c r="F663" s="184" t="s">
        <v>3037</v>
      </c>
      <c r="G663" s="184" t="s">
        <v>3038</v>
      </c>
      <c r="H663" s="184" t="s">
        <v>932</v>
      </c>
      <c r="I663" s="28">
        <v>10.0</v>
      </c>
      <c r="J663" s="184" t="s">
        <v>1496</v>
      </c>
      <c r="K663" s="184">
        <v>185.0</v>
      </c>
      <c r="L663" s="184" t="s">
        <v>1497</v>
      </c>
      <c r="M663" s="186" t="s">
        <v>1527</v>
      </c>
      <c r="N663" s="1"/>
    </row>
    <row r="664" ht="54.75" hidden="1" customHeight="1">
      <c r="A664" s="1"/>
      <c r="B664" s="232">
        <f t="shared" si="4"/>
        <v>658</v>
      </c>
      <c r="C664" s="181">
        <v>39623.0</v>
      </c>
      <c r="D664" s="182">
        <f t="shared" si="6"/>
        <v>2008</v>
      </c>
      <c r="E664" s="203" t="s">
        <v>3039</v>
      </c>
      <c r="F664" s="184" t="s">
        <v>1622</v>
      </c>
      <c r="G664" s="184" t="s">
        <v>3040</v>
      </c>
      <c r="H664" s="184" t="s">
        <v>932</v>
      </c>
      <c r="I664" s="28">
        <v>10.0</v>
      </c>
      <c r="J664" s="184" t="s">
        <v>1522</v>
      </c>
      <c r="K664" s="184">
        <v>288.0</v>
      </c>
      <c r="L664" s="184" t="s">
        <v>1526</v>
      </c>
      <c r="M664" s="186" t="s">
        <v>1498</v>
      </c>
      <c r="N664" s="1"/>
    </row>
    <row r="665" ht="65.25" hidden="1" customHeight="1">
      <c r="A665" s="1"/>
      <c r="B665" s="232">
        <f t="shared" si="4"/>
        <v>659</v>
      </c>
      <c r="C665" s="181">
        <v>40061.0</v>
      </c>
      <c r="D665" s="182">
        <f t="shared" si="6"/>
        <v>2009</v>
      </c>
      <c r="E665" s="203" t="s">
        <v>3041</v>
      </c>
      <c r="F665" s="184" t="s">
        <v>2084</v>
      </c>
      <c r="G665" s="184" t="s">
        <v>3042</v>
      </c>
      <c r="H665" s="184" t="s">
        <v>932</v>
      </c>
      <c r="I665" s="28">
        <v>10.0</v>
      </c>
      <c r="J665" s="184" t="s">
        <v>1522</v>
      </c>
      <c r="K665" s="184">
        <v>288.0</v>
      </c>
      <c r="L665" s="184" t="s">
        <v>1526</v>
      </c>
      <c r="M665" s="186" t="s">
        <v>1498</v>
      </c>
      <c r="N665" s="1"/>
    </row>
    <row r="666" ht="39.0" hidden="1" customHeight="1">
      <c r="A666" s="1"/>
      <c r="B666" s="232">
        <f t="shared" si="4"/>
        <v>660</v>
      </c>
      <c r="C666" s="181">
        <v>40471.0</v>
      </c>
      <c r="D666" s="182">
        <f t="shared" si="6"/>
        <v>2010</v>
      </c>
      <c r="E666" s="203" t="s">
        <v>3043</v>
      </c>
      <c r="F666" s="184" t="s">
        <v>3044</v>
      </c>
      <c r="G666" s="184" t="s">
        <v>3045</v>
      </c>
      <c r="H666" s="184" t="s">
        <v>932</v>
      </c>
      <c r="I666" s="28">
        <v>10.0</v>
      </c>
      <c r="J666" s="184" t="s">
        <v>1496</v>
      </c>
      <c r="K666" s="184">
        <v>352.0</v>
      </c>
      <c r="L666" s="184" t="s">
        <v>1526</v>
      </c>
      <c r="M666" s="186" t="s">
        <v>1498</v>
      </c>
      <c r="N666" s="1"/>
    </row>
    <row r="667" ht="39.0" hidden="1" customHeight="1">
      <c r="A667" s="1"/>
      <c r="B667" s="232">
        <f t="shared" si="4"/>
        <v>661</v>
      </c>
      <c r="C667" s="181">
        <v>40653.0</v>
      </c>
      <c r="D667" s="182">
        <f t="shared" si="6"/>
        <v>2011</v>
      </c>
      <c r="E667" s="203" t="s">
        <v>3046</v>
      </c>
      <c r="F667" s="184" t="s">
        <v>3047</v>
      </c>
      <c r="G667" s="184" t="s">
        <v>3048</v>
      </c>
      <c r="H667" s="184" t="s">
        <v>932</v>
      </c>
      <c r="I667" s="28">
        <v>10.0</v>
      </c>
      <c r="J667" s="184" t="s">
        <v>1522</v>
      </c>
      <c r="K667" s="184">
        <v>238.0</v>
      </c>
      <c r="L667" s="184" t="s">
        <v>1497</v>
      </c>
      <c r="M667" s="186" t="s">
        <v>1498</v>
      </c>
      <c r="N667" s="1"/>
    </row>
    <row r="668" ht="39.0" hidden="1" customHeight="1">
      <c r="A668" s="1"/>
      <c r="B668" s="232">
        <f t="shared" si="4"/>
        <v>662</v>
      </c>
      <c r="C668" s="181">
        <v>40671.0</v>
      </c>
      <c r="D668" s="182">
        <f t="shared" si="6"/>
        <v>2011</v>
      </c>
      <c r="E668" s="203" t="s">
        <v>3049</v>
      </c>
      <c r="F668" s="184" t="s">
        <v>3050</v>
      </c>
      <c r="G668" s="184" t="s">
        <v>3051</v>
      </c>
      <c r="H668" s="184" t="s">
        <v>932</v>
      </c>
      <c r="I668" s="28">
        <v>10.0</v>
      </c>
      <c r="J668" s="184" t="s">
        <v>1496</v>
      </c>
      <c r="K668" s="184">
        <v>266.0</v>
      </c>
      <c r="L668" s="184" t="s">
        <v>1497</v>
      </c>
      <c r="M668" s="186" t="s">
        <v>1498</v>
      </c>
      <c r="N668" s="1"/>
    </row>
    <row r="669" ht="39.0" hidden="1" customHeight="1">
      <c r="A669" s="1"/>
      <c r="B669" s="232">
        <f t="shared" si="4"/>
        <v>663</v>
      </c>
      <c r="C669" s="181">
        <v>40746.0</v>
      </c>
      <c r="D669" s="182">
        <f t="shared" si="6"/>
        <v>2011</v>
      </c>
      <c r="E669" s="203" t="s">
        <v>3052</v>
      </c>
      <c r="F669" s="184" t="s">
        <v>3053</v>
      </c>
      <c r="G669" s="184" t="s">
        <v>3054</v>
      </c>
      <c r="H669" s="184" t="s">
        <v>932</v>
      </c>
      <c r="I669" s="28">
        <v>10.0</v>
      </c>
      <c r="J669" s="184" t="s">
        <v>1496</v>
      </c>
      <c r="K669" s="184">
        <v>253.0</v>
      </c>
      <c r="L669" s="184" t="s">
        <v>1497</v>
      </c>
      <c r="M669" s="186" t="s">
        <v>1498</v>
      </c>
      <c r="N669" s="1"/>
    </row>
    <row r="670" ht="39.0" hidden="1" customHeight="1">
      <c r="A670" s="1"/>
      <c r="B670" s="232">
        <f t="shared" si="4"/>
        <v>664</v>
      </c>
      <c r="C670" s="181">
        <v>41208.0</v>
      </c>
      <c r="D670" s="182">
        <f t="shared" si="6"/>
        <v>2012</v>
      </c>
      <c r="E670" s="203" t="s">
        <v>3055</v>
      </c>
      <c r="F670" s="184" t="s">
        <v>3056</v>
      </c>
      <c r="G670" s="184" t="s">
        <v>3057</v>
      </c>
      <c r="H670" s="184" t="s">
        <v>932</v>
      </c>
      <c r="I670" s="28">
        <v>10.0</v>
      </c>
      <c r="J670" s="184" t="s">
        <v>1522</v>
      </c>
      <c r="K670" s="184">
        <v>304.0</v>
      </c>
      <c r="L670" s="184" t="s">
        <v>1526</v>
      </c>
      <c r="M670" s="186" t="s">
        <v>1498</v>
      </c>
      <c r="N670" s="1"/>
    </row>
    <row r="671" ht="39.0" hidden="1" customHeight="1">
      <c r="A671" s="1"/>
      <c r="B671" s="232">
        <f t="shared" si="4"/>
        <v>665</v>
      </c>
      <c r="C671" s="181">
        <v>41414.0</v>
      </c>
      <c r="D671" s="182">
        <f t="shared" si="6"/>
        <v>2013</v>
      </c>
      <c r="E671" s="203" t="s">
        <v>3058</v>
      </c>
      <c r="F671" s="184" t="s">
        <v>3059</v>
      </c>
      <c r="G671" s="184" t="s">
        <v>3060</v>
      </c>
      <c r="H671" s="184" t="s">
        <v>932</v>
      </c>
      <c r="I671" s="28">
        <v>10.0</v>
      </c>
      <c r="J671" s="184" t="s">
        <v>1502</v>
      </c>
      <c r="K671" s="184">
        <v>416.0</v>
      </c>
      <c r="L671" s="184" t="s">
        <v>1526</v>
      </c>
      <c r="M671" s="186" t="s">
        <v>1498</v>
      </c>
      <c r="N671" s="1"/>
    </row>
    <row r="672" ht="39.0" hidden="1" customHeight="1">
      <c r="A672" s="1"/>
      <c r="B672" s="232">
        <f t="shared" si="4"/>
        <v>666</v>
      </c>
      <c r="C672" s="181">
        <v>41602.0</v>
      </c>
      <c r="D672" s="182">
        <f t="shared" si="6"/>
        <v>2013</v>
      </c>
      <c r="E672" s="203" t="s">
        <v>3061</v>
      </c>
      <c r="F672" s="184" t="s">
        <v>2951</v>
      </c>
      <c r="G672" s="184" t="s">
        <v>3062</v>
      </c>
      <c r="H672" s="184" t="s">
        <v>932</v>
      </c>
      <c r="I672" s="28">
        <v>10.0</v>
      </c>
      <c r="J672" s="184" t="s">
        <v>1509</v>
      </c>
      <c r="K672" s="184">
        <v>391.0</v>
      </c>
      <c r="L672" s="184" t="s">
        <v>1526</v>
      </c>
      <c r="M672" s="186" t="s">
        <v>1498</v>
      </c>
      <c r="N672" s="1"/>
    </row>
    <row r="673" ht="39.0" hidden="1" customHeight="1">
      <c r="A673" s="1"/>
      <c r="B673" s="232">
        <f t="shared" si="4"/>
        <v>667</v>
      </c>
      <c r="C673" s="181">
        <v>41609.0</v>
      </c>
      <c r="D673" s="182">
        <f t="shared" si="6"/>
        <v>2013</v>
      </c>
      <c r="E673" s="203" t="s">
        <v>3063</v>
      </c>
      <c r="F673" s="184" t="s">
        <v>3064</v>
      </c>
      <c r="G673" s="184" t="s">
        <v>3065</v>
      </c>
      <c r="H673" s="184" t="s">
        <v>932</v>
      </c>
      <c r="I673" s="28">
        <v>10.0</v>
      </c>
      <c r="J673" s="184" t="s">
        <v>1522</v>
      </c>
      <c r="K673" s="184">
        <v>224.0</v>
      </c>
      <c r="L673" s="184" t="s">
        <v>1526</v>
      </c>
      <c r="M673" s="186" t="s">
        <v>1527</v>
      </c>
      <c r="N673" s="1"/>
    </row>
    <row r="674" ht="39.0" hidden="1" customHeight="1">
      <c r="A674" s="1"/>
      <c r="B674" s="232">
        <f t="shared" si="4"/>
        <v>668</v>
      </c>
      <c r="C674" s="181">
        <v>41742.0</v>
      </c>
      <c r="D674" s="182">
        <f t="shared" si="6"/>
        <v>2014</v>
      </c>
      <c r="E674" s="212" t="str">
        <f>hyperlink("http://www.amazon.com/Difference-one-page-reimagining-reinventing-marketing-ebook/dp/B00I8W7HYO/ref=sr_1_1?s=digital-text&amp;ie=UTF8&amp;qid=1398024891&amp;sr=1-1&amp;keywords=difference","Difference: The one-page method for reimagining your business and reinventing your marketing")</f>
        <v>Difference: The one-page method for reimagining your business and reinventing your marketing</v>
      </c>
      <c r="F674" s="184" t="s">
        <v>3066</v>
      </c>
      <c r="G674" s="184" t="s">
        <v>3067</v>
      </c>
      <c r="H674" s="184" t="s">
        <v>932</v>
      </c>
      <c r="I674" s="28">
        <v>10.0</v>
      </c>
      <c r="J674" s="184" t="s">
        <v>1522</v>
      </c>
      <c r="K674" s="184">
        <v>110.0</v>
      </c>
      <c r="L674" s="184" t="s">
        <v>1526</v>
      </c>
      <c r="M674" s="186" t="s">
        <v>1527</v>
      </c>
      <c r="N674" s="1"/>
    </row>
    <row r="675" ht="39.0" hidden="1" customHeight="1">
      <c r="A675" s="1"/>
      <c r="B675" s="232">
        <f t="shared" si="4"/>
        <v>669</v>
      </c>
      <c r="C675" s="181">
        <v>42211.0</v>
      </c>
      <c r="D675" s="182">
        <f t="shared" si="6"/>
        <v>2015</v>
      </c>
      <c r="E675" s="212" t="str">
        <f>hyperlink("http://www.amazon.com/Life-Changing-Magic-Tidying-Decluttering-Organizing-ebook/dp/B00KK0PICK/ref=sr_1_1_twi_2_kin?ie=UTF8&amp;qid=1438059147&amp;sr=8-1&amp;keywords=the+life+changing+magic+of+tidying+up","The Life-Changing Magic of Tidying Up: The Japanese Art of Decluttering and Organizing")</f>
        <v>The Life-Changing Magic of Tidying Up: The Japanese Art of Decluttering and Organizing</v>
      </c>
      <c r="F675" s="185" t="s">
        <v>3068</v>
      </c>
      <c r="G675" s="185" t="s">
        <v>3069</v>
      </c>
      <c r="H675" s="185" t="s">
        <v>932</v>
      </c>
      <c r="I675" s="210">
        <v>10.0</v>
      </c>
      <c r="J675" s="185" t="s">
        <v>1496</v>
      </c>
      <c r="K675" s="185">
        <v>226.0</v>
      </c>
      <c r="L675" s="185" t="s">
        <v>1526</v>
      </c>
      <c r="M675" s="211" t="s">
        <v>1527</v>
      </c>
      <c r="N675" s="1"/>
    </row>
    <row r="676" ht="39.0" hidden="1" customHeight="1">
      <c r="A676" s="1"/>
      <c r="B676" s="232">
        <f t="shared" si="4"/>
        <v>670</v>
      </c>
      <c r="C676" s="181">
        <v>42428.0</v>
      </c>
      <c r="D676" s="182">
        <f t="shared" si="6"/>
        <v>2016</v>
      </c>
      <c r="E676" s="212" t="str">
        <f>hyperlink("http://www.amazon.com/gp/product/B00L9B7IKE?keywords=the%20girl%20on%20the%20train&amp;qid=1456711533&amp;ref_=sr_1_1&amp;s=digital-text&amp;sr=1-1","Girl on the Train,The")</f>
        <v>Girl on the Train,The</v>
      </c>
      <c r="F676" s="185" t="s">
        <v>3070</v>
      </c>
      <c r="G676" s="185" t="s">
        <v>3071</v>
      </c>
      <c r="H676" s="185" t="s">
        <v>932</v>
      </c>
      <c r="I676" s="210">
        <v>10.0</v>
      </c>
      <c r="J676" s="185" t="s">
        <v>1509</v>
      </c>
      <c r="K676" s="185">
        <v>326.0</v>
      </c>
      <c r="L676" s="185" t="s">
        <v>1574</v>
      </c>
      <c r="M676" s="211" t="s">
        <v>804</v>
      </c>
      <c r="N676" s="1"/>
    </row>
    <row r="677" ht="39.0" hidden="1" customHeight="1">
      <c r="A677" s="1"/>
      <c r="B677" s="232">
        <f t="shared" si="4"/>
        <v>671</v>
      </c>
      <c r="C677" s="181">
        <v>42435.0</v>
      </c>
      <c r="D677" s="182">
        <f t="shared" si="6"/>
        <v>2016</v>
      </c>
      <c r="E677" s="212" t="str">
        <f>hyperlink("http://www.amazon.com/Widow-Fiona-Barton-ebook/dp/B00Z8VT8AE/ref=sr_1_1_twi_kin_2?ie=UTF8&amp;qid=1457325898&amp;sr=8-1&amp;keywords=the+widow+fiona+barton","Widow, The")</f>
        <v>Widow, The</v>
      </c>
      <c r="F677" s="185" t="s">
        <v>3072</v>
      </c>
      <c r="G677" s="185" t="s">
        <v>3073</v>
      </c>
      <c r="H677" s="185" t="s">
        <v>932</v>
      </c>
      <c r="I677" s="210">
        <v>10.0</v>
      </c>
      <c r="J677" s="185" t="s">
        <v>1509</v>
      </c>
      <c r="K677" s="185">
        <v>329.0</v>
      </c>
      <c r="L677" s="185" t="s">
        <v>1574</v>
      </c>
      <c r="M677" s="211" t="s">
        <v>804</v>
      </c>
      <c r="N677" s="1"/>
    </row>
    <row r="678" ht="39.0" hidden="1" customHeight="1">
      <c r="A678" s="1"/>
      <c r="B678" s="232">
        <f t="shared" si="4"/>
        <v>672</v>
      </c>
      <c r="C678" s="181">
        <v>42553.0</v>
      </c>
      <c r="D678" s="182">
        <f t="shared" si="6"/>
        <v>2016</v>
      </c>
      <c r="E678" s="212" t="str">
        <f>hyperlink("https://www.amazon.com/Song-Machine-Inside-Hit-Factory-ebook/dp/B00TIZFO2W/ref=sr_1_1?s=digital-text&amp;ie=UTF8&amp;qid=1467788853&amp;sr=1-1&amp;keywords=the+song+machine#nav-subnav","Song Machine, The: Inside the Hit Factory")</f>
        <v>Song Machine, The: Inside the Hit Factory</v>
      </c>
      <c r="F678" s="185" t="s">
        <v>3074</v>
      </c>
      <c r="G678" s="185" t="s">
        <v>3075</v>
      </c>
      <c r="H678" s="185" t="s">
        <v>932</v>
      </c>
      <c r="I678" s="210">
        <v>10.0</v>
      </c>
      <c r="J678" s="185" t="s">
        <v>1496</v>
      </c>
      <c r="K678" s="185">
        <v>352.0</v>
      </c>
      <c r="L678" s="185" t="s">
        <v>1574</v>
      </c>
      <c r="M678" s="211" t="s">
        <v>804</v>
      </c>
      <c r="N678" s="1"/>
    </row>
    <row r="679" ht="39.0" hidden="1" customHeight="1">
      <c r="A679" s="1"/>
      <c r="B679" s="232">
        <f t="shared" si="4"/>
        <v>673</v>
      </c>
      <c r="C679" s="181">
        <v>42628.0</v>
      </c>
      <c r="D679" s="182">
        <f t="shared" si="6"/>
        <v>2016</v>
      </c>
      <c r="E679" s="212" t="str">
        <f>hyperlink("https://www.amazon.com/Wizard-Kindle-Motion-Magic-Book-ebook/dp/B00EF8Z32I/ref=sr_1_1?s=digital-text&amp;ie=UTF8&amp;qid=1478410303&amp;sr=1-1&amp;keywords=off+to+be+the+wizard","Off To Be The Wizard")</f>
        <v>Off To Be The Wizard</v>
      </c>
      <c r="F679" s="185" t="s">
        <v>3076</v>
      </c>
      <c r="G679" s="185" t="s">
        <v>3077</v>
      </c>
      <c r="H679" s="185" t="s">
        <v>932</v>
      </c>
      <c r="I679" s="210">
        <v>10.0</v>
      </c>
      <c r="J679" s="185" t="s">
        <v>1509</v>
      </c>
      <c r="K679" s="185">
        <v>277.0</v>
      </c>
      <c r="L679" s="185" t="s">
        <v>1574</v>
      </c>
      <c r="M679" s="211" t="s">
        <v>804</v>
      </c>
      <c r="N679" s="1"/>
    </row>
    <row r="680" ht="39.0" hidden="1" customHeight="1">
      <c r="A680" s="1"/>
      <c r="B680" s="232">
        <f t="shared" si="4"/>
        <v>674</v>
      </c>
      <c r="C680" s="181">
        <v>43003.0</v>
      </c>
      <c r="D680" s="182">
        <f t="shared" si="6"/>
        <v>2017</v>
      </c>
      <c r="E680" s="212" t="str">
        <f>hyperlink("https://www.amazon.com/Phenomenon-Pressure-Yips-Pitch-Changed-ebook/dp/B01LL8C2YQ/ref=sr_1_1?s=digital-text&amp;ie=UTF8&amp;qid=1514760144&amp;sr=1-1&amp;keywords=the+phenomenon+rick+ankiel","Phenomenon, The")</f>
        <v>Phenomenon, The</v>
      </c>
      <c r="F680" s="185" t="s">
        <v>3078</v>
      </c>
      <c r="G680" s="185" t="s">
        <v>3079</v>
      </c>
      <c r="H680" s="185" t="s">
        <v>932</v>
      </c>
      <c r="I680" s="210">
        <v>10.0</v>
      </c>
      <c r="J680" s="185" t="s">
        <v>1657</v>
      </c>
      <c r="K680" s="185">
        <v>304.0</v>
      </c>
      <c r="L680" s="185" t="s">
        <v>1574</v>
      </c>
      <c r="M680" s="211" t="s">
        <v>804</v>
      </c>
      <c r="N680" s="1"/>
    </row>
    <row r="681" ht="39.0" hidden="1" customHeight="1">
      <c r="A681" s="1"/>
      <c r="B681" s="232">
        <f t="shared" si="4"/>
        <v>675</v>
      </c>
      <c r="C681" s="181">
        <v>43282.0</v>
      </c>
      <c r="D681" s="182">
        <f t="shared" si="6"/>
        <v>2018</v>
      </c>
      <c r="E681" s="212" t="str">
        <f>hyperlink("https://www.amazon.com/Chasing-Excellence-Building-Fittest-Athletes-ebook/dp/B0743MP21F/ref=sr_1_1?s=digital-text&amp;ie=UTF8&amp;qid=1546909855&amp;sr=1-1&amp;keywords=chasing+excellence+ben+bergeron","Chasing Excellence: A Story About Building the World's Fittest Athletes")</f>
        <v>Chasing Excellence: A Story About Building the World's Fittest Athletes</v>
      </c>
      <c r="F681" s="185" t="s">
        <v>3080</v>
      </c>
      <c r="G681" s="185" t="s">
        <v>3081</v>
      </c>
      <c r="H681" s="185" t="s">
        <v>932</v>
      </c>
      <c r="I681" s="210">
        <v>10.0</v>
      </c>
      <c r="J681" s="185" t="s">
        <v>1502</v>
      </c>
      <c r="K681" s="185">
        <v>204.0</v>
      </c>
      <c r="L681" s="185" t="s">
        <v>1574</v>
      </c>
      <c r="M681" s="211" t="s">
        <v>804</v>
      </c>
      <c r="N681" s="1"/>
    </row>
    <row r="682" ht="39.0" hidden="1" customHeight="1">
      <c r="A682" s="1"/>
      <c r="B682" s="232">
        <f t="shared" si="4"/>
        <v>676</v>
      </c>
      <c r="C682" s="181">
        <v>43457.0</v>
      </c>
      <c r="D682" s="182">
        <f t="shared" si="6"/>
        <v>2018</v>
      </c>
      <c r="E682" s="212" t="str">
        <f>hyperlink("https://www.amazon.com/Four-Men-Boat-Tim-Foster-ebook/dp/B00M7D0EBS/ref=sr_1_2?s=digital-text&amp;ie=UTF8&amp;qid=1546904956&amp;sr=1-2&amp;keywords=four+men+in+a+boat","Four Men in a Boat")</f>
        <v>Four Men in a Boat</v>
      </c>
      <c r="F682" s="185" t="s">
        <v>3082</v>
      </c>
      <c r="G682" s="185" t="s">
        <v>3083</v>
      </c>
      <c r="H682" s="185" t="s">
        <v>932</v>
      </c>
      <c r="I682" s="210">
        <v>10.0</v>
      </c>
      <c r="J682" s="185" t="s">
        <v>1502</v>
      </c>
      <c r="K682" s="185">
        <v>244.0</v>
      </c>
      <c r="L682" s="185" t="s">
        <v>1526</v>
      </c>
      <c r="M682" s="211" t="s">
        <v>1527</v>
      </c>
      <c r="N682" s="1"/>
    </row>
    <row r="683" ht="39.0" hidden="1" customHeight="1">
      <c r="A683" s="1"/>
      <c r="B683" s="232">
        <f t="shared" si="4"/>
        <v>677</v>
      </c>
      <c r="C683" s="181">
        <v>43103.0</v>
      </c>
      <c r="D683" s="182">
        <f t="shared" si="6"/>
        <v>2018</v>
      </c>
      <c r="E683" s="212" t="str">
        <f>hyperlink("https://www.amazon.com/Running-Man-Stephen-King-ebook/dp/B018ER7JWW/ref=tmm_kin_swatch_0?_encoding=UTF8&amp;qid=1546904352&amp;sr=8-2","Running Man, The")</f>
        <v>Running Man, The</v>
      </c>
      <c r="F683" s="185" t="s">
        <v>3084</v>
      </c>
      <c r="G683" s="185" t="s">
        <v>3085</v>
      </c>
      <c r="H683" s="185" t="s">
        <v>932</v>
      </c>
      <c r="I683" s="210">
        <v>10.0</v>
      </c>
      <c r="J683" s="185" t="s">
        <v>1509</v>
      </c>
      <c r="K683" s="185">
        <v>417.0</v>
      </c>
      <c r="L683" s="185" t="s">
        <v>1526</v>
      </c>
      <c r="M683" s="211" t="s">
        <v>804</v>
      </c>
      <c r="N683" s="1"/>
    </row>
    <row r="684" ht="27.0" hidden="1" customHeight="1">
      <c r="A684" s="1"/>
      <c r="B684" s="232">
        <f t="shared" si="4"/>
        <v>678</v>
      </c>
      <c r="C684" s="181">
        <v>43285.0</v>
      </c>
      <c r="D684" s="182">
        <f t="shared" si="6"/>
        <v>2018</v>
      </c>
      <c r="E684" s="212" t="str">
        <f>hyperlink("https://www.amazon.com/Eat-Run-Unlikely-Ultramarathon-Greatness-ebook/dp/B005OCHOZS/ref=sr_1_1?s=digital-text&amp;ie=UTF8&amp;qid=1546909503&amp;sr=1-1&amp;keywords=eat+and+run+scott+jurek","Eat and Run: My Unlikely Journey to Ultramarathon Greatness")</f>
        <v>Eat and Run: My Unlikely Journey to Ultramarathon Greatness</v>
      </c>
      <c r="F684" s="185" t="s">
        <v>2306</v>
      </c>
      <c r="G684" s="185" t="s">
        <v>3086</v>
      </c>
      <c r="H684" s="185" t="s">
        <v>932</v>
      </c>
      <c r="I684" s="210">
        <v>10.0</v>
      </c>
      <c r="J684" s="185" t="s">
        <v>1502</v>
      </c>
      <c r="K684" s="185">
        <v>273.0</v>
      </c>
      <c r="L684" s="185" t="s">
        <v>1574</v>
      </c>
      <c r="M684" s="211" t="s">
        <v>804</v>
      </c>
      <c r="N684" s="1"/>
    </row>
    <row r="685" ht="39.0" hidden="1" customHeight="1">
      <c r="A685" s="1"/>
      <c r="B685" s="232">
        <f t="shared" si="4"/>
        <v>679</v>
      </c>
      <c r="C685" s="181">
        <v>43510.0</v>
      </c>
      <c r="D685" s="182">
        <f t="shared" si="6"/>
        <v>2019</v>
      </c>
      <c r="E685" s="212" t="str">
        <f>hyperlink("https://www.amazon.com/Digital-Minimalism-Choosing-Focused-Noisy-ebook/dp/B07DBRBP7G/ref=sr_1_1?crid=32WYJF7YOLEL0&amp;keywords=digital+minimalism&amp;qid=1550433822&amp;s=gateway&amp;sprefix=digital+min%2Caps%2C210&amp;sr=8-1","Digital Minimalism: Choosing a Focused Life in a Noisy World")</f>
        <v>Digital Minimalism: Choosing a Focused Life in a Noisy World</v>
      </c>
      <c r="F685" s="185" t="s">
        <v>2259</v>
      </c>
      <c r="G685" s="185" t="s">
        <v>3087</v>
      </c>
      <c r="H685" s="185" t="s">
        <v>932</v>
      </c>
      <c r="I685" s="210">
        <v>10.0</v>
      </c>
      <c r="J685" s="185" t="s">
        <v>1496</v>
      </c>
      <c r="K685" s="185">
        <v>302.0</v>
      </c>
      <c r="L685" s="185" t="s">
        <v>1526</v>
      </c>
      <c r="M685" s="211" t="s">
        <v>1527</v>
      </c>
      <c r="N685" s="1"/>
    </row>
    <row r="686" ht="39.0" hidden="1" customHeight="1">
      <c r="A686" s="1"/>
      <c r="B686" s="232">
        <f t="shared" si="4"/>
        <v>680</v>
      </c>
      <c r="C686" s="181">
        <v>43539.0</v>
      </c>
      <c r="D686" s="182">
        <f t="shared" si="6"/>
        <v>2019</v>
      </c>
      <c r="E686" s="212" t="str">
        <f>hyperlink("https://www.amazon.com/Eat-Pray-Love-Everything-Indonesia/dp/0143038419/ref=sr_1_1?crid=1YB7J7HXXXP5D&amp;keywords=eat+pray+love&amp;qid=1575245525&amp;s=books&amp;sprefix=eat+pray+love%2Cstripbooks%2C195&amp;sr=1-1","Eat, Pray, Love")</f>
        <v>Eat, Pray, Love</v>
      </c>
      <c r="F686" s="185" t="s">
        <v>3088</v>
      </c>
      <c r="G686" s="185" t="s">
        <v>3089</v>
      </c>
      <c r="H686" s="185" t="s">
        <v>932</v>
      </c>
      <c r="I686" s="210">
        <v>10.0</v>
      </c>
      <c r="J686" s="185" t="s">
        <v>1509</v>
      </c>
      <c r="K686" s="185">
        <v>387.0</v>
      </c>
      <c r="L686" s="185" t="s">
        <v>1574</v>
      </c>
      <c r="M686" s="211" t="s">
        <v>804</v>
      </c>
      <c r="N686" s="1"/>
    </row>
    <row r="687" ht="39.0" hidden="1" customHeight="1">
      <c r="A687" s="1"/>
      <c r="B687" s="232">
        <f t="shared" si="4"/>
        <v>681</v>
      </c>
      <c r="C687" s="181">
        <v>43497.0</v>
      </c>
      <c r="D687" s="182">
        <f t="shared" si="6"/>
        <v>2019</v>
      </c>
      <c r="E687" s="212" t="str">
        <f>hyperlink("https://www.amazon.com/Writing-Memoir-Craft-Stephen-King-ebook/dp/B000FC0SIM/ref=sr_1_2?crid=22480I9PRY621&amp;keywords=on+writing+stephen+king&amp;qid=1575246281&amp;s=digital-text&amp;sprefix=on+writing%2Cdigital-text%2C205&amp;sr=1-2","On Writing: A Memoir of the Craft")</f>
        <v>On Writing: A Memoir of the Craft</v>
      </c>
      <c r="F687" s="185" t="s">
        <v>3090</v>
      </c>
      <c r="G687" s="185" t="s">
        <v>3091</v>
      </c>
      <c r="H687" s="185" t="s">
        <v>932</v>
      </c>
      <c r="I687" s="210">
        <v>10.0</v>
      </c>
      <c r="J687" s="185" t="s">
        <v>1496</v>
      </c>
      <c r="K687" s="185">
        <v>320.0</v>
      </c>
      <c r="L687" s="185" t="s">
        <v>1526</v>
      </c>
      <c r="M687" s="227" t="s">
        <v>1527</v>
      </c>
      <c r="N687" s="1"/>
    </row>
    <row r="688" ht="39.0" hidden="1" customHeight="1">
      <c r="A688" s="1"/>
      <c r="B688" s="232">
        <f t="shared" si="4"/>
        <v>682</v>
      </c>
      <c r="C688" s="181">
        <v>43843.0</v>
      </c>
      <c r="D688" s="182">
        <f t="shared" si="6"/>
        <v>2020</v>
      </c>
      <c r="E688" s="212" t="str">
        <f>hyperlink("https://www.amazon.com/Deep-Listening-Impact-Beyond-Words-ebook/dp/B074WGNY4M/ref=sr_1_3?keywords=deep+listening&amp;qid=1579069685&amp;sr=8-3","Deep Listening: Impact Beyond Words")
</f>
        <v>Deep Listening: Impact Beyond Words</v>
      </c>
      <c r="F688" s="185" t="s">
        <v>3092</v>
      </c>
      <c r="G688" s="185" t="s">
        <v>3093</v>
      </c>
      <c r="H688" s="185" t="s">
        <v>932</v>
      </c>
      <c r="I688" s="210">
        <v>10.0</v>
      </c>
      <c r="J688" s="185" t="s">
        <v>1496</v>
      </c>
      <c r="K688" s="185">
        <v>119.0</v>
      </c>
      <c r="L688" s="185" t="s">
        <v>1526</v>
      </c>
      <c r="M688" s="212" t="str">
        <f>HYPERLINK("https://www.notion.so/raybould/Deep-Listening-by-Oscar-Trimboli-B-Jan-13-2019-37ae52757a1e4559aa4d0aefc4d71dfa","YES")</f>
        <v>YES</v>
      </c>
      <c r="N688" s="1"/>
    </row>
    <row r="689" ht="39.0" hidden="1" customHeight="1">
      <c r="A689" s="1"/>
      <c r="B689" s="232">
        <f t="shared" si="4"/>
        <v>683</v>
      </c>
      <c r="C689" s="181">
        <v>43843.0</v>
      </c>
      <c r="D689" s="182">
        <f t="shared" si="6"/>
        <v>2020</v>
      </c>
      <c r="E689" s="212" t="str">
        <f>hyperlink("https://www.amazon.com/Power-Listening-Mastering-Critical-Business-ebook/dp/B005GSYY2G/ref=sr_1_1?keywords=power+listening&amp;qid=1579070150&amp;sr=8-1","Power Listening: Mastering the Most Critical Business Skill of All")</f>
        <v>Power Listening: Mastering the Most Critical Business Skill of All</v>
      </c>
      <c r="F689" s="185" t="s">
        <v>3094</v>
      </c>
      <c r="G689" s="185" t="s">
        <v>3095</v>
      </c>
      <c r="H689" s="185" t="s">
        <v>932</v>
      </c>
      <c r="I689" s="210">
        <v>10.0</v>
      </c>
      <c r="J689" s="185" t="s">
        <v>1496</v>
      </c>
      <c r="K689" s="185">
        <v>203.0</v>
      </c>
      <c r="L689" s="185" t="s">
        <v>1526</v>
      </c>
      <c r="M689" s="212" t="str">
        <f>HYPERLINK("https://www.notion.so/raybould/Power-Listening-by-Bernard-Ferrari-B-Jan-13-2020-47f91a1bb118475984cb46db4d37b402","YES")</f>
        <v>YES</v>
      </c>
      <c r="N689" s="1"/>
    </row>
    <row r="690" ht="39.0" hidden="1" customHeight="1">
      <c r="A690" s="1"/>
      <c r="B690" s="232">
        <f t="shared" si="4"/>
        <v>684</v>
      </c>
      <c r="C690" s="181">
        <v>44408.0</v>
      </c>
      <c r="D690" s="182">
        <f t="shared" si="6"/>
        <v>2021</v>
      </c>
      <c r="E690" s="237" t="s">
        <v>3096</v>
      </c>
      <c r="F690" s="185" t="s">
        <v>3097</v>
      </c>
      <c r="G690" s="185" t="s">
        <v>3098</v>
      </c>
      <c r="H690" s="185" t="s">
        <v>932</v>
      </c>
      <c r="I690" s="210">
        <v>10.0</v>
      </c>
      <c r="J690" s="185" t="s">
        <v>1522</v>
      </c>
      <c r="K690" s="185">
        <v>334.0</v>
      </c>
      <c r="L690" s="185" t="s">
        <v>1526</v>
      </c>
      <c r="M690" s="227" t="s">
        <v>1527</v>
      </c>
      <c r="N690" s="1"/>
    </row>
    <row r="691" ht="39.0" hidden="1" customHeight="1">
      <c r="A691" s="1"/>
      <c r="B691" s="232">
        <f t="shared" si="4"/>
        <v>685</v>
      </c>
      <c r="C691" s="181">
        <v>44551.0</v>
      </c>
      <c r="D691" s="182">
        <f t="shared" si="6"/>
        <v>2021</v>
      </c>
      <c r="E691" s="237" t="str">
        <f>hyperlink("https://smile.amazon.com/Cold-Water-Mike-Humphreys-ebook/dp/B079J3VBQC/ref=sr_1_2?crid=1WLRVKGM80BEU&amp;keywords=in+cold+water&amp;qid=1644698730&amp;sprefix=in+cold+water%2Caps%2C125&amp;sr=8-2","In Cold Water")</f>
        <v>In Cold Water</v>
      </c>
      <c r="F691" s="185" t="s">
        <v>3099</v>
      </c>
      <c r="G691" s="185" t="s">
        <v>3100</v>
      </c>
      <c r="H691" s="185" t="s">
        <v>932</v>
      </c>
      <c r="I691" s="210">
        <v>10.0</v>
      </c>
      <c r="J691" s="185" t="s">
        <v>1502</v>
      </c>
      <c r="K691" s="185">
        <v>294.0</v>
      </c>
      <c r="L691" s="185" t="s">
        <v>1526</v>
      </c>
      <c r="M691" s="228" t="s">
        <v>1527</v>
      </c>
      <c r="N691" s="1"/>
    </row>
    <row r="692" ht="39.0" hidden="1" customHeight="1">
      <c r="A692" s="1"/>
      <c r="B692" s="232">
        <f t="shared" si="4"/>
        <v>686</v>
      </c>
      <c r="C692" s="181">
        <v>44604.0</v>
      </c>
      <c r="D692" s="182">
        <f t="shared" si="6"/>
        <v>2022</v>
      </c>
      <c r="E692" s="237" t="str">
        <f>hyperlink("https://smile.amazon.com/Man-Ocean-Journey-Worlds-Toughest-ebook/dp/B01N6GL516/ref=sr_1_1?crid=304OFTMN7B2U1&amp;keywords=man+vs+ocean&amp;qid=1644697459&amp;s=digital-text&amp;sprefix=man+vs+ocean%2Cdigital-text%2C119&amp;sr=1-1","Man vs Ocean: One Man's Journey to Swim The World's Touchest Oceans")</f>
        <v>Man vs Ocean: One Man's Journey to Swim The World's Touchest Oceans</v>
      </c>
      <c r="F692" s="185" t="s">
        <v>3101</v>
      </c>
      <c r="G692" s="185" t="s">
        <v>3102</v>
      </c>
      <c r="H692" s="185" t="s">
        <v>932</v>
      </c>
      <c r="I692" s="210">
        <v>10.0</v>
      </c>
      <c r="J692" s="185" t="s">
        <v>1496</v>
      </c>
      <c r="K692" s="185">
        <v>297.0</v>
      </c>
      <c r="L692" s="185" t="s">
        <v>1526</v>
      </c>
      <c r="M692" s="228" t="s">
        <v>1527</v>
      </c>
      <c r="N692" s="1"/>
    </row>
    <row r="693" ht="39.0" hidden="1" customHeight="1">
      <c r="A693" s="1"/>
      <c r="B693" s="232">
        <f t="shared" si="4"/>
        <v>687</v>
      </c>
      <c r="C693" s="181">
        <v>44667.0</v>
      </c>
      <c r="D693" s="182">
        <f t="shared" si="6"/>
        <v>2022</v>
      </c>
      <c r="E693" s="237" t="str">
        <f>hyperlink("https://www.amazon.com/Fountainhead-Ayn-Rand-ebook/dp/B09XXYNDXQ/ref=sr_1_1?crid=2EKZRHUYIP2DN&amp;keywords=the+fountainhead&amp;qid=1650993092&amp;sprefix=the+fount%2Caps%2C498&amp;sr=8-1","Fountainhead, The")</f>
        <v>Fountainhead, The</v>
      </c>
      <c r="F693" s="185" t="s">
        <v>3103</v>
      </c>
      <c r="G693" s="185" t="s">
        <v>3104</v>
      </c>
      <c r="H693" s="185" t="s">
        <v>932</v>
      </c>
      <c r="I693" s="210">
        <v>10.0</v>
      </c>
      <c r="J693" s="185" t="s">
        <v>1509</v>
      </c>
      <c r="K693" s="185">
        <v>720.0</v>
      </c>
      <c r="L693" s="185" t="s">
        <v>1526</v>
      </c>
      <c r="M693" s="228" t="s">
        <v>1527</v>
      </c>
      <c r="N693" s="1"/>
    </row>
    <row r="694" ht="39.0" hidden="1" customHeight="1">
      <c r="A694" s="1"/>
      <c r="B694" s="232">
        <f t="shared" si="4"/>
        <v>688</v>
      </c>
      <c r="C694" s="181">
        <v>44683.0</v>
      </c>
      <c r="D694" s="182">
        <f t="shared" si="6"/>
        <v>2022</v>
      </c>
      <c r="E694" s="237" t="str">
        <f>hyperlink("https://www.amazon.com/Hundred-Solitude-Harper-Perennial-Classics/dp/0060883286/ref=sr_1_1?keywords=100+years+of+solitude+by+gabriel+garcia+marquez&amp;qid=1651592157&amp;sprefix=100+years+of+%2Caps%2C190&amp;sr=8-1","100 Years of Solitude")</f>
        <v>100 Years of Solitude</v>
      </c>
      <c r="F694" s="185" t="s">
        <v>3105</v>
      </c>
      <c r="G694" s="185" t="s">
        <v>3106</v>
      </c>
      <c r="H694" s="185" t="s">
        <v>932</v>
      </c>
      <c r="I694" s="210">
        <v>10.0</v>
      </c>
      <c r="J694" s="185" t="s">
        <v>1509</v>
      </c>
      <c r="K694" s="185">
        <v>417.0</v>
      </c>
      <c r="L694" s="185" t="s">
        <v>1497</v>
      </c>
      <c r="M694" s="211" t="s">
        <v>1498</v>
      </c>
      <c r="N694" s="1"/>
    </row>
    <row r="695" ht="39.0" hidden="1" customHeight="1">
      <c r="A695" s="1"/>
      <c r="B695" s="232">
        <f t="shared" si="4"/>
        <v>689</v>
      </c>
      <c r="C695" s="181">
        <v>44760.0</v>
      </c>
      <c r="D695" s="182">
        <f t="shared" si="6"/>
        <v>2022</v>
      </c>
      <c r="E695" s="237" t="str">
        <f>hyperlink("https://www.amazon.com/Where-Crawdads-Sing-Delia-Owens-ebook/dp/B078GD3DRG/ref=tmm_kin_swatch_0?_encoding=UTF8&amp;qid=1672288154&amp;sr=8-1","Where the Crawdads Sing")</f>
        <v>Where the Crawdads Sing</v>
      </c>
      <c r="F695" s="185" t="s">
        <v>3107</v>
      </c>
      <c r="G695" s="185" t="s">
        <v>3108</v>
      </c>
      <c r="H695" s="185" t="s">
        <v>932</v>
      </c>
      <c r="I695" s="210">
        <v>10.0</v>
      </c>
      <c r="J695" s="185" t="s">
        <v>1509</v>
      </c>
      <c r="K695" s="185">
        <v>379.0</v>
      </c>
      <c r="L695" s="185" t="s">
        <v>1526</v>
      </c>
      <c r="M695" s="227" t="s">
        <v>1527</v>
      </c>
      <c r="N695" s="1"/>
    </row>
    <row r="696" ht="39.0" hidden="1" customHeight="1">
      <c r="A696" s="1"/>
      <c r="B696" s="232">
        <f t="shared" si="4"/>
        <v>690</v>
      </c>
      <c r="C696" s="181">
        <v>44959.0</v>
      </c>
      <c r="D696" s="182">
        <f t="shared" si="6"/>
        <v>2023</v>
      </c>
      <c r="E696" s="237" t="str">
        <f>hyperlink("https://www.amazon.com/Turning-Pro-Steven-Pressfield-ebook/dp/B0087TUM54/ref=sr_1_1?crid=3H1I58B2S34KK&amp;keywords=turning+pro+steven+pressfield&amp;qid=1675992628&amp;s=digital-text&amp;sprefix=turning+pro%2Cdigital-text%2C174&amp;sr=1-1","Turning Pro")</f>
        <v>Turning Pro</v>
      </c>
      <c r="F696" s="185" t="s">
        <v>2622</v>
      </c>
      <c r="G696" s="185" t="s">
        <v>3109</v>
      </c>
      <c r="H696" s="185" t="s">
        <v>932</v>
      </c>
      <c r="I696" s="210">
        <v>10.0</v>
      </c>
      <c r="J696" s="185" t="s">
        <v>1522</v>
      </c>
      <c r="K696" s="185">
        <v>146.0</v>
      </c>
      <c r="L696" s="185" t="s">
        <v>1526</v>
      </c>
      <c r="M696" s="227" t="s">
        <v>1527</v>
      </c>
      <c r="N696" s="1"/>
    </row>
    <row r="697" ht="39.0" hidden="1" customHeight="1">
      <c r="A697" s="1"/>
      <c r="B697" s="232">
        <f t="shared" si="4"/>
        <v>691</v>
      </c>
      <c r="C697" s="181">
        <v>45001.0</v>
      </c>
      <c r="D697" s="182">
        <f t="shared" si="6"/>
        <v>2023</v>
      </c>
      <c r="E697" s="237" t="str">
        <f>hyperlink("https://www.amazon.com/Friends-Lovers-Big-Terrible-Thing-ebook/dp/B09M1RPWWL/ref=sr_1_1?keywords=friends+lovers+and+the+big+terrible+thing&amp;qid=1687062483&amp;s=digital-text&amp;sprefix=friends%2Cdigital-text%2C172&amp;sr=1-1","Friends, Lovers, and The Big Terrible Thing: A Memoir")</f>
        <v>Friends, Lovers, and The Big Terrible Thing: A Memoir</v>
      </c>
      <c r="F697" s="185" t="s">
        <v>3110</v>
      </c>
      <c r="G697" s="185" t="s">
        <v>3111</v>
      </c>
      <c r="H697" s="185" t="s">
        <v>932</v>
      </c>
      <c r="I697" s="210">
        <v>10.0</v>
      </c>
      <c r="J697" s="185" t="s">
        <v>1496</v>
      </c>
      <c r="K697" s="185">
        <v>236.0</v>
      </c>
      <c r="L697" s="185" t="s">
        <v>1574</v>
      </c>
      <c r="M697" s="211" t="s">
        <v>1498</v>
      </c>
      <c r="N697" s="1"/>
    </row>
    <row r="698" ht="39.0" hidden="1" customHeight="1">
      <c r="A698" s="1"/>
      <c r="B698" s="232">
        <f t="shared" si="4"/>
        <v>692</v>
      </c>
      <c r="C698" s="181">
        <v>45143.0</v>
      </c>
      <c r="D698" s="182">
        <f t="shared" si="6"/>
        <v>2023</v>
      </c>
      <c r="E698" s="237" t="str">
        <f>hyperlink("https://www.amazon.com/Getting-Neutral-Conquer-Negativity-Chaotic-ebook/dp/B093H4VDXZ/ref=sr_1_1?crid=RJ8XCEAMGXYR&amp;keywords=getting+to+neutral+trevor+moawad&amp;qid=1691469080&amp;sprefix=getting+to+neutra%2Caps%2C325&amp;sr=8-1","Getting to Neutral: How to Conquer Negativity and Thrive in a Chaotic World")</f>
        <v>Getting to Neutral: How to Conquer Negativity and Thrive in a Chaotic World</v>
      </c>
      <c r="F698" s="185" t="s">
        <v>2352</v>
      </c>
      <c r="G698" s="185" t="s">
        <v>3112</v>
      </c>
      <c r="H698" s="185" t="s">
        <v>932</v>
      </c>
      <c r="I698" s="210">
        <v>10.0</v>
      </c>
      <c r="J698" s="185" t="s">
        <v>1496</v>
      </c>
      <c r="K698" s="185">
        <v>256.0</v>
      </c>
      <c r="L698" s="185" t="s">
        <v>1526</v>
      </c>
      <c r="M698" s="227" t="s">
        <v>1527</v>
      </c>
      <c r="N698" s="1"/>
    </row>
    <row r="699" ht="39.0" hidden="1" customHeight="1">
      <c r="A699" s="1"/>
      <c r="B699" s="232">
        <f t="shared" si="4"/>
        <v>693</v>
      </c>
      <c r="C699" s="181">
        <v>45206.0</v>
      </c>
      <c r="D699" s="182">
        <f t="shared" si="6"/>
        <v>2023</v>
      </c>
      <c r="E699" s="237" t="str">
        <f>hyperlink("https://a.co/d/e5jICAA","Going Infinite: The Rise and Fall of a New Tycoon")</f>
        <v>Going Infinite: The Rise and Fall of a New Tycoon</v>
      </c>
      <c r="F699" s="185" t="s">
        <v>1767</v>
      </c>
      <c r="G699" s="185" t="s">
        <v>3113</v>
      </c>
      <c r="H699" s="185" t="s">
        <v>932</v>
      </c>
      <c r="I699" s="210">
        <v>10.0</v>
      </c>
      <c r="J699" s="185" t="s">
        <v>1522</v>
      </c>
      <c r="K699" s="185">
        <v>288.0</v>
      </c>
      <c r="L699" s="185" t="s">
        <v>1526</v>
      </c>
      <c r="M699" s="227" t="s">
        <v>1527</v>
      </c>
      <c r="N699" s="1"/>
    </row>
    <row r="700" ht="39.0" hidden="1" customHeight="1">
      <c r="A700" s="1"/>
      <c r="B700" s="232">
        <f t="shared" si="4"/>
        <v>694</v>
      </c>
      <c r="C700" s="181">
        <v>45365.0</v>
      </c>
      <c r="D700" s="182">
        <f t="shared" si="6"/>
        <v>2024</v>
      </c>
      <c r="E700" s="237" t="str">
        <f>hyperlink("https://a.co/d/eBI0fHC","Burn Book: A Tech Love Story")</f>
        <v>Burn Book: A Tech Love Story</v>
      </c>
      <c r="F700" s="185" t="s">
        <v>3114</v>
      </c>
      <c r="G700" s="185" t="s">
        <v>3115</v>
      </c>
      <c r="H700" s="185" t="s">
        <v>932</v>
      </c>
      <c r="I700" s="210">
        <v>10.0</v>
      </c>
      <c r="J700" s="185" t="s">
        <v>1522</v>
      </c>
      <c r="K700" s="185">
        <v>309.0</v>
      </c>
      <c r="L700" s="185" t="s">
        <v>1526</v>
      </c>
      <c r="M700" s="227" t="s">
        <v>1527</v>
      </c>
      <c r="N700" s="1"/>
    </row>
    <row r="701" ht="39.0" customHeight="1">
      <c r="A701" s="1"/>
      <c r="B701" s="232">
        <f t="shared" si="4"/>
        <v>695</v>
      </c>
      <c r="C701" s="181">
        <v>45915.0</v>
      </c>
      <c r="D701" s="182">
        <f t="shared" si="6"/>
        <v>2025</v>
      </c>
      <c r="E701" s="237" t="str">
        <f>hyperlink("https://a.co/d/c7Fhh3h","All Fours")</f>
        <v>All Fours</v>
      </c>
      <c r="F701" s="185" t="s">
        <v>3116</v>
      </c>
      <c r="G701" s="185" t="s">
        <v>3117</v>
      </c>
      <c r="H701" s="185" t="s">
        <v>932</v>
      </c>
      <c r="I701" s="210">
        <v>10.0</v>
      </c>
      <c r="J701" s="185" t="s">
        <v>1509</v>
      </c>
      <c r="K701" s="185">
        <v>333.0</v>
      </c>
      <c r="L701" s="185" t="s">
        <v>1526</v>
      </c>
      <c r="M701" s="241" t="s">
        <v>3118</v>
      </c>
      <c r="N701" s="1"/>
    </row>
    <row r="702" ht="39.0" hidden="1" customHeight="1">
      <c r="A702" s="1"/>
      <c r="B702" s="232">
        <f t="shared" si="4"/>
        <v>696</v>
      </c>
      <c r="C702" s="181">
        <v>38552.0</v>
      </c>
      <c r="D702" s="182">
        <f t="shared" si="6"/>
        <v>2005</v>
      </c>
      <c r="E702" s="203" t="s">
        <v>3119</v>
      </c>
      <c r="F702" s="184" t="s">
        <v>3120</v>
      </c>
      <c r="G702" s="184" t="s">
        <v>3121</v>
      </c>
      <c r="H702" s="184" t="s">
        <v>1229</v>
      </c>
      <c r="I702" s="28">
        <v>9.0</v>
      </c>
      <c r="J702" s="184" t="s">
        <v>1522</v>
      </c>
      <c r="K702" s="218"/>
      <c r="L702" s="184" t="s">
        <v>1497</v>
      </c>
      <c r="M702" s="186" t="s">
        <v>1498</v>
      </c>
      <c r="N702" s="1"/>
    </row>
    <row r="703" ht="24.75" hidden="1" customHeight="1">
      <c r="A703" s="1"/>
      <c r="B703" s="232">
        <f t="shared" si="4"/>
        <v>697</v>
      </c>
      <c r="C703" s="181">
        <v>38592.0</v>
      </c>
      <c r="D703" s="182">
        <f t="shared" si="6"/>
        <v>2005</v>
      </c>
      <c r="E703" s="203" t="s">
        <v>3122</v>
      </c>
      <c r="F703" s="184" t="s">
        <v>3123</v>
      </c>
      <c r="G703" s="185" t="s">
        <v>3124</v>
      </c>
      <c r="H703" s="184" t="s">
        <v>1229</v>
      </c>
      <c r="I703" s="28">
        <v>9.0</v>
      </c>
      <c r="J703" s="184" t="s">
        <v>1502</v>
      </c>
      <c r="K703" s="218"/>
      <c r="L703" s="184" t="s">
        <v>1497</v>
      </c>
      <c r="M703" s="186" t="s">
        <v>804</v>
      </c>
      <c r="N703" s="1"/>
    </row>
    <row r="704" ht="25.5" hidden="1" customHeight="1">
      <c r="A704" s="1"/>
      <c r="B704" s="232">
        <f t="shared" si="4"/>
        <v>698</v>
      </c>
      <c r="C704" s="181">
        <v>39172.0</v>
      </c>
      <c r="D704" s="182">
        <f t="shared" si="6"/>
        <v>2007</v>
      </c>
      <c r="E704" s="203" t="s">
        <v>3125</v>
      </c>
      <c r="F704" s="184" t="s">
        <v>3126</v>
      </c>
      <c r="G704" s="184" t="s">
        <v>3127</v>
      </c>
      <c r="H704" s="184" t="s">
        <v>1229</v>
      </c>
      <c r="I704" s="28">
        <v>9.0</v>
      </c>
      <c r="J704" s="184" t="s">
        <v>1502</v>
      </c>
      <c r="K704" s="218"/>
      <c r="L704" s="184" t="s">
        <v>1497</v>
      </c>
      <c r="M704" s="186" t="s">
        <v>804</v>
      </c>
      <c r="N704" s="1"/>
    </row>
    <row r="705" ht="65.25" hidden="1" customHeight="1">
      <c r="A705" s="1"/>
      <c r="B705" s="232">
        <f t="shared" si="4"/>
        <v>699</v>
      </c>
      <c r="C705" s="181">
        <v>39439.0</v>
      </c>
      <c r="D705" s="182">
        <f t="shared" si="6"/>
        <v>2007</v>
      </c>
      <c r="E705" s="203" t="s">
        <v>3128</v>
      </c>
      <c r="F705" s="184" t="s">
        <v>3129</v>
      </c>
      <c r="G705" s="185" t="s">
        <v>3130</v>
      </c>
      <c r="H705" s="184" t="s">
        <v>1229</v>
      </c>
      <c r="I705" s="28">
        <v>9.0</v>
      </c>
      <c r="J705" s="184" t="s">
        <v>1496</v>
      </c>
      <c r="K705" s="218"/>
      <c r="L705" s="184" t="s">
        <v>1497</v>
      </c>
      <c r="M705" s="186" t="s">
        <v>1498</v>
      </c>
      <c r="N705" s="1"/>
    </row>
    <row r="706" ht="42.75" hidden="1" customHeight="1">
      <c r="A706" s="1"/>
      <c r="B706" s="232">
        <f t="shared" si="4"/>
        <v>700</v>
      </c>
      <c r="C706" s="181">
        <v>39557.0</v>
      </c>
      <c r="D706" s="182">
        <f t="shared" si="6"/>
        <v>2008</v>
      </c>
      <c r="E706" s="203" t="s">
        <v>3131</v>
      </c>
      <c r="F706" s="184" t="s">
        <v>3132</v>
      </c>
      <c r="G706" s="184" t="s">
        <v>3133</v>
      </c>
      <c r="H706" s="184" t="s">
        <v>1229</v>
      </c>
      <c r="I706" s="28">
        <v>9.0</v>
      </c>
      <c r="J706" s="184" t="s">
        <v>1509</v>
      </c>
      <c r="K706" s="184">
        <v>273.0</v>
      </c>
      <c r="L706" s="184" t="s">
        <v>1497</v>
      </c>
      <c r="M706" s="186" t="s">
        <v>804</v>
      </c>
      <c r="N706" s="1"/>
    </row>
    <row r="707" ht="65.25" hidden="1" customHeight="1">
      <c r="A707" s="1"/>
      <c r="B707" s="232">
        <f t="shared" si="4"/>
        <v>701</v>
      </c>
      <c r="C707" s="181">
        <v>40059.0</v>
      </c>
      <c r="D707" s="182">
        <f t="shared" si="6"/>
        <v>2009</v>
      </c>
      <c r="E707" s="203" t="s">
        <v>3134</v>
      </c>
      <c r="F707" s="184" t="s">
        <v>3135</v>
      </c>
      <c r="G707" s="184" t="s">
        <v>3136</v>
      </c>
      <c r="H707" s="184" t="s">
        <v>1229</v>
      </c>
      <c r="I707" s="28">
        <v>9.0</v>
      </c>
      <c r="J707" s="184" t="s">
        <v>1496</v>
      </c>
      <c r="K707" s="184">
        <v>248.0</v>
      </c>
      <c r="L707" s="184" t="s">
        <v>1497</v>
      </c>
      <c r="M707" s="186" t="s">
        <v>1498</v>
      </c>
      <c r="N707" s="1"/>
    </row>
    <row r="708" ht="24.75" hidden="1" customHeight="1">
      <c r="A708" s="1"/>
      <c r="B708" s="232">
        <f t="shared" si="4"/>
        <v>702</v>
      </c>
      <c r="C708" s="181">
        <v>43022.0</v>
      </c>
      <c r="D708" s="182">
        <f t="shared" si="6"/>
        <v>2017</v>
      </c>
      <c r="E708" s="183" t="str">
        <f>hyperlink("https://www.amazon.com/But-Seriously-John-McEnroe-ebook/dp/B00K5UNZIY/ref=sr_1_1?s=digital-text&amp;ie=UTF8&amp;qid=1514759292&amp;sr=1-1&amp;keywords=but+seriously","But Seriously")</f>
        <v>But Seriously</v>
      </c>
      <c r="F708" s="185" t="s">
        <v>2998</v>
      </c>
      <c r="G708" s="185" t="s">
        <v>3137</v>
      </c>
      <c r="H708" s="185" t="s">
        <v>1229</v>
      </c>
      <c r="I708" s="210">
        <v>9.0</v>
      </c>
      <c r="J708" s="185" t="s">
        <v>1496</v>
      </c>
      <c r="K708" s="185">
        <v>289.0</v>
      </c>
      <c r="L708" s="185" t="s">
        <v>1574</v>
      </c>
      <c r="M708" s="211" t="s">
        <v>804</v>
      </c>
      <c r="N708" s="1"/>
    </row>
    <row r="709" ht="24.75" hidden="1" customHeight="1">
      <c r="A709" s="1"/>
      <c r="B709" s="232">
        <f t="shared" si="4"/>
        <v>703</v>
      </c>
      <c r="C709" s="181">
        <v>43424.0</v>
      </c>
      <c r="D709" s="182">
        <f t="shared" si="6"/>
        <v>2018</v>
      </c>
      <c r="E709" s="183" t="str">
        <f>hyperlink("https://www.amazon.com/More-Power-Grobler-successful-Olympic-ebook/dp/B01N4C4H84/ref=sr_1_sc_1?s=digital-text&amp;ie=UTF8&amp;qid=1546907849&amp;sr=1-1-spell&amp;keywords=more+power+jurgent","More Power: The Story of Jurgen Grobler: The most successful Olympic coach of all time")</f>
        <v>More Power: The Story of Jurgen Grobler: The most successful Olympic coach of all time</v>
      </c>
      <c r="F709" s="185" t="s">
        <v>3138</v>
      </c>
      <c r="G709" s="185" t="s">
        <v>3139</v>
      </c>
      <c r="H709" s="185" t="s">
        <v>1229</v>
      </c>
      <c r="I709" s="210">
        <v>9.0</v>
      </c>
      <c r="J709" s="185" t="s">
        <v>1502</v>
      </c>
      <c r="K709" s="185">
        <v>384.0</v>
      </c>
      <c r="L709" s="185" t="s">
        <v>1574</v>
      </c>
      <c r="M709" s="211" t="s">
        <v>804</v>
      </c>
      <c r="N709" s="1"/>
    </row>
    <row r="710" ht="24.75" hidden="1" customHeight="1">
      <c r="A710" s="1"/>
      <c r="B710" s="232">
        <f t="shared" si="4"/>
        <v>704</v>
      </c>
      <c r="C710" s="181">
        <v>44295.0</v>
      </c>
      <c r="D710" s="182">
        <f t="shared" si="6"/>
        <v>2021</v>
      </c>
      <c r="E710" s="183" t="str">
        <f>hyperlink("https://www.amazon.com/The-Gentleman-from-Peru/dp/B086XK1Q1W/ref=sr_1_1?crid=20AFI334F0UPT&amp;dchild=1&amp;keywords=the+gentleman+from+peru+by+andre+aciman&amp;qid=1618200188&amp;sprefix=the+gentleman+from+peru%2Caps%2C324&amp;sr=8-1","The Gentleman from Peru")</f>
        <v>The Gentleman from Peru</v>
      </c>
      <c r="F710" s="185" t="s">
        <v>3140</v>
      </c>
      <c r="G710" s="185" t="s">
        <v>3141</v>
      </c>
      <c r="H710" s="185" t="s">
        <v>1229</v>
      </c>
      <c r="I710" s="210">
        <v>9.0</v>
      </c>
      <c r="J710" s="185" t="s">
        <v>1509</v>
      </c>
      <c r="K710" s="185">
        <v>150.0</v>
      </c>
      <c r="L710" s="185" t="s">
        <v>1574</v>
      </c>
      <c r="M710" s="211" t="s">
        <v>804</v>
      </c>
      <c r="N710" s="1"/>
    </row>
    <row r="711" ht="24.75" hidden="1" customHeight="1">
      <c r="A711" s="1"/>
      <c r="B711" s="232">
        <f t="shared" si="4"/>
        <v>705</v>
      </c>
      <c r="C711" s="181">
        <v>44311.0</v>
      </c>
      <c r="D711" s="182">
        <f t="shared" si="6"/>
        <v>2021</v>
      </c>
      <c r="E711" s="240" t="s">
        <v>3142</v>
      </c>
      <c r="F711" s="185" t="s">
        <v>3143</v>
      </c>
      <c r="G711" s="185" t="s">
        <v>3144</v>
      </c>
      <c r="H711" s="185" t="s">
        <v>1229</v>
      </c>
      <c r="I711" s="210">
        <v>9.0</v>
      </c>
      <c r="J711" s="185" t="s">
        <v>1496</v>
      </c>
      <c r="K711" s="185">
        <v>288.0</v>
      </c>
      <c r="L711" s="185" t="s">
        <v>1526</v>
      </c>
      <c r="M711" s="211" t="s">
        <v>1527</v>
      </c>
      <c r="N711" s="1"/>
    </row>
    <row r="712" ht="24.75" hidden="1" customHeight="1">
      <c r="A712" s="1"/>
      <c r="B712" s="232">
        <f t="shared" si="4"/>
        <v>706</v>
      </c>
      <c r="C712" s="181">
        <v>44566.0</v>
      </c>
      <c r="D712" s="182">
        <f t="shared" si="6"/>
        <v>2022</v>
      </c>
      <c r="E712" s="183" t="str">
        <f>hyperlink("https://smile.amazon.com/Each-Stroke-Endless-Blue-ebook/dp/B012UINR04/ref=sr_1_1?crid=16QB45WJ7RKOB&amp;keywords=with+each+stroke&amp;qid=1644697770&amp;s=digital-text&amp;sprefix=with+each+stroke%2Cdigital-text%2C144&amp;sr=1-1","With Each Stroke: The Endless Blue")</f>
        <v>With Each Stroke: The Endless Blue</v>
      </c>
      <c r="F712" s="185" t="s">
        <v>3145</v>
      </c>
      <c r="G712" s="185" t="s">
        <v>3146</v>
      </c>
      <c r="H712" s="185" t="s">
        <v>1229</v>
      </c>
      <c r="I712" s="210">
        <v>9.0</v>
      </c>
      <c r="J712" s="185" t="s">
        <v>1502</v>
      </c>
      <c r="K712" s="185">
        <v>230.0</v>
      </c>
      <c r="L712" s="185" t="s">
        <v>1526</v>
      </c>
      <c r="M712" s="228" t="s">
        <v>1527</v>
      </c>
      <c r="N712" s="1"/>
    </row>
    <row r="713" ht="24.75" hidden="1" customHeight="1">
      <c r="A713" s="1"/>
      <c r="B713" s="232">
        <f t="shared" si="4"/>
        <v>707</v>
      </c>
      <c r="C713" s="181">
        <v>44915.0</v>
      </c>
      <c r="D713" s="182">
        <f t="shared" si="6"/>
        <v>2022</v>
      </c>
      <c r="E713" s="183" t="str">
        <f>hyperlink("https://www.amazon.com/Poor-Charlies-Almanack-Charles-Expanded-ebook/dp/B0B551VC8M/ref=sr_1_1?crid=LIYMFD36W4W9&amp;keywords=poor+charlie%27s+almanack&amp;qid=1672293447&amp;s=digital-text&amp;sprefix=charlie%27s+alm%2Cdigital-text%2C142&amp;sr=1-1","Poor Charlie's Almanack: The Wit and Wisdom of Charles T. Munger")</f>
        <v>Poor Charlie's Almanack: The Wit and Wisdom of Charles T. Munger</v>
      </c>
      <c r="F713" s="185" t="s">
        <v>3147</v>
      </c>
      <c r="G713" s="185" t="s">
        <v>3148</v>
      </c>
      <c r="H713" s="185" t="s">
        <v>1229</v>
      </c>
      <c r="I713" s="210">
        <v>9.0</v>
      </c>
      <c r="J713" s="185" t="s">
        <v>1522</v>
      </c>
      <c r="K713" s="185">
        <v>505.0</v>
      </c>
      <c r="L713" s="185" t="s">
        <v>1497</v>
      </c>
      <c r="M713" s="238" t="s">
        <v>1498</v>
      </c>
      <c r="N713" s="1"/>
    </row>
    <row r="714" ht="24.75" hidden="1" customHeight="1">
      <c r="A714" s="1"/>
      <c r="B714" s="232">
        <f t="shared" si="4"/>
        <v>708</v>
      </c>
      <c r="C714" s="181">
        <v>44950.0</v>
      </c>
      <c r="D714" s="182">
        <f t="shared" si="6"/>
        <v>2023</v>
      </c>
      <c r="E714" s="183" t="str">
        <f>hyperlink("https://www.amazon.com/Oceans-Seven-cheated-hardest-swimming-ebook/dp/B09HCMBM5K/ref=sr_1_1?crid=252291NG0793D&amp;keywords=oceans+seven+cheated&amp;qid=1675991356&amp;sprefix=oceans+seven+cheated%2Caps%2C152&amp;sr=8-1","Oceans Seven: How I Cheated Death and Broke the Hardest Record in Swimming")</f>
        <v>Oceans Seven: How I Cheated Death and Broke the Hardest Record in Swimming</v>
      </c>
      <c r="F714" s="185" t="s">
        <v>3149</v>
      </c>
      <c r="G714" s="185" t="s">
        <v>3150</v>
      </c>
      <c r="H714" s="185" t="s">
        <v>1229</v>
      </c>
      <c r="I714" s="210">
        <v>9.0</v>
      </c>
      <c r="J714" s="185" t="s">
        <v>1502</v>
      </c>
      <c r="K714" s="185">
        <v>201.0</v>
      </c>
      <c r="L714" s="185" t="s">
        <v>1526</v>
      </c>
      <c r="M714" s="227" t="s">
        <v>1527</v>
      </c>
      <c r="N714" s="1"/>
    </row>
    <row r="715" ht="24.75" hidden="1" customHeight="1">
      <c r="A715" s="1"/>
      <c r="B715" s="232">
        <f t="shared" si="4"/>
        <v>709</v>
      </c>
      <c r="C715" s="181">
        <v>45026.0</v>
      </c>
      <c r="D715" s="182">
        <f t="shared" si="6"/>
        <v>2023</v>
      </c>
      <c r="E715" s="183" t="str">
        <f>hyperlink("https://www.amazon.com/Audible-Breathless/dp/B09J1QLPQB/ref=sr_1_2?crid=1BUVG5HLU5MTQ&amp;keywords=breathless&amp;qid=1683501759&amp;s=audible&amp;sprefix=breathless+%2Caudible%2C132&amp;sr=1-2","Breathless")</f>
        <v>Breathless</v>
      </c>
      <c r="F715" s="185" t="s">
        <v>3151</v>
      </c>
      <c r="G715" s="185" t="s">
        <v>3152</v>
      </c>
      <c r="H715" s="185" t="s">
        <v>1229</v>
      </c>
      <c r="I715" s="210">
        <v>9.0</v>
      </c>
      <c r="J715" s="185" t="s">
        <v>1509</v>
      </c>
      <c r="K715" s="185">
        <v>342.0</v>
      </c>
      <c r="L715" s="185" t="s">
        <v>1497</v>
      </c>
      <c r="M715" s="211" t="s">
        <v>1498</v>
      </c>
      <c r="N715" s="1"/>
    </row>
    <row r="716" ht="24.75" hidden="1" customHeight="1">
      <c r="A716" s="1"/>
      <c r="B716" s="232">
        <f t="shared" si="4"/>
        <v>710</v>
      </c>
      <c r="C716" s="181">
        <v>36729.0</v>
      </c>
      <c r="D716" s="182">
        <f t="shared" si="6"/>
        <v>2000</v>
      </c>
      <c r="E716" s="203" t="s">
        <v>3153</v>
      </c>
      <c r="F716" s="184" t="s">
        <v>3154</v>
      </c>
      <c r="G716" s="184" t="s">
        <v>3155</v>
      </c>
      <c r="H716" s="184" t="s">
        <v>1250</v>
      </c>
      <c r="I716" s="28">
        <v>8.0</v>
      </c>
      <c r="J716" s="184" t="s">
        <v>1502</v>
      </c>
      <c r="K716" s="218"/>
      <c r="L716" s="184" t="s">
        <v>1497</v>
      </c>
      <c r="M716" s="186" t="s">
        <v>804</v>
      </c>
      <c r="N716" s="1"/>
    </row>
    <row r="717" ht="34.5" hidden="1" customHeight="1">
      <c r="A717" s="1"/>
      <c r="B717" s="232">
        <f t="shared" si="4"/>
        <v>711</v>
      </c>
      <c r="C717" s="181">
        <v>38934.0</v>
      </c>
      <c r="D717" s="182">
        <f t="shared" si="6"/>
        <v>2006</v>
      </c>
      <c r="E717" s="203" t="s">
        <v>3156</v>
      </c>
      <c r="F717" s="184" t="s">
        <v>3157</v>
      </c>
      <c r="G717" s="184" t="s">
        <v>3158</v>
      </c>
      <c r="H717" s="184" t="s">
        <v>1250</v>
      </c>
      <c r="I717" s="28">
        <v>8.0</v>
      </c>
      <c r="J717" s="184" t="s">
        <v>1502</v>
      </c>
      <c r="K717" s="218"/>
      <c r="L717" s="184" t="s">
        <v>1497</v>
      </c>
      <c r="M717" s="186" t="s">
        <v>1498</v>
      </c>
      <c r="N717" s="1"/>
    </row>
    <row r="718" ht="38.25" hidden="1" customHeight="1">
      <c r="A718" s="1"/>
      <c r="B718" s="232">
        <f t="shared" si="4"/>
        <v>712</v>
      </c>
      <c r="C718" s="181">
        <v>39046.0</v>
      </c>
      <c r="D718" s="182">
        <f t="shared" si="6"/>
        <v>2006</v>
      </c>
      <c r="E718" s="203" t="s">
        <v>3159</v>
      </c>
      <c r="F718" s="184" t="s">
        <v>3160</v>
      </c>
      <c r="G718" s="184" t="s">
        <v>3161</v>
      </c>
      <c r="H718" s="184" t="s">
        <v>1250</v>
      </c>
      <c r="I718" s="28">
        <v>8.0</v>
      </c>
      <c r="J718" s="184" t="s">
        <v>1522</v>
      </c>
      <c r="K718" s="184">
        <v>205.0</v>
      </c>
      <c r="L718" s="184" t="s">
        <v>1497</v>
      </c>
      <c r="M718" s="186" t="s">
        <v>1498</v>
      </c>
      <c r="N718" s="1"/>
    </row>
    <row r="719" ht="35.25" hidden="1" customHeight="1">
      <c r="A719" s="1"/>
      <c r="B719" s="232">
        <f t="shared" si="4"/>
        <v>713</v>
      </c>
      <c r="C719" s="181">
        <v>39083.0</v>
      </c>
      <c r="D719" s="182">
        <f t="shared" si="6"/>
        <v>2007</v>
      </c>
      <c r="E719" s="203" t="s">
        <v>3162</v>
      </c>
      <c r="F719" s="184" t="s">
        <v>3163</v>
      </c>
      <c r="G719" s="185" t="s">
        <v>3164</v>
      </c>
      <c r="H719" s="184" t="s">
        <v>1250</v>
      </c>
      <c r="I719" s="28">
        <v>8.0</v>
      </c>
      <c r="J719" s="184" t="s">
        <v>1496</v>
      </c>
      <c r="K719" s="218"/>
      <c r="L719" s="184" t="s">
        <v>1497</v>
      </c>
      <c r="M719" s="186" t="s">
        <v>1498</v>
      </c>
      <c r="N719" s="1"/>
    </row>
    <row r="720" ht="29.25" hidden="1" customHeight="1">
      <c r="A720" s="1"/>
      <c r="B720" s="232">
        <f t="shared" si="4"/>
        <v>714</v>
      </c>
      <c r="C720" s="181">
        <v>39098.0</v>
      </c>
      <c r="D720" s="182">
        <f t="shared" si="6"/>
        <v>2007</v>
      </c>
      <c r="E720" s="242" t="s">
        <v>3165</v>
      </c>
      <c r="F720" s="184" t="s">
        <v>3166</v>
      </c>
      <c r="G720" s="184" t="s">
        <v>3167</v>
      </c>
      <c r="H720" s="184" t="s">
        <v>1250</v>
      </c>
      <c r="I720" s="28">
        <v>8.0</v>
      </c>
      <c r="J720" s="184" t="s">
        <v>1522</v>
      </c>
      <c r="K720" s="218"/>
      <c r="L720" s="184" t="s">
        <v>1497</v>
      </c>
      <c r="M720" s="186" t="s">
        <v>1498</v>
      </c>
      <c r="N720" s="1"/>
    </row>
    <row r="721" ht="15.75" hidden="1" customHeight="1">
      <c r="A721" s="1"/>
      <c r="B721" s="232">
        <f t="shared" si="4"/>
        <v>715</v>
      </c>
      <c r="C721" s="181">
        <v>39122.0</v>
      </c>
      <c r="D721" s="182">
        <f t="shared" si="6"/>
        <v>2007</v>
      </c>
      <c r="E721" s="203" t="s">
        <v>3168</v>
      </c>
      <c r="F721" s="184" t="s">
        <v>3169</v>
      </c>
      <c r="G721" s="184" t="s">
        <v>3170</v>
      </c>
      <c r="H721" s="184" t="s">
        <v>1250</v>
      </c>
      <c r="I721" s="28">
        <v>8.0</v>
      </c>
      <c r="J721" s="184" t="s">
        <v>1509</v>
      </c>
      <c r="K721" s="218"/>
      <c r="L721" s="184" t="s">
        <v>1497</v>
      </c>
      <c r="M721" s="186" t="s">
        <v>804</v>
      </c>
      <c r="N721" s="1"/>
    </row>
    <row r="722" ht="33.0" hidden="1" customHeight="1">
      <c r="A722" s="1"/>
      <c r="B722" s="232">
        <f t="shared" si="4"/>
        <v>716</v>
      </c>
      <c r="C722" s="181">
        <v>39635.0</v>
      </c>
      <c r="D722" s="182">
        <f t="shared" si="6"/>
        <v>2008</v>
      </c>
      <c r="E722" s="203" t="s">
        <v>3171</v>
      </c>
      <c r="F722" s="184" t="s">
        <v>3172</v>
      </c>
      <c r="G722" s="184" t="s">
        <v>3173</v>
      </c>
      <c r="H722" s="184" t="s">
        <v>1250</v>
      </c>
      <c r="I722" s="28">
        <v>8.0</v>
      </c>
      <c r="J722" s="184" t="s">
        <v>1509</v>
      </c>
      <c r="K722" s="184">
        <v>448.0</v>
      </c>
      <c r="L722" s="184" t="s">
        <v>1497</v>
      </c>
      <c r="M722" s="186" t="s">
        <v>804</v>
      </c>
      <c r="N722" s="1"/>
    </row>
    <row r="723" ht="34.5" hidden="1" customHeight="1">
      <c r="A723" s="1"/>
      <c r="B723" s="232">
        <f t="shared" si="4"/>
        <v>717</v>
      </c>
      <c r="C723" s="181">
        <v>39816.0</v>
      </c>
      <c r="D723" s="182">
        <f t="shared" si="6"/>
        <v>2009</v>
      </c>
      <c r="E723" s="203" t="s">
        <v>3174</v>
      </c>
      <c r="F723" s="184" t="s">
        <v>3175</v>
      </c>
      <c r="G723" s="184" t="s">
        <v>3176</v>
      </c>
      <c r="H723" s="184" t="s">
        <v>1250</v>
      </c>
      <c r="I723" s="28">
        <v>8.0</v>
      </c>
      <c r="J723" s="184" t="s">
        <v>1496</v>
      </c>
      <c r="K723" s="184">
        <v>240.0</v>
      </c>
      <c r="L723" s="184" t="s">
        <v>1526</v>
      </c>
      <c r="M723" s="186" t="s">
        <v>1498</v>
      </c>
      <c r="N723" s="1"/>
    </row>
    <row r="724" ht="36.0" hidden="1" customHeight="1">
      <c r="A724" s="1"/>
      <c r="B724" s="232">
        <f t="shared" si="4"/>
        <v>718</v>
      </c>
      <c r="C724" s="181">
        <v>40892.0</v>
      </c>
      <c r="D724" s="182">
        <f t="shared" si="6"/>
        <v>2011</v>
      </c>
      <c r="E724" s="221" t="s">
        <v>3177</v>
      </c>
      <c r="F724" s="243" t="s">
        <v>3178</v>
      </c>
      <c r="G724" s="243" t="s">
        <v>3179</v>
      </c>
      <c r="H724" s="243" t="s">
        <v>1250</v>
      </c>
      <c r="I724" s="243">
        <v>8.0</v>
      </c>
      <c r="J724" s="243" t="s">
        <v>1496</v>
      </c>
      <c r="K724" s="243">
        <v>288.0</v>
      </c>
      <c r="L724" s="243" t="s">
        <v>1526</v>
      </c>
      <c r="M724" s="244" t="s">
        <v>1498</v>
      </c>
      <c r="N724" s="1"/>
    </row>
    <row r="725" ht="36.0" hidden="1" customHeight="1">
      <c r="A725" s="1"/>
      <c r="B725" s="232">
        <f t="shared" si="4"/>
        <v>719</v>
      </c>
      <c r="C725" s="181">
        <v>42414.0</v>
      </c>
      <c r="D725" s="182">
        <f t="shared" si="6"/>
        <v>2016</v>
      </c>
      <c r="E725" s="183" t="str">
        <f>hyperlink("http://www.amazon.com/Daemon-Daniel-Suarez-ebook/dp/B003QP4NPE/ref=sr_1_1?s=digital-text&amp;ie=UTF8&amp;qid=1455600694&amp;sr=1-1&amp;keywords=daemon","Daemon")</f>
        <v>Daemon</v>
      </c>
      <c r="F725" s="185" t="s">
        <v>3180</v>
      </c>
      <c r="G725" s="185" t="s">
        <v>3181</v>
      </c>
      <c r="H725" s="185" t="s">
        <v>1250</v>
      </c>
      <c r="I725" s="210">
        <v>8.0</v>
      </c>
      <c r="J725" s="185" t="s">
        <v>1509</v>
      </c>
      <c r="K725" s="185">
        <v>460.0</v>
      </c>
      <c r="L725" s="185" t="s">
        <v>1574</v>
      </c>
      <c r="M725" s="211" t="s">
        <v>804</v>
      </c>
      <c r="N725" s="1"/>
    </row>
    <row r="726" ht="36.0" hidden="1" customHeight="1">
      <c r="A726" s="1"/>
      <c r="B726" s="232">
        <f t="shared" si="4"/>
        <v>720</v>
      </c>
      <c r="C726" s="181">
        <v>43492.0</v>
      </c>
      <c r="D726" s="182">
        <f t="shared" si="6"/>
        <v>2019</v>
      </c>
      <c r="E726" s="183" t="str">
        <f>hyperlink("https://www.amazon.com/Year-Olympian-Stroke-Olympic-Medallist-ebook/dp/B073PQFZRJ/ref=sr_1_1?keywords=4-year+olympian&amp;qid=1550434846&amp;s=digital-text&amp;sr=1-1-catcorr","The 4 Year Olympian: From First Stroke to Olympic Medallist")</f>
        <v>The 4 Year Olympian: From First Stroke to Olympic Medallist</v>
      </c>
      <c r="F726" s="185" t="s">
        <v>3182</v>
      </c>
      <c r="G726" s="185" t="s">
        <v>3183</v>
      </c>
      <c r="H726" s="185" t="s">
        <v>1250</v>
      </c>
      <c r="I726" s="210">
        <v>8.0</v>
      </c>
      <c r="J726" s="185" t="s">
        <v>1502</v>
      </c>
      <c r="K726" s="185">
        <v>321.0</v>
      </c>
      <c r="L726" s="185" t="s">
        <v>1526</v>
      </c>
      <c r="M726" s="211" t="s">
        <v>1527</v>
      </c>
      <c r="N726" s="1"/>
    </row>
    <row r="727" ht="36.0" hidden="1" customHeight="1">
      <c r="A727" s="1"/>
      <c r="B727" s="232">
        <f t="shared" si="4"/>
        <v>721</v>
      </c>
      <c r="C727" s="181">
        <v>43511.0</v>
      </c>
      <c r="D727" s="182">
        <f t="shared" si="6"/>
        <v>2019</v>
      </c>
      <c r="E727" s="183" t="str">
        <f>hyperlink("https://www.amazon.com/Rise-Superman-Decoding-Ultimate-Performance-ebook/dp/B00BW54XVO/ref=sr_1_2?keywords=becoming+superman&amp;qid=1550438269&amp;s=books&amp;sr=1-2","Rise of Superman, The: Decoding the Science of Ultimate Human Performance ")</f>
        <v>Rise of Superman, The: Decoding the Science of Ultimate Human Performance </v>
      </c>
      <c r="F727" s="185" t="s">
        <v>3184</v>
      </c>
      <c r="G727" s="185" t="s">
        <v>3185</v>
      </c>
      <c r="H727" s="185" t="s">
        <v>1250</v>
      </c>
      <c r="I727" s="210">
        <v>8.0</v>
      </c>
      <c r="J727" s="185" t="s">
        <v>1502</v>
      </c>
      <c r="K727" s="185">
        <v>256.0</v>
      </c>
      <c r="L727" s="185" t="s">
        <v>1526</v>
      </c>
      <c r="M727" s="211" t="s">
        <v>804</v>
      </c>
      <c r="N727" s="1"/>
    </row>
    <row r="728" ht="36.0" hidden="1" customHeight="1">
      <c r="A728" s="1"/>
      <c r="B728" s="232">
        <f t="shared" si="4"/>
        <v>722</v>
      </c>
      <c r="C728" s="181">
        <v>43751.0</v>
      </c>
      <c r="D728" s="182">
        <f t="shared" si="6"/>
        <v>2019</v>
      </c>
      <c r="E728" s="183" t="str">
        <f>hyperlink("https://www.amazon.com/Super-Pumped-Battle-Mike-Isaac-ebook/dp/B07PZ2B85Y/ref=sr_1_2?crid=2DIKG6KKBHEQJ&amp;keywords=super+pumped&amp;qid=1575243813&amp;s=digital-text&amp;sprefix=super+pumped%2Cdigital-text%2C195&amp;sr=1-2","Super Pumped: The Battle for Uber")</f>
        <v>Super Pumped: The Battle for Uber</v>
      </c>
      <c r="F728" s="185" t="s">
        <v>3186</v>
      </c>
      <c r="G728" s="185" t="s">
        <v>3187</v>
      </c>
      <c r="H728" s="185" t="s">
        <v>1250</v>
      </c>
      <c r="I728" s="210">
        <v>8.0</v>
      </c>
      <c r="J728" s="185" t="s">
        <v>1522</v>
      </c>
      <c r="K728" s="185">
        <v>410.0</v>
      </c>
      <c r="L728" s="185" t="s">
        <v>1574</v>
      </c>
      <c r="M728" s="211" t="s">
        <v>1527</v>
      </c>
      <c r="N728" s="1"/>
    </row>
    <row r="729" ht="36.0" hidden="1" customHeight="1">
      <c r="A729" s="1"/>
      <c r="B729" s="232">
        <f t="shared" si="4"/>
        <v>723</v>
      </c>
      <c r="C729" s="181">
        <v>44297.0</v>
      </c>
      <c r="D729" s="182">
        <f t="shared" si="6"/>
        <v>2021</v>
      </c>
      <c r="E729" s="183" t="str">
        <f>hyperlink("https://www.amazon.com/American-Weather-novel-Jenny-Offill-ebook/dp/B077WWXZ41/ref=tmm_kin_swatch_0?_encoding=UTF8&amp;qid=1618199894&amp;sr=8-13","Weather")</f>
        <v>Weather</v>
      </c>
      <c r="F729" s="185" t="s">
        <v>1915</v>
      </c>
      <c r="G729" s="185" t="s">
        <v>3188</v>
      </c>
      <c r="H729" s="185" t="s">
        <v>1250</v>
      </c>
      <c r="I729" s="210">
        <v>8.0</v>
      </c>
      <c r="J729" s="185" t="s">
        <v>1509</v>
      </c>
      <c r="K729" s="185">
        <v>225.0</v>
      </c>
      <c r="L729" s="185" t="s">
        <v>1574</v>
      </c>
      <c r="M729" s="211" t="s">
        <v>1498</v>
      </c>
      <c r="N729" s="1"/>
    </row>
    <row r="730" ht="36.0" hidden="1" customHeight="1">
      <c r="A730" s="1"/>
      <c r="B730" s="232">
        <f t="shared" si="4"/>
        <v>724</v>
      </c>
      <c r="C730" s="181">
        <v>44430.0</v>
      </c>
      <c r="D730" s="182">
        <f t="shared" si="6"/>
        <v>2021</v>
      </c>
      <c r="E730" s="229" t="s">
        <v>3189</v>
      </c>
      <c r="F730" s="185" t="s">
        <v>3190</v>
      </c>
      <c r="G730" s="185" t="s">
        <v>3191</v>
      </c>
      <c r="H730" s="185" t="s">
        <v>1250</v>
      </c>
      <c r="I730" s="210">
        <v>8.0</v>
      </c>
      <c r="J730" s="185" t="s">
        <v>1522</v>
      </c>
      <c r="K730" s="185">
        <v>192.0</v>
      </c>
      <c r="L730" s="185" t="s">
        <v>1526</v>
      </c>
      <c r="M730" s="227" t="s">
        <v>1527</v>
      </c>
      <c r="N730" s="1"/>
    </row>
    <row r="731" ht="36.0" hidden="1" customHeight="1">
      <c r="A731" s="1"/>
      <c r="B731" s="232">
        <f t="shared" si="4"/>
        <v>725</v>
      </c>
      <c r="C731" s="181">
        <v>44795.0</v>
      </c>
      <c r="D731" s="182">
        <f t="shared" si="6"/>
        <v>2022</v>
      </c>
      <c r="E731" s="183" t="str">
        <f>hyperlink("https://www.amazon.com/Silver-Lining-Elizabeth-Beisel-ebook/dp/B084KMY25Y/ref=sr_1_1?crid=11UIWW908HMPA&amp;keywords=silver+lining+beisel&amp;qid=1672289409&amp;s=digital-text&amp;sprefix=silver+lining+beisel%2Cdigital-text%2C155&amp;sr=1-1","Silver Lining")</f>
        <v>Silver Lining</v>
      </c>
      <c r="F731" s="185" t="s">
        <v>3192</v>
      </c>
      <c r="G731" s="185" t="s">
        <v>3193</v>
      </c>
      <c r="H731" s="185" t="s">
        <v>1250</v>
      </c>
      <c r="I731" s="210">
        <v>8.0</v>
      </c>
      <c r="J731" s="185" t="s">
        <v>1502</v>
      </c>
      <c r="K731" s="185">
        <v>232.0</v>
      </c>
      <c r="L731" s="185" t="s">
        <v>1526</v>
      </c>
      <c r="M731" s="227" t="s">
        <v>1527</v>
      </c>
      <c r="N731" s="1"/>
    </row>
    <row r="732" ht="36.0" hidden="1" customHeight="1">
      <c r="A732" s="1"/>
      <c r="B732" s="232">
        <f t="shared" si="4"/>
        <v>726</v>
      </c>
      <c r="C732" s="181">
        <v>44802.0</v>
      </c>
      <c r="D732" s="182">
        <f t="shared" si="6"/>
        <v>2022</v>
      </c>
      <c r="E732" s="183" t="str">
        <f>hyperlink("https://www.amazon.com/Blueprint-Olympians-Striving-Adapting-Embracing-ebook/dp/B08P521NV8/ref=sr_1_1?crid=QO74KKU9E60N&amp;keywords=katie+hoff&amp;qid=1672290450&amp;s=digital-text&amp;sprefix=kate+hoff%2Cdigital-text%2C165&amp;sr=1-1","Blueprint: An Olympian's Story of Striving, Adapting, and Embracing the Suck")</f>
        <v>Blueprint: An Olympian's Story of Striving, Adapting, and Embracing the Suck</v>
      </c>
      <c r="F732" s="185" t="s">
        <v>3194</v>
      </c>
      <c r="G732" s="185" t="s">
        <v>3195</v>
      </c>
      <c r="H732" s="185" t="s">
        <v>1250</v>
      </c>
      <c r="I732" s="210">
        <v>8.0</v>
      </c>
      <c r="J732" s="185" t="s">
        <v>1502</v>
      </c>
      <c r="K732" s="185">
        <v>234.0</v>
      </c>
      <c r="L732" s="185" t="s">
        <v>1526</v>
      </c>
      <c r="M732" s="227" t="s">
        <v>1527</v>
      </c>
      <c r="N732" s="1"/>
    </row>
    <row r="733" ht="36.0" hidden="1" customHeight="1">
      <c r="A733" s="1"/>
      <c r="B733" s="232">
        <f t="shared" si="4"/>
        <v>727</v>
      </c>
      <c r="C733" s="181">
        <v>39198.0</v>
      </c>
      <c r="D733" s="182">
        <f t="shared" si="6"/>
        <v>2007</v>
      </c>
      <c r="E733" s="203" t="s">
        <v>3196</v>
      </c>
      <c r="F733" s="184" t="s">
        <v>3197</v>
      </c>
      <c r="G733" s="184" t="s">
        <v>3198</v>
      </c>
      <c r="H733" s="184" t="s">
        <v>1327</v>
      </c>
      <c r="I733" s="28">
        <v>6.0</v>
      </c>
      <c r="J733" s="184" t="s">
        <v>1502</v>
      </c>
      <c r="K733" s="218"/>
      <c r="L733" s="184" t="s">
        <v>1497</v>
      </c>
      <c r="M733" s="186" t="s">
        <v>804</v>
      </c>
      <c r="N733" s="1"/>
    </row>
    <row r="734" ht="34.5" hidden="1" customHeight="1">
      <c r="A734" s="1"/>
      <c r="B734" s="232">
        <f t="shared" si="4"/>
        <v>728</v>
      </c>
      <c r="C734" s="181">
        <v>39284.0</v>
      </c>
      <c r="D734" s="182">
        <f t="shared" si="6"/>
        <v>2007</v>
      </c>
      <c r="E734" s="203" t="s">
        <v>3199</v>
      </c>
      <c r="F734" s="184" t="s">
        <v>3200</v>
      </c>
      <c r="G734" s="184" t="s">
        <v>3201</v>
      </c>
      <c r="H734" s="184" t="s">
        <v>1327</v>
      </c>
      <c r="I734" s="28">
        <v>6.0</v>
      </c>
      <c r="J734" s="184" t="s">
        <v>1509</v>
      </c>
      <c r="K734" s="218"/>
      <c r="L734" s="184" t="s">
        <v>1497</v>
      </c>
      <c r="M734" s="186" t="s">
        <v>804</v>
      </c>
      <c r="N734" s="1"/>
    </row>
    <row r="735" ht="33.0" hidden="1" customHeight="1">
      <c r="A735" s="1"/>
      <c r="B735" s="232">
        <f t="shared" si="4"/>
        <v>729</v>
      </c>
      <c r="C735" s="181">
        <v>41090.0</v>
      </c>
      <c r="D735" s="182">
        <f t="shared" si="6"/>
        <v>2012</v>
      </c>
      <c r="E735" s="221" t="s">
        <v>3202</v>
      </c>
      <c r="F735" s="243" t="s">
        <v>3203</v>
      </c>
      <c r="G735" s="245" t="s">
        <v>3204</v>
      </c>
      <c r="H735" s="243" t="s">
        <v>1327</v>
      </c>
      <c r="I735" s="243">
        <v>6.0</v>
      </c>
      <c r="J735" s="243" t="s">
        <v>1509</v>
      </c>
      <c r="K735" s="243">
        <v>520.0</v>
      </c>
      <c r="L735" s="243" t="s">
        <v>1526</v>
      </c>
      <c r="M735" s="244" t="s">
        <v>804</v>
      </c>
      <c r="N735" s="1"/>
    </row>
    <row r="736" ht="33.0" hidden="1" customHeight="1">
      <c r="A736" s="1"/>
      <c r="B736" s="232">
        <f t="shared" si="4"/>
        <v>730</v>
      </c>
      <c r="C736" s="246">
        <v>40859.0</v>
      </c>
      <c r="D736" s="182">
        <f t="shared" si="6"/>
        <v>2011</v>
      </c>
      <c r="E736" s="247" t="s">
        <v>3205</v>
      </c>
      <c r="F736" s="248" t="s">
        <v>3206</v>
      </c>
      <c r="G736" s="248" t="s">
        <v>3207</v>
      </c>
      <c r="H736" s="248" t="s">
        <v>1358</v>
      </c>
      <c r="I736" s="248">
        <v>5.0</v>
      </c>
      <c r="J736" s="248" t="s">
        <v>1522</v>
      </c>
      <c r="K736" s="248">
        <v>224.0</v>
      </c>
      <c r="L736" s="248" t="s">
        <v>1526</v>
      </c>
      <c r="M736" s="249" t="s">
        <v>1498</v>
      </c>
      <c r="N736" s="1"/>
    </row>
    <row r="737" ht="33.0" hidden="1" customHeight="1">
      <c r="A737" s="9"/>
      <c r="B737" s="232">
        <f t="shared" si="4"/>
        <v>731</v>
      </c>
      <c r="C737" s="181">
        <v>44923.0</v>
      </c>
      <c r="D737" s="182">
        <f t="shared" si="6"/>
        <v>2022</v>
      </c>
      <c r="E737" s="250" t="str">
        <f>hyperlink("https://www.amazon.com/Rich-Dad-Poor-Teach-Middle-ebook/dp/B07C7M8SX9/ref=sr_1_1?keywords=rich+dad+poor+dad&amp;qid=1675991646&amp;s=books&amp;sprefix=rich+dad+%2Cstripbooks%2C144&amp;sr=1-1","Rich Dad Poor Dad: What The Rich Teach Their Kids About Money That The Poor and Middle Class Do Not!")</f>
        <v>Rich Dad Poor Dad: What The Rich Teach Their Kids About Money That The Poor and Middle Class Do Not!</v>
      </c>
      <c r="F737" s="245" t="s">
        <v>3208</v>
      </c>
      <c r="G737" s="245" t="s">
        <v>3209</v>
      </c>
      <c r="H737" s="245" t="s">
        <v>1358</v>
      </c>
      <c r="I737" s="245">
        <v>5.0</v>
      </c>
      <c r="J737" s="245" t="s">
        <v>1522</v>
      </c>
      <c r="K737" s="245">
        <v>336.0</v>
      </c>
      <c r="L737" s="245" t="s">
        <v>1526</v>
      </c>
      <c r="M737" s="251" t="s">
        <v>1527</v>
      </c>
      <c r="N737" s="1"/>
    </row>
    <row r="738" ht="18.0" customHeight="1">
      <c r="A738" s="1"/>
      <c r="B738" s="1"/>
      <c r="C738" s="122"/>
      <c r="D738" s="122"/>
      <c r="E738" s="122"/>
      <c r="F738" s="122"/>
      <c r="G738" s="252"/>
      <c r="H738" s="122"/>
      <c r="I738" s="122"/>
      <c r="J738" s="122"/>
      <c r="K738" s="122"/>
      <c r="L738" s="122"/>
      <c r="M738" s="122"/>
      <c r="N738" s="1"/>
    </row>
    <row r="739" ht="18.0" customHeight="1">
      <c r="A739" s="1"/>
      <c r="B739" s="170"/>
      <c r="C739" s="253" t="s">
        <v>5</v>
      </c>
      <c r="D739" s="254"/>
      <c r="E739" s="254" t="s">
        <v>3210</v>
      </c>
      <c r="F739" s="255"/>
      <c r="G739" s="256"/>
      <c r="H739" s="257"/>
      <c r="I739" s="1"/>
      <c r="J739" s="1"/>
      <c r="K739" s="1"/>
      <c r="L739" s="173"/>
      <c r="M739" s="173"/>
      <c r="N739" s="1"/>
    </row>
    <row r="740" ht="5.25" customHeight="1">
      <c r="A740" s="1"/>
      <c r="B740" s="170"/>
      <c r="D740" s="258"/>
      <c r="E740" s="258"/>
      <c r="F740" s="1"/>
      <c r="G740" s="259"/>
      <c r="H740" s="259"/>
      <c r="I740" s="1"/>
      <c r="J740" s="1"/>
      <c r="K740" s="1"/>
      <c r="L740" s="173"/>
      <c r="M740" s="173"/>
      <c r="N740" s="1"/>
    </row>
    <row r="741" ht="18.0" customHeight="1">
      <c r="A741" s="1"/>
      <c r="B741" s="170"/>
      <c r="C741" s="57">
        <v>2025.0</v>
      </c>
      <c r="D741" s="260"/>
      <c r="E741" s="260">
        <f>G741</f>
        <v>21</v>
      </c>
      <c r="F741" s="1"/>
      <c r="G741" s="261">
        <f>COUNTIF($C$3:$C$738,"&gt;=45658")</f>
        <v>21</v>
      </c>
      <c r="H741" s="262"/>
      <c r="I741" s="1"/>
      <c r="J741" s="1"/>
      <c r="K741" s="1"/>
      <c r="L741" s="173"/>
      <c r="M741" s="173"/>
      <c r="N741" s="1"/>
    </row>
    <row r="742" ht="18.0" customHeight="1">
      <c r="A742" s="1"/>
      <c r="B742" s="170"/>
      <c r="C742" s="57">
        <v>2024.0</v>
      </c>
      <c r="D742" s="260"/>
      <c r="E742" s="260">
        <f t="shared" ref="E742:E767" si="7">G742-G741</f>
        <v>15</v>
      </c>
      <c r="F742" s="1"/>
      <c r="G742" s="261">
        <f>COUNTIF($C$3:$C$738,"&gt;=45292")</f>
        <v>36</v>
      </c>
      <c r="H742" s="262"/>
      <c r="I742" s="1"/>
      <c r="J742" s="1"/>
      <c r="K742" s="1"/>
      <c r="L742" s="173"/>
      <c r="M742" s="173"/>
      <c r="N742" s="1"/>
    </row>
    <row r="743" ht="18.0" customHeight="1">
      <c r="A743" s="1"/>
      <c r="B743" s="170"/>
      <c r="C743" s="57">
        <v>2023.0</v>
      </c>
      <c r="D743" s="260"/>
      <c r="E743" s="260">
        <f t="shared" si="7"/>
        <v>33</v>
      </c>
      <c r="F743" s="1"/>
      <c r="G743" s="261">
        <f>COUNTIF($C$3:$C$738,"&gt;=44927")</f>
        <v>69</v>
      </c>
      <c r="H743" s="262"/>
      <c r="I743" s="1"/>
      <c r="J743" s="1"/>
      <c r="K743" s="1"/>
      <c r="L743" s="173"/>
      <c r="M743" s="173"/>
      <c r="N743" s="1"/>
    </row>
    <row r="744" ht="18.0" customHeight="1">
      <c r="A744" s="1"/>
      <c r="B744" s="170"/>
      <c r="C744" s="57">
        <v>2022.0</v>
      </c>
      <c r="D744" s="260"/>
      <c r="E744" s="260">
        <f t="shared" si="7"/>
        <v>28</v>
      </c>
      <c r="F744" s="1"/>
      <c r="G744" s="261">
        <f>COUNTIF($C$3:$C$738,"&gt;=44562")</f>
        <v>97</v>
      </c>
      <c r="H744" s="262"/>
      <c r="I744" s="1"/>
      <c r="J744" s="1"/>
      <c r="K744" s="1"/>
      <c r="L744" s="173"/>
      <c r="M744" s="173"/>
      <c r="N744" s="1"/>
    </row>
    <row r="745" ht="18.0" customHeight="1">
      <c r="A745" s="1"/>
      <c r="B745" s="170"/>
      <c r="C745" s="57">
        <v>2021.0</v>
      </c>
      <c r="D745" s="260"/>
      <c r="E745" s="260">
        <f t="shared" si="7"/>
        <v>36</v>
      </c>
      <c r="F745" s="1"/>
      <c r="G745" s="261">
        <f>COUNTIF($C$3:$C$738,"&gt;=44197")</f>
        <v>133</v>
      </c>
      <c r="H745" s="259"/>
      <c r="I745" s="1"/>
      <c r="J745" s="1"/>
      <c r="K745" s="1"/>
      <c r="L745" s="173"/>
      <c r="M745" s="173"/>
      <c r="N745" s="1"/>
    </row>
    <row r="746" ht="18.0" customHeight="1">
      <c r="A746" s="1"/>
      <c r="B746" s="170"/>
      <c r="C746" s="57">
        <v>2020.0</v>
      </c>
      <c r="D746" s="260"/>
      <c r="E746" s="260">
        <f t="shared" si="7"/>
        <v>26</v>
      </c>
      <c r="F746" s="1"/>
      <c r="G746" s="261">
        <f>COUNTIF($C$3:$C$738,"&gt;=43831")</f>
        <v>159</v>
      </c>
      <c r="H746" s="259"/>
      <c r="I746" s="1"/>
      <c r="J746" s="1"/>
      <c r="K746" s="1"/>
      <c r="L746" s="173"/>
      <c r="M746" s="173"/>
      <c r="N746" s="1"/>
    </row>
    <row r="747" ht="18.0" customHeight="1">
      <c r="A747" s="1"/>
      <c r="B747" s="170"/>
      <c r="C747" s="57">
        <v>2019.0</v>
      </c>
      <c r="D747" s="260"/>
      <c r="E747" s="260">
        <f t="shared" si="7"/>
        <v>35</v>
      </c>
      <c r="F747" s="1"/>
      <c r="G747" s="261">
        <f>COUNTIF($C$3:$C$738,"&gt;=43466")</f>
        <v>194</v>
      </c>
      <c r="H747" s="259"/>
      <c r="I747" s="1"/>
      <c r="J747" s="1"/>
      <c r="K747" s="1"/>
      <c r="L747" s="173"/>
      <c r="M747" s="173"/>
      <c r="N747" s="1"/>
    </row>
    <row r="748" ht="18.0" customHeight="1">
      <c r="A748" s="1"/>
      <c r="B748" s="170"/>
      <c r="C748" s="57">
        <v>2018.0</v>
      </c>
      <c r="D748" s="260"/>
      <c r="E748" s="260">
        <f t="shared" si="7"/>
        <v>32</v>
      </c>
      <c r="F748" s="1"/>
      <c r="G748" s="261">
        <f>COUNTIF($C$3:$C$738,"&gt;=43101")</f>
        <v>226</v>
      </c>
      <c r="H748" s="259"/>
      <c r="I748" s="1"/>
      <c r="J748" s="1"/>
      <c r="K748" s="1"/>
      <c r="L748" s="173"/>
      <c r="M748" s="173"/>
      <c r="N748" s="1"/>
    </row>
    <row r="749" ht="18.0" customHeight="1">
      <c r="A749" s="1"/>
      <c r="B749" s="170"/>
      <c r="C749" s="57">
        <v>2017.0</v>
      </c>
      <c r="D749" s="260"/>
      <c r="E749" s="260">
        <f t="shared" si="7"/>
        <v>34</v>
      </c>
      <c r="F749" s="1"/>
      <c r="G749" s="261">
        <f>COUNTIF($C$3:$C$738,"&gt;=42736")</f>
        <v>260</v>
      </c>
      <c r="H749" s="259"/>
      <c r="I749" s="1"/>
      <c r="J749" s="1"/>
      <c r="K749" s="1"/>
      <c r="L749" s="173"/>
      <c r="M749" s="173"/>
      <c r="N749" s="1"/>
    </row>
    <row r="750" ht="18.0" customHeight="1">
      <c r="A750" s="1"/>
      <c r="B750" s="170"/>
      <c r="C750" s="57">
        <v>2016.0</v>
      </c>
      <c r="D750" s="260"/>
      <c r="E750" s="260">
        <f t="shared" si="7"/>
        <v>56</v>
      </c>
      <c r="F750" s="1"/>
      <c r="G750" s="261">
        <f>COUNTIF($C$3:$C$738,"&gt;=42370")</f>
        <v>316</v>
      </c>
      <c r="H750" s="263"/>
      <c r="I750" s="1"/>
      <c r="J750" s="1"/>
      <c r="K750" s="1"/>
      <c r="L750" s="173"/>
      <c r="M750" s="173"/>
      <c r="N750" s="1"/>
    </row>
    <row r="751" ht="18.0" customHeight="1">
      <c r="A751" s="1"/>
      <c r="B751" s="170"/>
      <c r="C751" s="55">
        <v>2015.0</v>
      </c>
      <c r="D751" s="260"/>
      <c r="E751" s="260">
        <f t="shared" si="7"/>
        <v>28</v>
      </c>
      <c r="F751" s="1"/>
      <c r="G751" s="261">
        <f>COUNTIF($C$3:$C$738,"&gt;=42005")</f>
        <v>344</v>
      </c>
      <c r="H751" s="259"/>
      <c r="I751" s="1"/>
      <c r="J751" s="1"/>
      <c r="K751" s="1"/>
      <c r="L751" s="173"/>
      <c r="M751" s="173"/>
      <c r="N751" s="1"/>
    </row>
    <row r="752" ht="18.0" customHeight="1">
      <c r="A752" s="1"/>
      <c r="B752" s="170"/>
      <c r="C752" s="264">
        <v>2014.0</v>
      </c>
      <c r="D752" s="260"/>
      <c r="E752" s="260">
        <f t="shared" si="7"/>
        <v>35</v>
      </c>
      <c r="F752" s="265"/>
      <c r="G752" s="261">
        <f>COUNTIF($C$3:$C$738,"&gt;=41640")</f>
        <v>379</v>
      </c>
      <c r="H752" s="266">
        <v>41640.0</v>
      </c>
      <c r="I752" s="267"/>
      <c r="J752" s="1"/>
      <c r="K752" s="1"/>
      <c r="L752" s="173"/>
      <c r="M752" s="173"/>
      <c r="N752" s="1"/>
    </row>
    <row r="753" ht="18.0" customHeight="1">
      <c r="A753" s="1"/>
      <c r="B753" s="170"/>
      <c r="C753" s="264">
        <v>2013.0</v>
      </c>
      <c r="D753" s="260"/>
      <c r="E753" s="260">
        <f t="shared" si="7"/>
        <v>34</v>
      </c>
      <c r="F753" s="265"/>
      <c r="G753" s="261">
        <f>COUNTIF($C$3:$C$738,"&gt;=41284")</f>
        <v>413</v>
      </c>
      <c r="H753" s="268">
        <v>41284.0</v>
      </c>
      <c r="I753" s="269"/>
      <c r="J753" s="1"/>
      <c r="K753" s="1"/>
      <c r="L753" s="173"/>
      <c r="M753" s="173"/>
      <c r="N753" s="1"/>
    </row>
    <row r="754" ht="18.0" customHeight="1">
      <c r="A754" s="1"/>
      <c r="B754" s="170"/>
      <c r="C754" s="264">
        <v>2012.0</v>
      </c>
      <c r="D754" s="260"/>
      <c r="E754" s="260">
        <f t="shared" si="7"/>
        <v>22</v>
      </c>
      <c r="F754" s="265"/>
      <c r="G754" s="261">
        <f>COUNTIF($C$3:$C$738,"&gt;=40918")</f>
        <v>435</v>
      </c>
      <c r="H754" s="268">
        <v>40918.0</v>
      </c>
      <c r="I754" s="267"/>
      <c r="J754" s="1"/>
      <c r="K754" s="1"/>
      <c r="L754" s="173"/>
      <c r="M754" s="173"/>
      <c r="N754" s="1"/>
    </row>
    <row r="755" ht="18.0" customHeight="1">
      <c r="A755" s="1"/>
      <c r="B755" s="170"/>
      <c r="C755" s="264">
        <v>2011.0</v>
      </c>
      <c r="D755" s="260"/>
      <c r="E755" s="260">
        <f t="shared" si="7"/>
        <v>23</v>
      </c>
      <c r="F755" s="265"/>
      <c r="G755" s="261">
        <f>COUNTIF($C$3:$C$738,"&gt;=40553")</f>
        <v>458</v>
      </c>
      <c r="H755" s="268">
        <v>40553.0</v>
      </c>
      <c r="I755" s="267"/>
      <c r="J755" s="1"/>
      <c r="K755" s="1"/>
      <c r="L755" s="173"/>
      <c r="M755" s="173"/>
      <c r="N755" s="1"/>
    </row>
    <row r="756" ht="18.0" customHeight="1">
      <c r="A756" s="1"/>
      <c r="B756" s="170"/>
      <c r="C756" s="264">
        <v>2010.0</v>
      </c>
      <c r="D756" s="260"/>
      <c r="E756" s="260">
        <f t="shared" si="7"/>
        <v>8</v>
      </c>
      <c r="F756" s="265"/>
      <c r="G756" s="261">
        <f>COUNTIF($C$3:$C$738,"&gt;=40179")</f>
        <v>466</v>
      </c>
      <c r="H756" s="268">
        <v>40179.0</v>
      </c>
      <c r="I756" s="267"/>
      <c r="J756" s="1"/>
      <c r="K756" s="1"/>
      <c r="L756" s="173"/>
      <c r="M756" s="173"/>
      <c r="N756" s="1"/>
    </row>
    <row r="757" ht="18.0" customHeight="1">
      <c r="A757" s="1"/>
      <c r="B757" s="170"/>
      <c r="C757" s="270" t="s">
        <v>3211</v>
      </c>
      <c r="D757" s="260"/>
      <c r="E757" s="260">
        <f t="shared" si="7"/>
        <v>20</v>
      </c>
      <c r="F757" s="271"/>
      <c r="G757" s="261">
        <f>COUNTIF($C$3:$C$738,"&gt;=39814")</f>
        <v>486</v>
      </c>
      <c r="H757" s="272">
        <v>39814.0</v>
      </c>
      <c r="I757" s="140"/>
      <c r="J757" s="1"/>
      <c r="K757" s="1"/>
      <c r="L757" s="173"/>
      <c r="M757" s="173"/>
      <c r="N757" s="1"/>
    </row>
    <row r="758" ht="18.0" customHeight="1">
      <c r="A758" s="1"/>
      <c r="B758" s="170"/>
      <c r="C758" s="273" t="s">
        <v>3212</v>
      </c>
      <c r="D758" s="260"/>
      <c r="E758" s="260">
        <f t="shared" si="7"/>
        <v>45</v>
      </c>
      <c r="F758" s="274"/>
      <c r="G758" s="261">
        <f>COUNTIF($C$3:$C$738,"&gt;=39447")</f>
        <v>531</v>
      </c>
      <c r="H758" s="275">
        <f>H759+365</f>
        <v>39448</v>
      </c>
      <c r="I758" s="127"/>
      <c r="J758" s="1"/>
      <c r="K758" s="1"/>
      <c r="L758" s="173"/>
      <c r="M758" s="173"/>
      <c r="N758" s="1"/>
    </row>
    <row r="759" ht="18.0" customHeight="1">
      <c r="A759" s="1"/>
      <c r="B759" s="170"/>
      <c r="C759" s="276" t="s">
        <v>3213</v>
      </c>
      <c r="D759" s="260"/>
      <c r="E759" s="260">
        <f t="shared" si="7"/>
        <v>56</v>
      </c>
      <c r="F759" s="274"/>
      <c r="G759" s="261">
        <f>COUNTIF($C$3:$C$738,"&gt;=39082")</f>
        <v>587</v>
      </c>
      <c r="H759" s="272">
        <v>39083.0</v>
      </c>
      <c r="I759" s="1"/>
      <c r="J759" s="1"/>
      <c r="K759" s="1"/>
      <c r="L759" s="173"/>
      <c r="M759" s="173"/>
      <c r="N759" s="1"/>
    </row>
    <row r="760" ht="18.0" customHeight="1">
      <c r="A760" s="1"/>
      <c r="B760" s="170"/>
      <c r="C760" s="270" t="s">
        <v>32</v>
      </c>
      <c r="D760" s="260"/>
      <c r="E760" s="260">
        <f t="shared" si="7"/>
        <v>20</v>
      </c>
      <c r="F760" s="274"/>
      <c r="G760" s="261">
        <f>COUNTIF($C$3:$C$738,"&gt;=38717")</f>
        <v>607</v>
      </c>
      <c r="H760" s="272">
        <v>38718.0</v>
      </c>
      <c r="I760" s="1"/>
      <c r="J760" s="1"/>
      <c r="K760" s="1"/>
      <c r="L760" s="173"/>
      <c r="M760" s="173"/>
      <c r="N760" s="1"/>
    </row>
    <row r="761" ht="18.0" customHeight="1">
      <c r="A761" s="1"/>
      <c r="B761" s="170"/>
      <c r="C761" s="270" t="s">
        <v>3214</v>
      </c>
      <c r="D761" s="260"/>
      <c r="E761" s="260">
        <f t="shared" si="7"/>
        <v>19</v>
      </c>
      <c r="F761" s="274"/>
      <c r="G761" s="261">
        <f>COUNTIF($C$3:$C$738,"&gt;=38352")</f>
        <v>626</v>
      </c>
      <c r="H761" s="272">
        <v>38353.0</v>
      </c>
      <c r="I761" s="1"/>
      <c r="J761" s="1"/>
      <c r="K761" s="1"/>
      <c r="L761" s="173"/>
      <c r="M761" s="173"/>
      <c r="N761" s="1"/>
    </row>
    <row r="762" ht="18.0" customHeight="1">
      <c r="A762" s="1"/>
      <c r="B762" s="170"/>
      <c r="C762" s="270" t="s">
        <v>3215</v>
      </c>
      <c r="D762" s="260"/>
      <c r="E762" s="260">
        <f t="shared" si="7"/>
        <v>29</v>
      </c>
      <c r="F762" s="274"/>
      <c r="G762" s="261">
        <f>COUNTIF($C$3:$C$738,"&gt;=37986")</f>
        <v>655</v>
      </c>
      <c r="H762" s="272">
        <v>37987.0</v>
      </c>
      <c r="I762" s="1"/>
      <c r="J762" s="1"/>
      <c r="K762" s="1"/>
      <c r="L762" s="173"/>
      <c r="M762" s="173"/>
      <c r="N762" s="1"/>
    </row>
    <row r="763" ht="18.0" customHeight="1">
      <c r="A763" s="1"/>
      <c r="B763" s="170"/>
      <c r="C763" s="270" t="s">
        <v>3216</v>
      </c>
      <c r="D763" s="260"/>
      <c r="E763" s="260">
        <f t="shared" si="7"/>
        <v>14</v>
      </c>
      <c r="F763" s="274"/>
      <c r="G763" s="261">
        <f>COUNTIF($C$3:$C$738,"&gt;=37621")</f>
        <v>669</v>
      </c>
      <c r="H763" s="272">
        <v>37622.0</v>
      </c>
      <c r="I763" s="1"/>
      <c r="J763" s="1"/>
      <c r="K763" s="1"/>
      <c r="L763" s="173"/>
      <c r="M763" s="173"/>
      <c r="N763" s="1"/>
    </row>
    <row r="764" ht="18.0" customHeight="1">
      <c r="A764" s="1"/>
      <c r="B764" s="170"/>
      <c r="C764" s="270" t="s">
        <v>3217</v>
      </c>
      <c r="D764" s="260"/>
      <c r="E764" s="260">
        <f t="shared" si="7"/>
        <v>6</v>
      </c>
      <c r="F764" s="274"/>
      <c r="G764" s="261">
        <f>COUNTIF($C$3:$C$738,"&gt;=37527")</f>
        <v>675</v>
      </c>
      <c r="H764" s="272">
        <v>37257.0</v>
      </c>
      <c r="I764" s="1"/>
      <c r="J764" s="1"/>
      <c r="K764" s="1"/>
      <c r="L764" s="173"/>
      <c r="M764" s="173"/>
      <c r="N764" s="1"/>
    </row>
    <row r="765" ht="18.0" customHeight="1">
      <c r="A765" s="1"/>
      <c r="B765" s="170"/>
      <c r="C765" s="270" t="s">
        <v>3218</v>
      </c>
      <c r="D765" s="260"/>
      <c r="E765" s="260">
        <f t="shared" si="7"/>
        <v>12</v>
      </c>
      <c r="F765" s="274"/>
      <c r="G765" s="261">
        <f>COUNTIF($C$3:$C$738,"&gt;=36891")</f>
        <v>687</v>
      </c>
      <c r="H765" s="272">
        <v>36892.0</v>
      </c>
      <c r="I765" s="1"/>
      <c r="J765" s="1"/>
      <c r="K765" s="1"/>
      <c r="L765" s="173"/>
      <c r="M765" s="173"/>
      <c r="N765" s="1"/>
    </row>
    <row r="766" ht="18.0" customHeight="1">
      <c r="A766" s="1"/>
      <c r="B766" s="170"/>
      <c r="C766" s="270" t="s">
        <v>3219</v>
      </c>
      <c r="D766" s="260"/>
      <c r="E766" s="260">
        <f t="shared" si="7"/>
        <v>19</v>
      </c>
      <c r="F766" s="274"/>
      <c r="G766" s="261">
        <f>COUNTIF($C$3:$C$738,"&gt;=36525")</f>
        <v>706</v>
      </c>
      <c r="H766" s="272">
        <v>36526.0</v>
      </c>
      <c r="I766" s="1"/>
      <c r="J766" s="1"/>
      <c r="K766" s="1"/>
      <c r="L766" s="173"/>
      <c r="M766" s="173"/>
      <c r="N766" s="1"/>
    </row>
    <row r="767" ht="18.0" customHeight="1">
      <c r="A767" s="1"/>
      <c r="B767" s="170"/>
      <c r="C767" s="277" t="s">
        <v>3220</v>
      </c>
      <c r="D767" s="278"/>
      <c r="E767" s="278">
        <f t="shared" si="7"/>
        <v>29</v>
      </c>
      <c r="F767" s="279"/>
      <c r="G767" s="261">
        <f>COUNTIF($C$3:$C$738,"&gt;=34699")</f>
        <v>735</v>
      </c>
      <c r="H767" s="272">
        <v>34700.0</v>
      </c>
      <c r="I767" s="1"/>
      <c r="J767" s="1"/>
      <c r="K767" s="1"/>
      <c r="L767" s="173"/>
      <c r="M767" s="173"/>
      <c r="N767" s="1"/>
    </row>
    <row r="768" ht="18.0" customHeight="1">
      <c r="A768" s="1"/>
      <c r="B768" s="280"/>
      <c r="C768" s="281" t="s">
        <v>3221</v>
      </c>
      <c r="D768" s="282"/>
      <c r="E768" s="282">
        <f>SUM(E741:E767)</f>
        <v>735</v>
      </c>
      <c r="F768" s="283">
        <f>AVERAGE(I3:I737)</f>
        <v>13.2462585</v>
      </c>
      <c r="G768" s="284"/>
      <c r="H768" s="265"/>
      <c r="I768" s="1"/>
      <c r="J768" s="1"/>
      <c r="K768" s="1"/>
      <c r="L768" s="173"/>
      <c r="M768" s="173"/>
      <c r="N768" s="1"/>
    </row>
    <row r="769" ht="18.0" customHeight="1">
      <c r="A769" s="1"/>
      <c r="B769" s="170"/>
      <c r="C769" s="1"/>
      <c r="D769" s="171"/>
      <c r="E769" s="171"/>
      <c r="F769" s="1"/>
      <c r="G769" s="1"/>
      <c r="H769" s="1"/>
      <c r="I769" s="1"/>
      <c r="J769" s="1"/>
      <c r="K769" s="1"/>
      <c r="L769" s="173"/>
      <c r="M769" s="173"/>
      <c r="N769" s="1"/>
    </row>
  </sheetData>
  <autoFilter ref="$A$2:$N$737">
    <filterColumn colId="3">
      <filters>
        <filter val="2025"/>
      </filters>
    </filterColumn>
  </autoFilter>
  <conditionalFormatting sqref="I2:I723">
    <cfRule type="cellIs" dxfId="0" priority="1" operator="equal">
      <formula>"NO"</formula>
    </cfRule>
  </conditionalFormatting>
  <conditionalFormatting sqref="I725:I734">
    <cfRule type="cellIs" dxfId="0" priority="2" operator="equal">
      <formula>"NO"</formula>
    </cfRule>
  </conditionalFormatting>
  <conditionalFormatting sqref="L1:L723">
    <cfRule type="cellIs" dxfId="0" priority="3" operator="equal">
      <formula>"NO"</formula>
    </cfRule>
  </conditionalFormatting>
  <conditionalFormatting sqref="L725:L734">
    <cfRule type="cellIs" dxfId="0" priority="4" operator="equal">
      <formula>"NO"</formula>
    </cfRule>
  </conditionalFormatting>
  <conditionalFormatting sqref="L739:L769">
    <cfRule type="cellIs" dxfId="0" priority="5" operator="equal">
      <formula>"NO"</formula>
    </cfRule>
  </conditionalFormatting>
  <conditionalFormatting sqref="M1:M2">
    <cfRule type="cellIs" dxfId="0" priority="6" operator="equal">
      <formula>"NO"</formula>
    </cfRule>
  </conditionalFormatting>
  <conditionalFormatting sqref="M739:M769">
    <cfRule type="cellIs" dxfId="0" priority="7" operator="equal">
      <formula>"NO"</formula>
    </cfRule>
  </conditionalFormatting>
  <conditionalFormatting sqref="I2:I723">
    <cfRule type="cellIs" dxfId="1" priority="8" operator="equal">
      <formula>"YES"</formula>
    </cfRule>
  </conditionalFormatting>
  <conditionalFormatting sqref="I725:I734">
    <cfRule type="cellIs" dxfId="1" priority="9" operator="equal">
      <formula>"YES"</formula>
    </cfRule>
  </conditionalFormatting>
  <conditionalFormatting sqref="L1:L723">
    <cfRule type="cellIs" dxfId="1" priority="10" operator="equal">
      <formula>"YES"</formula>
    </cfRule>
  </conditionalFormatting>
  <conditionalFormatting sqref="L725:L734">
    <cfRule type="cellIs" dxfId="1" priority="11" operator="equal">
      <formula>"YES"</formula>
    </cfRule>
  </conditionalFormatting>
  <conditionalFormatting sqref="L739:L769">
    <cfRule type="cellIs" dxfId="1" priority="12" operator="equal">
      <formula>"YES"</formula>
    </cfRule>
  </conditionalFormatting>
  <conditionalFormatting sqref="M1:M2">
    <cfRule type="cellIs" dxfId="1" priority="13" operator="equal">
      <formula>"YES"</formula>
    </cfRule>
  </conditionalFormatting>
  <conditionalFormatting sqref="M739:M769">
    <cfRule type="cellIs" dxfId="1" priority="14" operator="equal">
      <formula>"YES"</formula>
    </cfRule>
  </conditionalFormatting>
  <conditionalFormatting sqref="I2:I723">
    <cfRule type="cellIs" dxfId="2" priority="15" operator="equal">
      <formula>"N/A"</formula>
    </cfRule>
  </conditionalFormatting>
  <conditionalFormatting sqref="I725:I734">
    <cfRule type="cellIs" dxfId="2" priority="16" operator="equal">
      <formula>"N/A"</formula>
    </cfRule>
  </conditionalFormatting>
  <conditionalFormatting sqref="L1:L723">
    <cfRule type="cellIs" dxfId="2" priority="17" operator="equal">
      <formula>"N/A"</formula>
    </cfRule>
  </conditionalFormatting>
  <conditionalFormatting sqref="L725:L734">
    <cfRule type="cellIs" dxfId="2" priority="18" operator="equal">
      <formula>"N/A"</formula>
    </cfRule>
  </conditionalFormatting>
  <conditionalFormatting sqref="L739:L769">
    <cfRule type="cellIs" dxfId="2" priority="19" operator="equal">
      <formula>"N/A"</formula>
    </cfRule>
  </conditionalFormatting>
  <conditionalFormatting sqref="M1:M2">
    <cfRule type="cellIs" dxfId="2" priority="20" operator="equal">
      <formula>"N/A"</formula>
    </cfRule>
  </conditionalFormatting>
  <conditionalFormatting sqref="M739:M769">
    <cfRule type="cellIs" dxfId="2" priority="21" operator="equal">
      <formula>"N/A"</formula>
    </cfRule>
  </conditionalFormatting>
  <hyperlinks>
    <hyperlink r:id="rId1" ref="E4"/>
    <hyperlink r:id="rId2" ref="E5"/>
    <hyperlink r:id="rId3" ref="E6"/>
    <hyperlink r:id="rId4" ref="E7"/>
    <hyperlink r:id="rId5" ref="E8"/>
    <hyperlink r:id="rId6" ref="E9"/>
    <hyperlink r:id="rId7" ref="E10"/>
    <hyperlink r:id="rId8" ref="E11"/>
    <hyperlink r:id="rId9" ref="M11"/>
    <hyperlink r:id="rId10" ref="M80"/>
    <hyperlink r:id="rId11" ref="M81"/>
    <hyperlink r:id="rId12" ref="M82"/>
    <hyperlink r:id="rId13" ref="M83"/>
    <hyperlink r:id="rId14" ref="M87"/>
    <hyperlink r:id="rId15" ref="M89"/>
    <hyperlink r:id="rId16" ref="M90"/>
    <hyperlink r:id="rId17" ref="M91"/>
    <hyperlink r:id="rId18" ref="M92"/>
    <hyperlink r:id="rId19" ref="M93"/>
    <hyperlink r:id="rId20" ref="M190"/>
    <hyperlink r:id="rId21" ref="M197"/>
    <hyperlink r:id="rId22" ref="M198"/>
    <hyperlink r:id="rId23" ref="M199"/>
    <hyperlink r:id="rId24" ref="E200"/>
    <hyperlink r:id="rId25" ref="M200"/>
    <hyperlink r:id="rId26" ref="M201"/>
    <hyperlink r:id="rId27" ref="M203"/>
    <hyperlink r:id="rId28" ref="M204"/>
    <hyperlink r:id="rId29" ref="M205"/>
    <hyperlink r:id="rId30" ref="E206"/>
    <hyperlink r:id="rId31" ref="M207"/>
    <hyperlink r:id="rId32" ref="M208"/>
    <hyperlink r:id="rId33" ref="M209"/>
    <hyperlink r:id="rId34" ref="M210"/>
    <hyperlink r:id="rId35" ref="M211"/>
    <hyperlink r:id="rId36" ref="M212"/>
    <hyperlink r:id="rId37" ref="M345"/>
    <hyperlink r:id="rId38" ref="M346"/>
    <hyperlink r:id="rId39" ref="M347"/>
    <hyperlink r:id="rId40" ref="M349"/>
    <hyperlink r:id="rId41" ref="M352"/>
    <hyperlink r:id="rId42" ref="M353"/>
    <hyperlink r:id="rId43" ref="M354"/>
    <hyperlink r:id="rId44" ref="G355"/>
    <hyperlink r:id="rId45" ref="M355"/>
    <hyperlink r:id="rId46" ref="M356"/>
    <hyperlink r:id="rId47" ref="M358"/>
    <hyperlink r:id="rId48" ref="E360"/>
    <hyperlink r:id="rId49" ref="M360"/>
    <hyperlink r:id="rId50" ref="E361"/>
    <hyperlink r:id="rId51" ref="E362"/>
    <hyperlink r:id="rId52" ref="M363"/>
    <hyperlink r:id="rId53" ref="M364"/>
    <hyperlink r:id="rId54" ref="M365"/>
    <hyperlink r:id="rId55" ref="M367"/>
    <hyperlink r:id="rId56" ref="M368"/>
    <hyperlink r:id="rId57" ref="M369"/>
    <hyperlink r:id="rId58" ref="M372"/>
    <hyperlink r:id="rId59" ref="M373"/>
    <hyperlink r:id="rId60" ref="M375"/>
    <hyperlink r:id="rId61" ref="M376"/>
    <hyperlink r:id="rId62" ref="M377"/>
    <hyperlink r:id="rId63" ref="M378"/>
    <hyperlink r:id="rId64" ref="M379"/>
    <hyperlink r:id="rId65" ref="M380"/>
    <hyperlink r:id="rId66" ref="M381"/>
    <hyperlink r:id="rId67" ref="M383"/>
    <hyperlink r:id="rId68" ref="M384"/>
    <hyperlink r:id="rId69" ref="M385"/>
    <hyperlink r:id="rId70" ref="M386"/>
    <hyperlink r:id="rId71" ref="M387"/>
    <hyperlink r:id="rId72" ref="M388"/>
    <hyperlink r:id="rId73" ref="M389"/>
    <hyperlink r:id="rId74" ref="M390"/>
    <hyperlink r:id="rId75" ref="M391"/>
    <hyperlink r:id="rId76" ref="M392"/>
    <hyperlink r:id="rId77" ref="M393"/>
    <hyperlink r:id="rId78" ref="M394"/>
    <hyperlink r:id="rId79" ref="M395"/>
    <hyperlink r:id="rId80" ref="M396"/>
    <hyperlink r:id="rId81" ref="M471"/>
    <hyperlink r:id="rId82" ref="M472"/>
    <hyperlink r:id="rId83" ref="M474"/>
    <hyperlink r:id="rId84" ref="M475"/>
    <hyperlink r:id="rId85" ref="E476"/>
    <hyperlink r:id="rId86" ref="M476"/>
    <hyperlink r:id="rId87" ref="E477"/>
    <hyperlink r:id="rId88" ref="M477"/>
    <hyperlink r:id="rId89" ref="M478"/>
    <hyperlink r:id="rId90" ref="M479"/>
    <hyperlink r:id="rId91" ref="M480"/>
    <hyperlink r:id="rId92" ref="M481"/>
    <hyperlink r:id="rId93" ref="M482"/>
    <hyperlink r:id="rId94" ref="M483"/>
    <hyperlink r:id="rId95" ref="M484"/>
    <hyperlink r:id="rId96" ref="M486"/>
    <hyperlink r:id="rId97" ref="M487"/>
    <hyperlink r:id="rId98" ref="M488"/>
    <hyperlink r:id="rId99" ref="M489"/>
    <hyperlink r:id="rId100" ref="M490"/>
    <hyperlink r:id="rId101" ref="M491"/>
    <hyperlink r:id="rId102" ref="M492"/>
    <hyperlink r:id="rId103" ref="M493"/>
    <hyperlink r:id="rId104" ref="M494"/>
    <hyperlink r:id="rId105" ref="M495"/>
    <hyperlink r:id="rId106" ref="M496"/>
    <hyperlink r:id="rId107" ref="M497"/>
    <hyperlink r:id="rId108" ref="M498"/>
    <hyperlink r:id="rId109" ref="M586"/>
    <hyperlink r:id="rId110" ref="M593"/>
    <hyperlink r:id="rId111" ref="M596"/>
    <hyperlink r:id="rId112" ref="M597"/>
    <hyperlink r:id="rId113" ref="M598"/>
    <hyperlink r:id="rId114" ref="M599"/>
    <hyperlink r:id="rId115" ref="M600"/>
    <hyperlink r:id="rId116" ref="M601"/>
    <hyperlink r:id="rId117" ref="M602"/>
    <hyperlink r:id="rId118" ref="M603"/>
    <hyperlink r:id="rId119" ref="M604"/>
    <hyperlink r:id="rId120" ref="M605"/>
    <hyperlink r:id="rId121" ref="M606"/>
    <hyperlink r:id="rId122" ref="M607"/>
    <hyperlink r:id="rId123" ref="M609"/>
    <hyperlink r:id="rId124" ref="M610"/>
    <hyperlink r:id="rId125" ref="M611"/>
    <hyperlink r:id="rId126" ref="M612"/>
    <hyperlink r:id="rId127" ref="M613"/>
    <hyperlink r:id="rId128" ref="M614"/>
    <hyperlink r:id="rId129" ref="M638"/>
    <hyperlink r:id="rId130" ref="M639"/>
    <hyperlink r:id="rId131" ref="M640"/>
    <hyperlink r:id="rId132" ref="M641"/>
    <hyperlink r:id="rId133" ref="M642"/>
    <hyperlink r:id="rId134" ref="M687"/>
    <hyperlink r:id="rId135" ref="E690"/>
    <hyperlink r:id="rId136" ref="M690"/>
    <hyperlink r:id="rId137" ref="M691"/>
    <hyperlink r:id="rId138" ref="M692"/>
    <hyperlink r:id="rId139" ref="M693"/>
    <hyperlink r:id="rId140" ref="M695"/>
    <hyperlink r:id="rId141" ref="M696"/>
    <hyperlink r:id="rId142" ref="M698"/>
    <hyperlink r:id="rId143" ref="M699"/>
    <hyperlink r:id="rId144" ref="M700"/>
    <hyperlink r:id="rId145" ref="M701"/>
    <hyperlink r:id="rId146" ref="E711"/>
    <hyperlink r:id="rId147" ref="M712"/>
    <hyperlink r:id="rId148" ref="M714"/>
    <hyperlink r:id="rId149" ref="E730"/>
    <hyperlink r:id="rId150" ref="M730"/>
    <hyperlink r:id="rId151" ref="M731"/>
    <hyperlink r:id="rId152" ref="M732"/>
    <hyperlink r:id="rId153" ref="M737"/>
  </hyperlinks>
  <drawing r:id="rId15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2.75"/>
  <cols>
    <col customWidth="1" min="1" max="1" width="11.0"/>
    <col customWidth="1" min="2" max="2" width="8.13"/>
    <col customWidth="1" min="3" max="3" width="28.75"/>
    <col customWidth="1" min="4" max="4" width="31.25"/>
    <col customWidth="1" min="5" max="5" width="12.13"/>
    <col customWidth="1" min="6" max="6" width="12.5"/>
    <col customWidth="1" min="7" max="8" width="15.13"/>
  </cols>
  <sheetData>
    <row r="1" ht="29.25" customHeight="1">
      <c r="A1" s="1"/>
      <c r="B1" s="285"/>
      <c r="C1" s="126"/>
      <c r="D1" s="126"/>
      <c r="E1" s="285"/>
      <c r="F1" s="285"/>
      <c r="G1" s="1"/>
      <c r="H1" s="1"/>
    </row>
    <row r="2" ht="31.5" customHeight="1">
      <c r="A2" s="9"/>
      <c r="B2" s="286" t="s">
        <v>0</v>
      </c>
      <c r="C2" s="287" t="s">
        <v>3222</v>
      </c>
      <c r="D2" s="288" t="s">
        <v>3223</v>
      </c>
      <c r="E2" s="288" t="s">
        <v>3</v>
      </c>
      <c r="F2" s="288" t="s">
        <v>3224</v>
      </c>
      <c r="G2" s="17"/>
      <c r="H2" s="1"/>
    </row>
    <row r="3">
      <c r="A3" s="9"/>
      <c r="B3" s="289">
        <v>1.0</v>
      </c>
      <c r="C3" s="290" t="str">
        <f>hyperlink("http://open.spotify.com/track/5gFYWekisDqW90FHeM2VlI","Just Like Heaven")</f>
        <v>Just Like Heaven</v>
      </c>
      <c r="D3" s="291" t="s">
        <v>3225</v>
      </c>
      <c r="E3" s="55" t="s">
        <v>13</v>
      </c>
      <c r="F3" s="292">
        <v>2008.0</v>
      </c>
      <c r="G3" s="17"/>
      <c r="H3" s="1"/>
    </row>
    <row r="4">
      <c r="A4" s="9"/>
      <c r="B4" s="293">
        <f t="shared" ref="B4:B109" si="1">B3+1</f>
        <v>2</v>
      </c>
      <c r="C4" s="290" t="str">
        <f>hyperlink("http://open.spotify.com/track/7z7jhAa3hmfvaHA3aFWXT6","Catch The Wind")</f>
        <v>Catch The Wind</v>
      </c>
      <c r="D4" s="291" t="s">
        <v>3226</v>
      </c>
      <c r="E4" s="55" t="s">
        <v>13</v>
      </c>
      <c r="F4" s="292">
        <v>1965.0</v>
      </c>
      <c r="G4" s="17"/>
      <c r="H4" s="1"/>
    </row>
    <row r="5">
      <c r="A5" s="9"/>
      <c r="B5" s="293">
        <f t="shared" si="1"/>
        <v>3</v>
      </c>
      <c r="C5" s="290" t="str">
        <f>hyperlink("https://play.spotify.com/track/0Wl42CUb1phIU9O2aR1wXI","Disarm")</f>
        <v>Disarm</v>
      </c>
      <c r="D5" s="291" t="s">
        <v>3227</v>
      </c>
      <c r="E5" s="55" t="s">
        <v>13</v>
      </c>
      <c r="F5" s="292">
        <v>1991.0</v>
      </c>
      <c r="G5" s="17"/>
      <c r="H5" s="1"/>
    </row>
    <row r="6">
      <c r="A6" s="9"/>
      <c r="B6" s="293">
        <f t="shared" si="1"/>
        <v>4</v>
      </c>
      <c r="C6" s="290" t="str">
        <f>hyperlink("http://open.spotify.com/track/0MqCZXWToZuGbnHGJREXqb","Save it for a Rainy Day")</f>
        <v>Save it for a Rainy Day</v>
      </c>
      <c r="D6" s="291" t="s">
        <v>3228</v>
      </c>
      <c r="E6" s="55" t="s">
        <v>13</v>
      </c>
      <c r="F6" s="292">
        <v>2003.0</v>
      </c>
      <c r="G6" s="17"/>
      <c r="H6" s="1"/>
    </row>
    <row r="7">
      <c r="A7" s="9"/>
      <c r="B7" s="293">
        <f t="shared" si="1"/>
        <v>5</v>
      </c>
      <c r="C7" s="290" t="str">
        <f>hyperlink("http://open.spotify.com/track/5dRQUolXAVX3BbCiIxmSsf","Your Love")</f>
        <v>Your Love</v>
      </c>
      <c r="D7" s="291" t="s">
        <v>3229</v>
      </c>
      <c r="E7" s="55" t="s">
        <v>13</v>
      </c>
      <c r="F7" s="292">
        <v>1985.0</v>
      </c>
      <c r="G7" s="17"/>
      <c r="H7" s="1"/>
    </row>
    <row r="8">
      <c r="A8" s="9"/>
      <c r="B8" s="293">
        <f t="shared" si="1"/>
        <v>6</v>
      </c>
      <c r="C8" s="290" t="str">
        <f>hyperlink("http://open.spotify.com/track/14bdkfiD8UAYJalXKFwcwb","Thirteen")</f>
        <v>Thirteen</v>
      </c>
      <c r="D8" s="291" t="s">
        <v>3230</v>
      </c>
      <c r="E8" s="55" t="s">
        <v>13</v>
      </c>
      <c r="F8" s="292">
        <v>1972.0</v>
      </c>
      <c r="G8" s="17"/>
      <c r="H8" s="1"/>
    </row>
    <row r="9">
      <c r="A9" s="9"/>
      <c r="B9" s="293">
        <f t="shared" si="1"/>
        <v>7</v>
      </c>
      <c r="C9" s="290" t="str">
        <f>hyperlink("https://play.spotify.com/track/2ySUQ9ISDdxy2HcU1iTta3","Photograph")</f>
        <v>Photograph</v>
      </c>
      <c r="D9" s="291" t="s">
        <v>3231</v>
      </c>
      <c r="E9" s="55" t="s">
        <v>19</v>
      </c>
      <c r="F9" s="292">
        <v>1973.0</v>
      </c>
      <c r="G9" s="17"/>
      <c r="H9" s="1"/>
    </row>
    <row r="10">
      <c r="A10" s="9"/>
      <c r="B10" s="293">
        <f t="shared" si="1"/>
        <v>8</v>
      </c>
      <c r="C10" s="290" t="str">
        <f>hyperlink("http://open.spotify.com/track/47cdhtxTfp7WvUbDpDeYa2","Sweet Baby James")</f>
        <v>Sweet Baby James</v>
      </c>
      <c r="D10" s="291" t="s">
        <v>3232</v>
      </c>
      <c r="E10" s="55" t="s">
        <v>19</v>
      </c>
      <c r="F10" s="292">
        <v>1970.0</v>
      </c>
      <c r="G10" s="17"/>
      <c r="H10" s="1"/>
    </row>
    <row r="11">
      <c r="A11" s="9"/>
      <c r="B11" s="293">
        <f t="shared" si="1"/>
        <v>9</v>
      </c>
      <c r="C11" s="290" t="str">
        <f>hyperlink("Mad World")</f>
        <v>Mad World</v>
      </c>
      <c r="D11" s="291" t="s">
        <v>3233</v>
      </c>
      <c r="E11" s="55" t="s">
        <v>24</v>
      </c>
      <c r="F11" s="292">
        <v>2002.0</v>
      </c>
      <c r="G11" s="17"/>
      <c r="H11" s="1"/>
    </row>
    <row r="12">
      <c r="A12" s="9"/>
      <c r="B12" s="293">
        <f t="shared" si="1"/>
        <v>10</v>
      </c>
      <c r="C12" s="290" t="str">
        <f>hyperlink("http://open.spotify.com/track/14WB9RMGcLvEKWNgPP22fV","Headlights")</f>
        <v>Headlights</v>
      </c>
      <c r="D12" s="291" t="s">
        <v>3234</v>
      </c>
      <c r="E12" s="55" t="s">
        <v>24</v>
      </c>
      <c r="F12" s="292">
        <v>2013.0</v>
      </c>
      <c r="G12" s="17"/>
      <c r="H12" s="1"/>
    </row>
    <row r="13">
      <c r="A13" s="9"/>
      <c r="B13" s="293">
        <f t="shared" si="1"/>
        <v>11</v>
      </c>
      <c r="C13" s="290" t="str">
        <f>hyperlink("http://open.spotify.com/track/4eO6lK0DFBuVA5hgB2B1uv","How To Say Goodbye")</f>
        <v>How To Say Goodbye</v>
      </c>
      <c r="D13" s="291" t="s">
        <v>3235</v>
      </c>
      <c r="E13" s="55" t="s">
        <v>24</v>
      </c>
      <c r="F13" s="292">
        <v>2004.0</v>
      </c>
      <c r="G13" s="17"/>
      <c r="H13" s="1"/>
    </row>
    <row r="14">
      <c r="A14" s="9"/>
      <c r="B14" s="293">
        <f t="shared" si="1"/>
        <v>12</v>
      </c>
      <c r="C14" s="290" t="str">
        <f>hyperlink("http://open.spotify.com/track/4o0NjemqhmsYLIMwlcosvW","The Funeral")</f>
        <v>The Funeral</v>
      </c>
      <c r="D14" s="291" t="s">
        <v>3236</v>
      </c>
      <c r="E14" s="55" t="s">
        <v>24</v>
      </c>
      <c r="F14" s="292">
        <v>2006.0</v>
      </c>
      <c r="G14" s="17"/>
      <c r="H14" s="1"/>
    </row>
    <row r="15">
      <c r="A15" s="9"/>
      <c r="B15" s="293">
        <f t="shared" si="1"/>
        <v>13</v>
      </c>
      <c r="C15" s="290" t="str">
        <f>hyperlink("https://play.spotify.com/track/35aB9VQOoep14oPa2W5Mp8","Mexico")</f>
        <v>Mexico</v>
      </c>
      <c r="D15" s="291" t="s">
        <v>3237</v>
      </c>
      <c r="E15" s="55" t="s">
        <v>24</v>
      </c>
      <c r="F15" s="292">
        <v>2001.0</v>
      </c>
      <c r="G15" s="17"/>
      <c r="H15" s="1"/>
    </row>
    <row r="16">
      <c r="A16" s="9"/>
      <c r="B16" s="293">
        <f t="shared" si="1"/>
        <v>14</v>
      </c>
      <c r="C16" s="290" t="str">
        <f>hyperlink("http://open.spotify.com/track/1nCSr7oGeUv7sUEoYuAJFF","Remember When")</f>
        <v>Remember When</v>
      </c>
      <c r="D16" s="291" t="s">
        <v>3238</v>
      </c>
      <c r="E16" s="55" t="s">
        <v>24</v>
      </c>
      <c r="F16" s="292">
        <v>2003.0</v>
      </c>
      <c r="G16" s="17"/>
      <c r="H16" s="1"/>
    </row>
    <row r="17">
      <c r="A17" s="9"/>
      <c r="B17" s="293">
        <f t="shared" si="1"/>
        <v>15</v>
      </c>
      <c r="C17" s="290" t="str">
        <f>hyperlink("http://open.spotify.com/track/07YhAU4StAFzsWv2gMCCPb","Gimme Sympathy - Acoustic")</f>
        <v>Gimme Sympathy - Acoustic</v>
      </c>
      <c r="D17" s="291" t="s">
        <v>3239</v>
      </c>
      <c r="E17" s="55" t="s">
        <v>24</v>
      </c>
      <c r="F17" s="292">
        <v>2009.0</v>
      </c>
      <c r="G17" s="17"/>
      <c r="H17" s="1"/>
    </row>
    <row r="18">
      <c r="A18" s="9"/>
      <c r="B18" s="293">
        <f t="shared" si="1"/>
        <v>16</v>
      </c>
      <c r="C18" s="290" t="str">
        <f>hyperlink("http://open.spotify.com/track/26lCNg8WekUoDbLhEbUyXZ","Lawyers In Love")</f>
        <v>Lawyers In Love</v>
      </c>
      <c r="D18" s="291" t="s">
        <v>3240</v>
      </c>
      <c r="E18" s="55" t="s">
        <v>24</v>
      </c>
      <c r="F18" s="292">
        <v>1983.0</v>
      </c>
      <c r="G18" s="17"/>
      <c r="H18" s="1"/>
    </row>
    <row r="19">
      <c r="A19" s="9"/>
      <c r="B19" s="293">
        <f t="shared" si="1"/>
        <v>17</v>
      </c>
      <c r="C19" s="290" t="str">
        <f>hyperlink("http://open.spotify.com/track/2vdv724FGQhaBMxJGYk5zO","Ruby Tuesday")</f>
        <v>Ruby Tuesday</v>
      </c>
      <c r="D19" s="291" t="s">
        <v>3241</v>
      </c>
      <c r="E19" s="55" t="s">
        <v>24</v>
      </c>
      <c r="F19" s="292">
        <v>1967.0</v>
      </c>
      <c r="G19" s="17"/>
      <c r="H19" s="1"/>
    </row>
    <row r="20">
      <c r="A20" s="9"/>
      <c r="B20" s="293">
        <f t="shared" si="1"/>
        <v>18</v>
      </c>
      <c r="C20" s="290" t="str">
        <f>hyperlink("https://www.youtube.com/watch?v=V3rv2L7w77E","In The Groove Again")</f>
        <v>In The Groove Again</v>
      </c>
      <c r="D20" s="291" t="s">
        <v>3242</v>
      </c>
      <c r="E20" s="55" t="s">
        <v>24</v>
      </c>
      <c r="F20" s="292">
        <v>1995.0</v>
      </c>
      <c r="G20" s="17"/>
      <c r="H20" s="1"/>
    </row>
    <row r="21">
      <c r="A21" s="9"/>
      <c r="B21" s="293">
        <f t="shared" si="1"/>
        <v>19</v>
      </c>
      <c r="C21" s="290" t="str">
        <f>hyperlink("https://play.spotify.com/track/3LcYYV9ozePfgYYmXv0P3r","Fire and Rain")</f>
        <v>Fire and Rain</v>
      </c>
      <c r="D21" s="291" t="s">
        <v>3232</v>
      </c>
      <c r="E21" s="55" t="s">
        <v>24</v>
      </c>
      <c r="F21" s="292">
        <v>1970.0</v>
      </c>
      <c r="G21" s="17"/>
      <c r="H21" s="1"/>
    </row>
    <row r="22">
      <c r="A22" s="9"/>
      <c r="B22" s="293">
        <f t="shared" si="1"/>
        <v>20</v>
      </c>
      <c r="C22" s="290" t="str">
        <f>hyperlink("https://play.spotify.com/track/77vgQcXbwX5C4oapmx6phI","Father and Son")</f>
        <v>Father and Son</v>
      </c>
      <c r="D22" s="291" t="s">
        <v>3243</v>
      </c>
      <c r="E22" s="55" t="s">
        <v>24</v>
      </c>
      <c r="F22" s="292">
        <v>1970.0</v>
      </c>
      <c r="G22" s="17"/>
      <c r="H22" s="1"/>
    </row>
    <row r="23">
      <c r="A23" s="9"/>
      <c r="B23" s="293">
        <f t="shared" si="1"/>
        <v>21</v>
      </c>
      <c r="C23" s="290" t="str">
        <f>hyperlink("https://play.spotify.com/track/5ihS6UUlyQAfmp48eSkxuQ", "Landslide")</f>
        <v>Landslide</v>
      </c>
      <c r="D23" s="291" t="s">
        <v>3244</v>
      </c>
      <c r="E23" s="55" t="s">
        <v>24</v>
      </c>
      <c r="F23" s="292">
        <v>1975.0</v>
      </c>
      <c r="G23" s="17"/>
      <c r="H23" s="1"/>
    </row>
    <row r="24">
      <c r="A24" s="9"/>
      <c r="B24" s="293">
        <f t="shared" si="1"/>
        <v>22</v>
      </c>
      <c r="C24" s="290" t="str">
        <f>hyperlink("https://play.spotify.com/track/6zC0mpGYwbNTpk9SKwh08f","Wonderful Tonight")</f>
        <v>Wonderful Tonight</v>
      </c>
      <c r="D24" s="291" t="s">
        <v>3245</v>
      </c>
      <c r="E24" s="55" t="s">
        <v>24</v>
      </c>
      <c r="F24" s="292">
        <v>1977.0</v>
      </c>
      <c r="G24" s="17"/>
      <c r="H24" s="1"/>
    </row>
    <row r="25">
      <c r="A25" s="9"/>
      <c r="B25" s="293">
        <f t="shared" si="1"/>
        <v>23</v>
      </c>
      <c r="C25" s="290" t="str">
        <f>hyperlink("https://play.spotify.com/track/1RYSbUnasW12klBZ9lxWIM","Losing My Religion")</f>
        <v>Losing My Religion</v>
      </c>
      <c r="D25" s="291" t="s">
        <v>3246</v>
      </c>
      <c r="E25" s="55" t="s">
        <v>24</v>
      </c>
      <c r="F25" s="292">
        <v>1991.0</v>
      </c>
      <c r="G25" s="17"/>
      <c r="H25" s="1"/>
    </row>
    <row r="26">
      <c r="A26" s="9"/>
      <c r="B26" s="293">
        <f t="shared" si="1"/>
        <v>24</v>
      </c>
      <c r="C26" s="290" t="str">
        <f>hyperlink("https://play.spotify.com/track/3arKRnq9OUd7yq6LRwVW8I","Soul To Squeeze")</f>
        <v>Soul To Squeeze</v>
      </c>
      <c r="D26" s="291" t="s">
        <v>3247</v>
      </c>
      <c r="E26" s="55" t="s">
        <v>24</v>
      </c>
      <c r="F26" s="292">
        <v>1993.0</v>
      </c>
      <c r="G26" s="17"/>
      <c r="H26" s="1"/>
    </row>
    <row r="27">
      <c r="A27" s="9"/>
      <c r="B27" s="293">
        <f t="shared" si="1"/>
        <v>25</v>
      </c>
      <c r="C27" s="290" t="str">
        <f>hyperlink("http://open.spotify.com/track/06uiDyZsrwnZ0o0q1Y8Ax2","Mr. Bojangles")</f>
        <v>Mr. Bojangles</v>
      </c>
      <c r="D27" s="291" t="s">
        <v>3248</v>
      </c>
      <c r="E27" s="55" t="s">
        <v>24</v>
      </c>
      <c r="F27" s="292">
        <v>1970.0</v>
      </c>
      <c r="G27" s="17"/>
      <c r="H27" s="1"/>
    </row>
    <row r="28">
      <c r="A28" s="9"/>
      <c r="B28" s="293">
        <f t="shared" si="1"/>
        <v>26</v>
      </c>
      <c r="C28" s="290" t="str">
        <f>hyperlink("https://play.spotify.com/track/4TIZrHkVMOnEb0L3Vj8zUc","Boys of Summer")</f>
        <v>Boys of Summer</v>
      </c>
      <c r="D28" s="291" t="s">
        <v>3249</v>
      </c>
      <c r="E28" s="55" t="s">
        <v>24</v>
      </c>
      <c r="F28" s="292">
        <v>1984.0</v>
      </c>
      <c r="G28" s="17"/>
      <c r="H28" s="1"/>
    </row>
    <row r="29">
      <c r="A29" s="9"/>
      <c r="B29" s="293">
        <f t="shared" si="1"/>
        <v>27</v>
      </c>
      <c r="C29" s="290" t="str">
        <f>hyperlink("http://open.spotify.com/track/7r3EaAW4FiPCRnPYZ7azfl","Con Te Partiro")</f>
        <v>Con Te Partiro</v>
      </c>
      <c r="D29" s="291" t="s">
        <v>3250</v>
      </c>
      <c r="E29" s="55" t="s">
        <v>24</v>
      </c>
      <c r="F29" s="292">
        <v>1995.0</v>
      </c>
      <c r="G29" s="17"/>
      <c r="H29" s="1"/>
    </row>
    <row r="30">
      <c r="A30" s="9"/>
      <c r="B30" s="293">
        <f t="shared" si="1"/>
        <v>28</v>
      </c>
      <c r="C30" s="290" t="str">
        <f>hyperlink("https://play.spotify.com/track/51z3II8ZUCj4KGaUk9DKUg","Down The Road")</f>
        <v>Down The Road</v>
      </c>
      <c r="D30" s="291" t="s">
        <v>3251</v>
      </c>
      <c r="E30" s="55" t="s">
        <v>24</v>
      </c>
      <c r="F30" s="292">
        <v>2008.0</v>
      </c>
      <c r="G30" s="17"/>
      <c r="H30" s="1"/>
    </row>
    <row r="31">
      <c r="A31" s="9"/>
      <c r="B31" s="293">
        <f t="shared" si="1"/>
        <v>29</v>
      </c>
      <c r="C31" s="290" t="str">
        <f>hyperlink("https://play.spotify.com/track/3NW1YMA8kfNVTzGJCGBS8m","Both Sides Now")</f>
        <v>Both Sides Now</v>
      </c>
      <c r="D31" s="291" t="s">
        <v>3252</v>
      </c>
      <c r="E31" s="55" t="s">
        <v>24</v>
      </c>
      <c r="F31" s="292">
        <v>1969.0</v>
      </c>
      <c r="G31" s="17"/>
      <c r="H31" s="1"/>
    </row>
    <row r="32">
      <c r="A32" s="9"/>
      <c r="B32" s="293">
        <f t="shared" si="1"/>
        <v>30</v>
      </c>
      <c r="C32" s="290" t="str">
        <f>hyperlink("https://play.spotify.com/track/6sPaFJy3xqReKfZQkY8p79","Everyday")</f>
        <v>Everyday</v>
      </c>
      <c r="D32" s="291" t="s">
        <v>3253</v>
      </c>
      <c r="E32" s="55" t="s">
        <v>24</v>
      </c>
      <c r="F32" s="292" t="s">
        <v>3254</v>
      </c>
      <c r="G32" s="17"/>
      <c r="H32" s="1"/>
    </row>
    <row r="33">
      <c r="A33" s="9"/>
      <c r="B33" s="293">
        <f t="shared" si="1"/>
        <v>31</v>
      </c>
      <c r="C33" s="290" t="str">
        <f>hyperlink("https://play.spotify.com/track/1LzNfuep1bnAUR9skqdHCK","Fade Into You")</f>
        <v>Fade Into You</v>
      </c>
      <c r="D33" s="291" t="s">
        <v>3255</v>
      </c>
      <c r="E33" s="55" t="s">
        <v>24</v>
      </c>
      <c r="F33" s="292">
        <v>1993.0</v>
      </c>
      <c r="G33" s="17"/>
      <c r="H33" s="1"/>
    </row>
    <row r="34">
      <c r="A34" s="9"/>
      <c r="B34" s="293">
        <f t="shared" si="1"/>
        <v>32</v>
      </c>
      <c r="C34" s="290" t="str">
        <f>hyperlink("https://play.spotify.com/track/3AhXZa8sUQht0UEdBJgpGc","Like A Rolling Stone")</f>
        <v>Like A Rolling Stone</v>
      </c>
      <c r="D34" s="291" t="s">
        <v>3256</v>
      </c>
      <c r="E34" s="55" t="s">
        <v>24</v>
      </c>
      <c r="F34" s="292">
        <v>1965.0</v>
      </c>
      <c r="G34" s="17"/>
      <c r="H34" s="1"/>
    </row>
    <row r="35">
      <c r="A35" s="9"/>
      <c r="B35" s="293">
        <f t="shared" si="1"/>
        <v>33</v>
      </c>
      <c r="C35" s="290" t="str">
        <f>hyperlink("http://open.spotify.com/track/4YJ4n7DsZhR5hrnsMfn6zV","Wind of Change")</f>
        <v>Wind of Change</v>
      </c>
      <c r="D35" s="291" t="s">
        <v>3257</v>
      </c>
      <c r="E35" s="55" t="s">
        <v>24</v>
      </c>
      <c r="F35" s="292">
        <v>1990.0</v>
      </c>
      <c r="G35" s="17"/>
      <c r="H35" s="1"/>
    </row>
    <row r="36">
      <c r="A36" s="9"/>
      <c r="B36" s="293">
        <f t="shared" si="1"/>
        <v>34</v>
      </c>
      <c r="C36" s="290" t="str">
        <f>hyperlink("http://open.spotify.com/track/26tWBbtjvgi0tipRL2VQ2X","Brothers in Arms")</f>
        <v>Brothers in Arms</v>
      </c>
      <c r="D36" s="291" t="s">
        <v>3258</v>
      </c>
      <c r="E36" s="55" t="s">
        <v>24</v>
      </c>
      <c r="F36" s="292">
        <v>1985.0</v>
      </c>
      <c r="G36" s="17"/>
      <c r="H36" s="1"/>
    </row>
    <row r="37">
      <c r="A37" s="9"/>
      <c r="B37" s="293">
        <f t="shared" si="1"/>
        <v>35</v>
      </c>
      <c r="C37" s="290" t="str">
        <f>hyperlink("https://play.spotify.com/track/38zsOOcu31XbbYj9BIPUF1","Your Song")</f>
        <v>Your Song</v>
      </c>
      <c r="D37" s="291" t="s">
        <v>3259</v>
      </c>
      <c r="E37" s="55" t="s">
        <v>24</v>
      </c>
      <c r="F37" s="292">
        <v>1970.0</v>
      </c>
      <c r="G37" s="17"/>
      <c r="H37" s="1"/>
    </row>
    <row r="38">
      <c r="A38" s="9"/>
      <c r="B38" s="293">
        <f t="shared" si="1"/>
        <v>36</v>
      </c>
      <c r="C38" s="290" t="str">
        <f>hyperlink("https://play.spotify.com/track/2EowclmjcHVK6W8xlngurh","Coming Home")</f>
        <v>Coming Home</v>
      </c>
      <c r="D38" s="291" t="s">
        <v>3260</v>
      </c>
      <c r="E38" s="55" t="s">
        <v>24</v>
      </c>
      <c r="F38" s="292">
        <v>2011.0</v>
      </c>
      <c r="G38" s="17"/>
      <c r="H38" s="1"/>
    </row>
    <row r="39">
      <c r="A39" s="9"/>
      <c r="B39" s="293">
        <f t="shared" si="1"/>
        <v>37</v>
      </c>
      <c r="C39" s="290" t="str">
        <f>hyperlink("http://open.spotify.com/track/0Nz8IiH6hYL2xmpDjo28K9","Live Forever")</f>
        <v>Live Forever</v>
      </c>
      <c r="D39" s="291" t="s">
        <v>3261</v>
      </c>
      <c r="E39" s="55" t="s">
        <v>34</v>
      </c>
      <c r="F39" s="292">
        <v>1994.0</v>
      </c>
      <c r="G39" s="17"/>
      <c r="H39" s="1"/>
    </row>
    <row r="40">
      <c r="A40" s="9"/>
      <c r="B40" s="293">
        <f t="shared" si="1"/>
        <v>38</v>
      </c>
      <c r="C40" s="290" t="str">
        <f>hyperlink("http://open.spotify.com/track/1Xzdb4zPMZ8eDAnSHhn6sf","The Kid")</f>
        <v>The Kid</v>
      </c>
      <c r="D40" s="291" t="s">
        <v>3262</v>
      </c>
      <c r="E40" s="55" t="s">
        <v>34</v>
      </c>
      <c r="F40" s="292">
        <v>1999.0</v>
      </c>
      <c r="G40" s="17"/>
      <c r="H40" s="1"/>
    </row>
    <row r="41">
      <c r="A41" s="9"/>
      <c r="B41" s="293">
        <f t="shared" si="1"/>
        <v>39</v>
      </c>
      <c r="C41" s="290" t="str">
        <f>hyperlink("http://open.spotify.com/track/6GRDI9suQHikFP6euIXnpq","Hero")</f>
        <v>Hero</v>
      </c>
      <c r="D41" s="291" t="s">
        <v>3263</v>
      </c>
      <c r="E41" s="55" t="s">
        <v>34</v>
      </c>
      <c r="F41" s="292">
        <v>2012.0</v>
      </c>
      <c r="G41" s="17"/>
      <c r="H41" s="1"/>
    </row>
    <row r="42">
      <c r="A42" s="9"/>
      <c r="B42" s="293">
        <f t="shared" si="1"/>
        <v>40</v>
      </c>
      <c r="C42" s="290" t="str">
        <f>hyperlink("http://open.spotify.com/track/1QsiAhDhQG2VRqs6R07j8N","Between the Bars")</f>
        <v>Between the Bars</v>
      </c>
      <c r="D42" s="291" t="s">
        <v>3264</v>
      </c>
      <c r="E42" s="55" t="s">
        <v>34</v>
      </c>
      <c r="F42" s="292">
        <v>1997.0</v>
      </c>
      <c r="G42" s="17"/>
      <c r="H42" s="1"/>
    </row>
    <row r="43">
      <c r="A43" s="9"/>
      <c r="B43" s="293">
        <f t="shared" si="1"/>
        <v>41</v>
      </c>
      <c r="C43" s="290" t="str">
        <f>hyperlink("https://play.spotify.com/track/37KL1oRZD8yzcke0yYdkE0","Society")</f>
        <v>Society</v>
      </c>
      <c r="D43" s="291" t="s">
        <v>3265</v>
      </c>
      <c r="E43" s="55" t="s">
        <v>34</v>
      </c>
      <c r="F43" s="292">
        <v>2007.0</v>
      </c>
      <c r="G43" s="17"/>
      <c r="H43" s="1"/>
    </row>
    <row r="44">
      <c r="A44" s="9"/>
      <c r="B44" s="293">
        <f t="shared" si="1"/>
        <v>42</v>
      </c>
      <c r="C44" s="290" t="str">
        <f>hyperlink("https://play.spotify.com/track/6e8TXCcw34BRfNOrEUPjjC","This Year's Love")</f>
        <v>This Year's Love</v>
      </c>
      <c r="D44" s="291" t="s">
        <v>3266</v>
      </c>
      <c r="E44" s="55" t="s">
        <v>34</v>
      </c>
      <c r="F44" s="292">
        <v>1998.0</v>
      </c>
      <c r="G44" s="17"/>
      <c r="H44" s="1"/>
    </row>
    <row r="45">
      <c r="A45" s="9"/>
      <c r="B45" s="293">
        <f t="shared" si="1"/>
        <v>43</v>
      </c>
      <c r="C45" s="290" t="str">
        <f>hyperlink("https://play.spotify.com/track/4kflIGfjdZJW4ot2ioixTB","Someone Like You")</f>
        <v>Someone Like You</v>
      </c>
      <c r="D45" s="291" t="s">
        <v>3267</v>
      </c>
      <c r="E45" s="55" t="s">
        <v>34</v>
      </c>
      <c r="F45" s="292">
        <v>2011.0</v>
      </c>
      <c r="G45" s="17"/>
      <c r="H45" s="1"/>
    </row>
    <row r="46">
      <c r="A46" s="9"/>
      <c r="B46" s="293">
        <f t="shared" si="1"/>
        <v>44</v>
      </c>
      <c r="C46" s="290" t="str">
        <f>hyperlink("https://play.spotify.com/track/2rhpB3JxUYGc737fRoKm96","Changes")</f>
        <v>Changes</v>
      </c>
      <c r="D46" s="291" t="s">
        <v>3268</v>
      </c>
      <c r="E46" s="55" t="s">
        <v>34</v>
      </c>
      <c r="F46" s="292">
        <v>1971.0</v>
      </c>
      <c r="G46" s="17"/>
      <c r="H46" s="1"/>
    </row>
    <row r="47">
      <c r="A47" s="9"/>
      <c r="B47" s="293">
        <f t="shared" si="1"/>
        <v>45</v>
      </c>
      <c r="C47" s="290" t="str">
        <f>hyperlink("http://open.spotify.com/track/0xb6220jAyOgKwukn1VxZ8","God Only Knows")</f>
        <v>God Only Knows</v>
      </c>
      <c r="D47" s="291" t="s">
        <v>3269</v>
      </c>
      <c r="E47" s="55" t="s">
        <v>34</v>
      </c>
      <c r="F47" s="292">
        <v>1966.0</v>
      </c>
      <c r="G47" s="17"/>
      <c r="H47" s="1"/>
    </row>
    <row r="48">
      <c r="A48" s="9"/>
      <c r="B48" s="293">
        <f t="shared" si="1"/>
        <v>46</v>
      </c>
      <c r="C48" s="290" t="str">
        <f>hyperlink("http://open.spotify.com/track/5Yt80fWRB8JG73XlPjrrKP","Another Brick In The Wall, Part 2")</f>
        <v>Another Brick In The Wall, Part 2</v>
      </c>
      <c r="D48" s="291" t="s">
        <v>3270</v>
      </c>
      <c r="E48" s="55" t="s">
        <v>34</v>
      </c>
      <c r="F48" s="292">
        <v>1979.0</v>
      </c>
      <c r="G48" s="17"/>
      <c r="H48" s="1"/>
    </row>
    <row r="49">
      <c r="A49" s="9"/>
      <c r="B49" s="293">
        <f t="shared" si="1"/>
        <v>47</v>
      </c>
      <c r="C49" s="290" t="str">
        <f>hyperlink("http://open.spotify.com/track/7L8WxiOqgVFcrypKyrAPVx","Already  Gone")</f>
        <v>Already  Gone</v>
      </c>
      <c r="D49" s="291" t="s">
        <v>3271</v>
      </c>
      <c r="E49" s="55" t="s">
        <v>34</v>
      </c>
      <c r="F49" s="292">
        <v>1972.0</v>
      </c>
      <c r="G49" s="17"/>
      <c r="H49" s="1"/>
    </row>
    <row r="50">
      <c r="A50" s="9"/>
      <c r="B50" s="293">
        <f t="shared" si="1"/>
        <v>48</v>
      </c>
      <c r="C50" s="290" t="str">
        <f>hyperlink("https://play.spotify.com/track/22W8VZFcnj4BCIaixnpW0L","Tiny Dancer")</f>
        <v>Tiny Dancer</v>
      </c>
      <c r="D50" s="291" t="s">
        <v>3259</v>
      </c>
      <c r="E50" s="55" t="s">
        <v>34</v>
      </c>
      <c r="F50" s="292">
        <v>1971.0</v>
      </c>
      <c r="G50" s="17"/>
      <c r="H50" s="1"/>
    </row>
    <row r="51">
      <c r="A51" s="9"/>
      <c r="B51" s="293">
        <f t="shared" si="1"/>
        <v>49</v>
      </c>
      <c r="C51" s="290" t="str">
        <f>hyperlink("https://play.spotify.com/track/6UaRii9AH6Zss9xNMEQ2M9","Love The Way You Lie")</f>
        <v>Love The Way You Lie</v>
      </c>
      <c r="D51" s="291" t="s">
        <v>3272</v>
      </c>
      <c r="E51" s="55" t="s">
        <v>34</v>
      </c>
      <c r="F51" s="292">
        <v>2010.0</v>
      </c>
      <c r="G51" s="17"/>
      <c r="H51" s="1"/>
    </row>
    <row r="52">
      <c r="A52" s="9"/>
      <c r="B52" s="293">
        <f t="shared" si="1"/>
        <v>50</v>
      </c>
      <c r="C52" s="290" t="str">
        <f>hyperlink("http://open.spotify.com/track/77NNZQSqzLNqh2A9JhLRkg","Don't Stop Believin")</f>
        <v>Don't Stop Believin</v>
      </c>
      <c r="D52" s="291" t="s">
        <v>3273</v>
      </c>
      <c r="E52" s="55" t="s">
        <v>34</v>
      </c>
      <c r="F52" s="292">
        <v>1981.0</v>
      </c>
      <c r="G52" s="17"/>
      <c r="H52" s="1"/>
    </row>
    <row r="53">
      <c r="A53" s="9"/>
      <c r="B53" s="293">
        <f t="shared" si="1"/>
        <v>51</v>
      </c>
      <c r="C53" s="290" t="str">
        <f>hyperlink("https://play.spotify.com/track/5a5Q60zkE4njZWgyR0r7Mm","There Goes My Life")</f>
        <v>There Goes My Life</v>
      </c>
      <c r="D53" s="291" t="s">
        <v>3274</v>
      </c>
      <c r="E53" s="55" t="s">
        <v>34</v>
      </c>
      <c r="F53" s="292">
        <v>2004.0</v>
      </c>
      <c r="G53" s="17"/>
      <c r="H53" s="1"/>
    </row>
    <row r="54">
      <c r="A54" s="9"/>
      <c r="B54" s="293">
        <f t="shared" si="1"/>
        <v>52</v>
      </c>
      <c r="C54" s="290" t="str">
        <f>hyperlink("http://open.spotify.com/track/0J6mQxEZnlRt9ymzFntA6z","Livin' On A Prayer")</f>
        <v>Livin' On A Prayer</v>
      </c>
      <c r="D54" s="291" t="s">
        <v>3275</v>
      </c>
      <c r="E54" s="55" t="s">
        <v>34</v>
      </c>
      <c r="F54" s="292">
        <v>1986.0</v>
      </c>
      <c r="G54" s="17"/>
      <c r="H54" s="1"/>
    </row>
    <row r="55">
      <c r="A55" s="9"/>
      <c r="B55" s="293">
        <f t="shared" si="1"/>
        <v>53</v>
      </c>
      <c r="C55" s="290" t="str">
        <f>hyperlink("http://open.spotify.com/track/5YzzWlWfAVNvtduNDHKhHc","Touch of Grey")</f>
        <v>Touch of Grey</v>
      </c>
      <c r="D55" s="291" t="s">
        <v>3276</v>
      </c>
      <c r="E55" s="55" t="s">
        <v>34</v>
      </c>
      <c r="F55" s="292">
        <v>1987.0</v>
      </c>
      <c r="G55" s="17"/>
      <c r="H55" s="1"/>
    </row>
    <row r="56">
      <c r="A56" s="9"/>
      <c r="B56" s="293">
        <f t="shared" si="1"/>
        <v>54</v>
      </c>
      <c r="C56" s="290" t="str">
        <f>hyperlink("http://open.spotify.com/track/7pKfPomDEeI4TPT6EOYjn9","Imagine")</f>
        <v>Imagine</v>
      </c>
      <c r="D56" s="291" t="s">
        <v>3277</v>
      </c>
      <c r="E56" s="55" t="s">
        <v>34</v>
      </c>
      <c r="F56" s="292">
        <v>1971.0</v>
      </c>
      <c r="G56" s="17"/>
      <c r="H56" s="1"/>
    </row>
    <row r="57">
      <c r="A57" s="9"/>
      <c r="B57" s="293">
        <f t="shared" si="1"/>
        <v>55</v>
      </c>
      <c r="C57" s="290" t="str">
        <f>hyperlink("http://open.spotify.com/track/359krpyCKcFF8SFvqWES9L","Wagon Wheel")</f>
        <v>Wagon Wheel</v>
      </c>
      <c r="D57" s="291" t="s">
        <v>3278</v>
      </c>
      <c r="E57" s="55" t="s">
        <v>34</v>
      </c>
      <c r="F57" s="292">
        <v>2004.0</v>
      </c>
      <c r="G57" s="17"/>
      <c r="H57" s="1"/>
    </row>
    <row r="58">
      <c r="A58" s="9"/>
      <c r="B58" s="293">
        <f t="shared" si="1"/>
        <v>56</v>
      </c>
      <c r="C58" s="290" t="str">
        <f>hyperlink("https://play.spotify.com/track/5sNESr6pQfIhL3krM8CtZn","Numb/encore")</f>
        <v>Numb/encore</v>
      </c>
      <c r="D58" s="291" t="s">
        <v>3279</v>
      </c>
      <c r="E58" s="55" t="s">
        <v>34</v>
      </c>
      <c r="F58" s="292">
        <v>2008.0</v>
      </c>
      <c r="G58" s="17"/>
      <c r="H58" s="1"/>
    </row>
    <row r="59">
      <c r="A59" s="9"/>
      <c r="B59" s="293">
        <f t="shared" si="1"/>
        <v>57</v>
      </c>
      <c r="C59" s="290" t="str">
        <f>hyperlink("https://play.spotify.com/track/4jcgPJyTIpqcq3sjZKLqM6","We're the Same")</f>
        <v>We're the Same</v>
      </c>
      <c r="D59" s="291" t="s">
        <v>3280</v>
      </c>
      <c r="E59" s="55" t="s">
        <v>34</v>
      </c>
      <c r="F59" s="292">
        <v>1995.0</v>
      </c>
      <c r="G59" s="17"/>
      <c r="H59" s="1"/>
    </row>
    <row r="60">
      <c r="A60" s="9"/>
      <c r="B60" s="293">
        <f t="shared" si="1"/>
        <v>58</v>
      </c>
      <c r="C60" s="290" t="str">
        <f>hyperlink("https://play.spotify.com/track/77KfLeXjRZ4VbSkCcen3E2","Locked Away")</f>
        <v>Locked Away</v>
      </c>
      <c r="D60" s="291" t="s">
        <v>3281</v>
      </c>
      <c r="E60" s="55" t="s">
        <v>34</v>
      </c>
      <c r="F60" s="292">
        <v>1988.0</v>
      </c>
      <c r="G60" s="17"/>
      <c r="H60" s="1"/>
    </row>
    <row r="61">
      <c r="A61" s="9"/>
      <c r="B61" s="293">
        <f t="shared" si="1"/>
        <v>59</v>
      </c>
      <c r="C61" s="290" t="str">
        <f>hyperlink("https://play.spotify.com/track/3wR2tGnD5WGBieHGVmPbij","The First Cut is the Deepest")</f>
        <v>The First Cut is the Deepest</v>
      </c>
      <c r="D61" s="291" t="s">
        <v>3243</v>
      </c>
      <c r="E61" s="55" t="s">
        <v>34</v>
      </c>
      <c r="F61" s="292">
        <v>1967.0</v>
      </c>
      <c r="G61" s="17"/>
      <c r="H61" s="1"/>
    </row>
    <row r="62">
      <c r="A62" s="9"/>
      <c r="B62" s="293">
        <f t="shared" si="1"/>
        <v>60</v>
      </c>
      <c r="C62" s="290" t="str">
        <f>hyperlink("https://play.spotify.com/track/6lufyj9TmhXAvuWv9lLSPj","One Way of Life")</f>
        <v>One Way of Life</v>
      </c>
      <c r="D62" s="291" t="s">
        <v>3282</v>
      </c>
      <c r="E62" s="55" t="s">
        <v>34</v>
      </c>
      <c r="F62" s="292">
        <v>1991.0</v>
      </c>
      <c r="G62" s="17"/>
      <c r="H62" s="1"/>
    </row>
    <row r="63">
      <c r="A63" s="9"/>
      <c r="B63" s="293">
        <f t="shared" si="1"/>
        <v>61</v>
      </c>
      <c r="C63" s="290" t="str">
        <f>hyperlink("https://play.spotify.com/track/423o3ZHIaBtGXyhF1uH41a","Walk of Life")</f>
        <v>Walk of Life</v>
      </c>
      <c r="D63" s="291" t="s">
        <v>3258</v>
      </c>
      <c r="E63" s="55" t="s">
        <v>34</v>
      </c>
      <c r="F63" s="292">
        <v>1985.0</v>
      </c>
      <c r="G63" s="17"/>
      <c r="H63" s="1"/>
    </row>
    <row r="64">
      <c r="A64" s="9"/>
      <c r="B64" s="293">
        <f t="shared" si="1"/>
        <v>62</v>
      </c>
      <c r="C64" s="290" t="str">
        <f>hyperlink("http://open.spotify.com/track/3Ib3SJV8ZXuLvDiDb2w1As","Runaway Train")</f>
        <v>Runaway Train</v>
      </c>
      <c r="D64" s="291" t="s">
        <v>3283</v>
      </c>
      <c r="E64" s="55" t="s">
        <v>34</v>
      </c>
      <c r="F64" s="292">
        <v>1993.0</v>
      </c>
      <c r="G64" s="17"/>
      <c r="H64" s="1"/>
    </row>
    <row r="65">
      <c r="A65" s="9"/>
      <c r="B65" s="293">
        <f t="shared" si="1"/>
        <v>63</v>
      </c>
      <c r="C65" s="290" t="str">
        <f>hyperlink("https://play.spotify.com/track/6hTcuIQa0sxrrByu9wTD7s","Born To Run")</f>
        <v>Born To Run</v>
      </c>
      <c r="D65" s="291" t="s">
        <v>3284</v>
      </c>
      <c r="E65" s="55" t="s">
        <v>34</v>
      </c>
      <c r="F65" s="292">
        <v>1975.0</v>
      </c>
      <c r="G65" s="17"/>
      <c r="H65" s="1"/>
    </row>
    <row r="66">
      <c r="A66" s="9"/>
      <c r="B66" s="293">
        <f t="shared" si="1"/>
        <v>64</v>
      </c>
      <c r="C66" s="290" t="str">
        <f>hyperlink("http://open.spotify.com/track/7pEtQsVRkRoBvl6eLqT5aa","Pictures of Lily")</f>
        <v>Pictures of Lily</v>
      </c>
      <c r="D66" s="291" t="s">
        <v>3285</v>
      </c>
      <c r="E66" s="55" t="s">
        <v>34</v>
      </c>
      <c r="F66" s="292">
        <v>1967.0</v>
      </c>
      <c r="G66" s="17"/>
      <c r="H66" s="1"/>
    </row>
    <row r="67">
      <c r="A67" s="9"/>
      <c r="B67" s="293">
        <f t="shared" si="1"/>
        <v>65</v>
      </c>
      <c r="C67" s="290" t="str">
        <f>hyperlink("http://open.spotify.com/track/4LJe8JnEf7zq0LNXT03UHW","Mr Jones (Live)")</f>
        <v>Mr Jones (Live)</v>
      </c>
      <c r="D67" s="291" t="s">
        <v>3286</v>
      </c>
      <c r="E67" s="55" t="s">
        <v>34</v>
      </c>
      <c r="F67" s="292">
        <v>1993.0</v>
      </c>
      <c r="G67" s="17"/>
      <c r="H67" s="1"/>
    </row>
    <row r="68">
      <c r="A68" s="9"/>
      <c r="B68" s="293">
        <f t="shared" si="1"/>
        <v>66</v>
      </c>
      <c r="C68" s="290" t="str">
        <f>hyperlink("https://play.spotify.com/track/7qlfcOvjn5jjFw35y2lEWv","Honey and the Moon")</f>
        <v>Honey and the Moon</v>
      </c>
      <c r="D68" s="291" t="s">
        <v>3287</v>
      </c>
      <c r="E68" s="55" t="s">
        <v>34</v>
      </c>
      <c r="F68" s="292">
        <v>2002.0</v>
      </c>
      <c r="G68" s="17"/>
      <c r="H68" s="1"/>
    </row>
    <row r="69" ht="10.5" customHeight="1">
      <c r="A69" s="9"/>
      <c r="B69" s="293">
        <f t="shared" si="1"/>
        <v>67</v>
      </c>
      <c r="C69" s="294" t="str">
        <f>hyperlink("http://open.spotify.com/track/42GCfFvZKOWtwHnMxCAoIs","Please, Please, Please Let Me Get What I Want")</f>
        <v>Please, Please, Please Let Me Get What I Want</v>
      </c>
      <c r="D69" s="291" t="s">
        <v>3288</v>
      </c>
      <c r="E69" s="55" t="s">
        <v>34</v>
      </c>
      <c r="F69" s="292">
        <v>1984.0</v>
      </c>
      <c r="G69" s="17"/>
      <c r="H69" s="1"/>
    </row>
    <row r="70">
      <c r="A70" s="9"/>
      <c r="B70" s="293">
        <f t="shared" si="1"/>
        <v>68</v>
      </c>
      <c r="C70" s="290" t="str">
        <f>hyperlink("http://open.spotify.com/track/6pb9iqC24yprvLegoVXRSo","Change of Time")</f>
        <v>Change of Time</v>
      </c>
      <c r="D70" s="291" t="s">
        <v>3289</v>
      </c>
      <c r="E70" s="55" t="s">
        <v>34</v>
      </c>
      <c r="F70" s="292">
        <v>2010.0</v>
      </c>
      <c r="G70" s="17"/>
      <c r="H70" s="1"/>
    </row>
    <row r="71">
      <c r="A71" s="9"/>
      <c r="B71" s="293">
        <f t="shared" si="1"/>
        <v>69</v>
      </c>
      <c r="C71" s="290" t="str">
        <f>hyperlink("https://play.spotify.com/track/601GiMsQ0q71jI41mTnGKg","We're On Our Way")</f>
        <v>We're On Our Way</v>
      </c>
      <c r="D71" s="291" t="s">
        <v>3290</v>
      </c>
      <c r="E71" s="55" t="s">
        <v>34</v>
      </c>
      <c r="F71" s="292">
        <v>2011.0</v>
      </c>
      <c r="G71" s="17"/>
      <c r="H71" s="1"/>
    </row>
    <row r="72">
      <c r="A72" s="9"/>
      <c r="B72" s="293">
        <f t="shared" si="1"/>
        <v>70</v>
      </c>
      <c r="C72" s="290" t="str">
        <f>hyperlink("http://open.spotify.com/track/5j6ZZwA9BnxZi5Bk0Ng4jB","Heroes")</f>
        <v>Heroes</v>
      </c>
      <c r="D72" s="291" t="s">
        <v>3268</v>
      </c>
      <c r="E72" s="55" t="s">
        <v>34</v>
      </c>
      <c r="F72" s="292">
        <v>1977.0</v>
      </c>
      <c r="G72" s="17"/>
      <c r="H72" s="1"/>
    </row>
    <row r="73">
      <c r="A73" s="9"/>
      <c r="B73" s="293">
        <f t="shared" si="1"/>
        <v>71</v>
      </c>
      <c r="C73" s="290" t="str">
        <f>hyperlink("http://open.spotify.com/track/18GiV1BaXzPVYpp9rmOg0E","Blowin' in the Wind")</f>
        <v>Blowin' in the Wind</v>
      </c>
      <c r="D73" s="291" t="s">
        <v>3256</v>
      </c>
      <c r="E73" s="55" t="s">
        <v>34</v>
      </c>
      <c r="F73" s="292">
        <v>1963.0</v>
      </c>
      <c r="G73" s="17"/>
      <c r="H73" s="1"/>
    </row>
    <row r="74">
      <c r="A74" s="9"/>
      <c r="B74" s="293">
        <f t="shared" si="1"/>
        <v>72</v>
      </c>
      <c r="C74" s="290" t="str">
        <f>hyperlink("http://open.spotify.com/track/1D6Qwax2u0u0AIjHWckSqZ","Roll Away The Stone")</f>
        <v>Roll Away The Stone</v>
      </c>
      <c r="D74" s="291" t="s">
        <v>3291</v>
      </c>
      <c r="E74" s="55" t="s">
        <v>34</v>
      </c>
      <c r="F74" s="292">
        <v>1973.0</v>
      </c>
      <c r="G74" s="17"/>
      <c r="H74" s="1"/>
    </row>
    <row r="75">
      <c r="A75" s="9"/>
      <c r="B75" s="293">
        <f t="shared" si="1"/>
        <v>73</v>
      </c>
      <c r="C75" s="290" t="str">
        <f>hyperlink("http://open.spotify.com/track/65GSNyd0L3cvatlsQssBpV","We All Lose One Another")</f>
        <v>We All Lose One Another</v>
      </c>
      <c r="D75" s="291" t="s">
        <v>3292</v>
      </c>
      <c r="E75" s="55" t="s">
        <v>34</v>
      </c>
      <c r="F75" s="292">
        <v>2006.0</v>
      </c>
      <c r="G75" s="17"/>
      <c r="H75" s="1"/>
    </row>
    <row r="76">
      <c r="A76" s="9"/>
      <c r="B76" s="293">
        <f t="shared" si="1"/>
        <v>74</v>
      </c>
      <c r="C76" s="290" t="str">
        <f>hyperlink("http://open.spotify.com/track/7pcg5HSoWI1Yg5Yt8rixG1","Sympathy for the Devil")</f>
        <v>Sympathy for the Devil</v>
      </c>
      <c r="D76" s="291" t="s">
        <v>3293</v>
      </c>
      <c r="E76" s="55" t="s">
        <v>34</v>
      </c>
      <c r="F76" s="292">
        <v>1968.0</v>
      </c>
      <c r="G76" s="17"/>
      <c r="H76" s="1"/>
    </row>
    <row r="77">
      <c r="A77" s="9"/>
      <c r="B77" s="293">
        <f t="shared" si="1"/>
        <v>75</v>
      </c>
      <c r="C77" s="290" t="str">
        <f>hyperlink("https://play.spotify.com/track/32kgOw8wejH7zUhtXCM8DH","More Than A Feeling")</f>
        <v>More Than A Feeling</v>
      </c>
      <c r="D77" s="291" t="s">
        <v>17</v>
      </c>
      <c r="E77" s="55" t="s">
        <v>34</v>
      </c>
      <c r="F77" s="292">
        <v>1976.0</v>
      </c>
      <c r="G77" s="17"/>
      <c r="H77" s="1"/>
    </row>
    <row r="78">
      <c r="A78" s="9"/>
      <c r="B78" s="293">
        <f t="shared" si="1"/>
        <v>76</v>
      </c>
      <c r="C78" s="290" t="str">
        <f>hyperlink("https://play.spotify.com/track/3iDK8BAaBUatPR84gdfa9g","Such Great Heights")</f>
        <v>Such Great Heights</v>
      </c>
      <c r="D78" s="291" t="s">
        <v>3294</v>
      </c>
      <c r="E78" s="55" t="s">
        <v>34</v>
      </c>
      <c r="F78" s="292">
        <v>2003.0</v>
      </c>
      <c r="G78" s="17"/>
      <c r="H78" s="1"/>
    </row>
    <row r="79">
      <c r="A79" s="9"/>
      <c r="B79" s="293">
        <f t="shared" si="1"/>
        <v>77</v>
      </c>
      <c r="C79" s="290" t="str">
        <f>hyperlink("https://play.spotify.com/track/2T5Ch09nefwckOu5NQvjIk","Carolina in my Mind")</f>
        <v>Carolina in my Mind</v>
      </c>
      <c r="D79" s="291" t="s">
        <v>3232</v>
      </c>
      <c r="E79" s="55" t="s">
        <v>34</v>
      </c>
      <c r="F79" s="292">
        <v>1968.0</v>
      </c>
      <c r="G79" s="17"/>
      <c r="H79" s="1"/>
    </row>
    <row r="80">
      <c r="A80" s="9"/>
      <c r="B80" s="293">
        <f t="shared" si="1"/>
        <v>78</v>
      </c>
      <c r="C80" s="290" t="str">
        <f>hyperlink("https://play.spotify.com/track/57MflfPN3ObQQAQtPUp0WF","Romeo and Juliet")</f>
        <v>Romeo and Juliet</v>
      </c>
      <c r="D80" s="291" t="s">
        <v>3258</v>
      </c>
      <c r="E80" s="55" t="s">
        <v>34</v>
      </c>
      <c r="F80" s="292">
        <v>1980.0</v>
      </c>
      <c r="G80" s="17"/>
      <c r="H80" s="1"/>
    </row>
    <row r="81">
      <c r="A81" s="9"/>
      <c r="B81" s="293">
        <f t="shared" si="1"/>
        <v>79</v>
      </c>
      <c r="C81" s="290" t="str">
        <f>hyperlink("http://open.spotify.com/track/67zEsXnginusyzE80Gajf0","You're So True")</f>
        <v>You're So True</v>
      </c>
      <c r="D81" s="291" t="s">
        <v>3287</v>
      </c>
      <c r="E81" s="55" t="s">
        <v>34</v>
      </c>
      <c r="F81" s="292">
        <v>2004.0</v>
      </c>
      <c r="G81" s="17"/>
      <c r="H81" s="1"/>
    </row>
    <row r="82">
      <c r="A82" s="9"/>
      <c r="B82" s="293">
        <f t="shared" si="1"/>
        <v>80</v>
      </c>
      <c r="C82" s="290" t="str">
        <f>hyperlink("https://play.spotify.com/track/2HO2bnoMrpnZUbUqiilLHi","The Promise")</f>
        <v>The Promise</v>
      </c>
      <c r="D82" s="291" t="s">
        <v>3295</v>
      </c>
      <c r="E82" s="295" t="s">
        <v>34</v>
      </c>
      <c r="F82" s="292">
        <v>1995.0</v>
      </c>
      <c r="G82" s="17"/>
      <c r="H82" s="1"/>
    </row>
    <row r="83">
      <c r="A83" s="9"/>
      <c r="B83" s="293">
        <f t="shared" si="1"/>
        <v>81</v>
      </c>
      <c r="C83" s="290" t="str">
        <f>hyperlink("https://play.spotify.com/track/3cflKYvbpuih1EKvgREcEg","Everything I Own")</f>
        <v>Everything I Own</v>
      </c>
      <c r="D83" s="291" t="s">
        <v>3296</v>
      </c>
      <c r="E83" s="55" t="s">
        <v>34</v>
      </c>
      <c r="F83" s="292">
        <v>1972.0</v>
      </c>
      <c r="G83" s="17"/>
      <c r="H83" s="1"/>
    </row>
    <row r="84">
      <c r="A84" s="9"/>
      <c r="B84" s="293">
        <f t="shared" si="1"/>
        <v>82</v>
      </c>
      <c r="C84" s="290" t="str">
        <f>hyperlink("http://open.spotify.com/track/30g3R8mv8qyLKv1A0cAFil","Brown Eyed Girl")</f>
        <v>Brown Eyed Girl</v>
      </c>
      <c r="D84" s="291" t="s">
        <v>3297</v>
      </c>
      <c r="E84" s="55" t="s">
        <v>34</v>
      </c>
      <c r="F84" s="292">
        <v>1967.0</v>
      </c>
      <c r="G84" s="17"/>
      <c r="H84" s="1"/>
    </row>
    <row r="85">
      <c r="A85" s="9"/>
      <c r="B85" s="293">
        <f t="shared" si="1"/>
        <v>83</v>
      </c>
      <c r="C85" s="290" t="str">
        <f>hyperlink("https://play.spotify.com/track/2MAVcVr2oylw2OZ3hojWYj","'74-'75")</f>
        <v>'74-'75</v>
      </c>
      <c r="D85" s="291" t="s">
        <v>3298</v>
      </c>
      <c r="E85" s="55" t="s">
        <v>34</v>
      </c>
      <c r="F85" s="292">
        <v>1993.0</v>
      </c>
      <c r="G85" s="17"/>
      <c r="H85" s="1"/>
    </row>
    <row r="86">
      <c r="A86" s="9"/>
      <c r="B86" s="293">
        <f t="shared" si="1"/>
        <v>84</v>
      </c>
      <c r="C86" s="290" t="str">
        <f>hyperlink("http://open.spotify.com/track/6YAdEQbWn0iiwh8uleRDWL","Simple as This")</f>
        <v>Simple as This</v>
      </c>
      <c r="D86" s="291" t="s">
        <v>3299</v>
      </c>
      <c r="E86" s="55" t="s">
        <v>34</v>
      </c>
      <c r="F86" s="292">
        <v>2012.0</v>
      </c>
      <c r="G86" s="17"/>
      <c r="H86" s="1"/>
    </row>
    <row r="87">
      <c r="A87" s="9"/>
      <c r="B87" s="293">
        <f t="shared" si="1"/>
        <v>85</v>
      </c>
      <c r="C87" s="290" t="str">
        <f>hyperlink("http://open.spotify.com/track/4OciRObYGzPzlU40U7YRc8","In the Aeroplane Over the Sea")</f>
        <v>In the Aeroplane Over the Sea</v>
      </c>
      <c r="D87" s="291" t="s">
        <v>3300</v>
      </c>
      <c r="E87" s="55" t="s">
        <v>34</v>
      </c>
      <c r="F87" s="292">
        <v>1998.0</v>
      </c>
      <c r="G87" s="17"/>
      <c r="H87" s="1"/>
    </row>
    <row r="88">
      <c r="A88" s="9"/>
      <c r="B88" s="293">
        <f t="shared" si="1"/>
        <v>86</v>
      </c>
      <c r="C88" s="290" t="str">
        <f>hyperlink("http://open.spotify.com/track/47VneDLoUtjqfF4bftBv4d","I'll Be There")</f>
        <v>I'll Be There</v>
      </c>
      <c r="D88" s="291" t="s">
        <v>3301</v>
      </c>
      <c r="E88" s="55" t="s">
        <v>34</v>
      </c>
      <c r="F88" s="292">
        <v>2007.0</v>
      </c>
      <c r="G88" s="17"/>
      <c r="H88" s="1"/>
    </row>
    <row r="89">
      <c r="A89" s="9"/>
      <c r="B89" s="293">
        <f t="shared" si="1"/>
        <v>87</v>
      </c>
      <c r="C89" s="290" t="str">
        <f>hyperlink("http://open.spotify.com/track/3jyWPW2PBQGZ9Ebn97suLx","Box of Rain")</f>
        <v>Box of Rain</v>
      </c>
      <c r="D89" s="291" t="s">
        <v>3302</v>
      </c>
      <c r="E89" s="55" t="s">
        <v>34</v>
      </c>
      <c r="F89" s="292">
        <v>1970.0</v>
      </c>
      <c r="G89" s="17"/>
      <c r="H89" s="1"/>
    </row>
    <row r="90">
      <c r="A90" s="9"/>
      <c r="B90" s="293">
        <f t="shared" si="1"/>
        <v>88</v>
      </c>
      <c r="C90" s="290" t="str">
        <f>hyperlink("http://open.spotify.com/track/4c2LVTyU1XIfwNJHPVfvCM","Fake Palindromes")</f>
        <v>Fake Palindromes</v>
      </c>
      <c r="D90" s="291" t="s">
        <v>3303</v>
      </c>
      <c r="E90" s="55" t="s">
        <v>34</v>
      </c>
      <c r="F90" s="292">
        <v>2005.0</v>
      </c>
      <c r="G90" s="17"/>
      <c r="H90" s="1"/>
    </row>
    <row r="91">
      <c r="A91" s="9"/>
      <c r="B91" s="293">
        <f t="shared" si="1"/>
        <v>89</v>
      </c>
      <c r="C91" s="290" t="str">
        <f>hyperlink("http://open.spotify.com/track/58uSTQPLN30APS9ivT8NDM","Just Impolite")</f>
        <v>Just Impolite</v>
      </c>
      <c r="D91" s="291" t="s">
        <v>3304</v>
      </c>
      <c r="E91" s="55" t="s">
        <v>34</v>
      </c>
      <c r="F91" s="292">
        <v>2009.0</v>
      </c>
      <c r="G91" s="17"/>
      <c r="H91" s="1"/>
    </row>
    <row r="92">
      <c r="A92" s="9"/>
      <c r="B92" s="293">
        <f t="shared" si="1"/>
        <v>90</v>
      </c>
      <c r="C92" s="290" t="str">
        <f>hyperlink("http://open.spotify.com/track/1JrDeIao4hibRql8MTzdEj","I Dreamed A Dream")</f>
        <v>I Dreamed A Dream</v>
      </c>
      <c r="D92" s="291" t="s">
        <v>3305</v>
      </c>
      <c r="E92" s="55" t="s">
        <v>34</v>
      </c>
      <c r="F92" s="292">
        <v>1985.0</v>
      </c>
      <c r="G92" s="17"/>
      <c r="H92" s="1"/>
    </row>
    <row r="93">
      <c r="A93" s="9"/>
      <c r="B93" s="293">
        <f t="shared" si="1"/>
        <v>91</v>
      </c>
      <c r="C93" s="290" t="str">
        <f>hyperlink("http://open.spotify.com/track/1puSU0hSQbiGflpzIOtxSV","Big Machine")</f>
        <v>Big Machine</v>
      </c>
      <c r="D93" s="291" t="s">
        <v>3306</v>
      </c>
      <c r="E93" s="55" t="s">
        <v>34</v>
      </c>
      <c r="F93" s="292">
        <v>2012.0</v>
      </c>
      <c r="G93" s="17"/>
      <c r="H93" s="1"/>
    </row>
    <row r="94">
      <c r="A94" s="9"/>
      <c r="B94" s="293">
        <f t="shared" si="1"/>
        <v>92</v>
      </c>
      <c r="C94" s="290" t="str">
        <f>hyperlink("http://open.spotify.com/track/0ngr6YFEU5y2RaYNYLqO9R","The Show")</f>
        <v>The Show</v>
      </c>
      <c r="D94" s="291" t="s">
        <v>3307</v>
      </c>
      <c r="E94" s="55" t="s">
        <v>34</v>
      </c>
      <c r="F94" s="292">
        <v>2008.0</v>
      </c>
      <c r="G94" s="17"/>
      <c r="H94" s="1"/>
    </row>
    <row r="95">
      <c r="A95" s="9"/>
      <c r="B95" s="293">
        <f t="shared" si="1"/>
        <v>93</v>
      </c>
      <c r="C95" s="290" t="str">
        <f>hyperlink("http://open.spotify.com/track/07AHkFWTScOfWvvW2ppysO","Fall At Your Feet")</f>
        <v>Fall At Your Feet</v>
      </c>
      <c r="D95" s="291" t="s">
        <v>3308</v>
      </c>
      <c r="E95" s="55" t="s">
        <v>34</v>
      </c>
      <c r="F95" s="292">
        <v>1991.0</v>
      </c>
      <c r="G95" s="17"/>
      <c r="H95" s="1"/>
    </row>
    <row r="96">
      <c r="A96" s="9"/>
      <c r="B96" s="293">
        <f t="shared" si="1"/>
        <v>94</v>
      </c>
      <c r="C96" s="290" t="str">
        <f>hyperlink("http://open.spotify.com/track/5babPm1ZUOxevp7LVtk5R9","Verdi Cries")</f>
        <v>Verdi Cries</v>
      </c>
      <c r="D96" s="291" t="s">
        <v>3309</v>
      </c>
      <c r="E96" s="55" t="s">
        <v>34</v>
      </c>
      <c r="F96" s="292">
        <v>1987.0</v>
      </c>
      <c r="G96" s="17"/>
      <c r="H96" s="1"/>
    </row>
    <row r="97">
      <c r="A97" s="9"/>
      <c r="B97" s="293">
        <f t="shared" si="1"/>
        <v>95</v>
      </c>
      <c r="C97" s="290" t="str">
        <f>hyperlink("http://open.spotify.com/track/48eVRsKgu1xLpzPKfqAhSB","L.A. Song")</f>
        <v>L.A. Song</v>
      </c>
      <c r="D97" s="291" t="s">
        <v>3310</v>
      </c>
      <c r="E97" s="55" t="s">
        <v>34</v>
      </c>
      <c r="F97" s="292">
        <v>1999.0</v>
      </c>
      <c r="G97" s="17"/>
      <c r="H97" s="1"/>
    </row>
    <row r="98">
      <c r="A98" s="9"/>
      <c r="B98" s="293">
        <f t="shared" si="1"/>
        <v>96</v>
      </c>
      <c r="C98" s="290" t="str">
        <f>hyperlink("http://open.spotify.com/track/0UkkvQfOaXgSnYQ7LtGCPX","Light of Day")</f>
        <v>Light of Day</v>
      </c>
      <c r="D98" s="291" t="s">
        <v>3311</v>
      </c>
      <c r="E98" s="55" t="s">
        <v>34</v>
      </c>
      <c r="F98" s="292">
        <v>2004.0</v>
      </c>
      <c r="G98" s="17"/>
      <c r="H98" s="1"/>
    </row>
    <row r="99">
      <c r="A99" s="9"/>
      <c r="B99" s="293">
        <f t="shared" si="1"/>
        <v>97</v>
      </c>
      <c r="C99" s="290" t="str">
        <f>hyperlink("http://open.spotify.com/track/6ysmWfJixfHY4Q7FxluK4t","Suzie Lightning")</f>
        <v>Suzie Lightning</v>
      </c>
      <c r="D99" s="291" t="s">
        <v>3312</v>
      </c>
      <c r="E99" s="55" t="s">
        <v>34</v>
      </c>
      <c r="F99" s="292">
        <v>1991.0</v>
      </c>
      <c r="G99" s="17"/>
      <c r="H99" s="1"/>
    </row>
    <row r="100">
      <c r="A100" s="9"/>
      <c r="B100" s="293">
        <f t="shared" si="1"/>
        <v>98</v>
      </c>
      <c r="C100" s="290" t="str">
        <f>hyperlink("http://open.spotify.com/track/1b7kLkJkr6XRYgWqVmDm05","Three Lions")</f>
        <v>Three Lions</v>
      </c>
      <c r="D100" s="296" t="s">
        <v>3313</v>
      </c>
      <c r="E100" s="55" t="s">
        <v>34</v>
      </c>
      <c r="F100" s="292">
        <v>1996.0</v>
      </c>
      <c r="G100" s="17"/>
      <c r="H100" s="1"/>
    </row>
    <row r="101">
      <c r="A101" s="9"/>
      <c r="B101" s="293">
        <f t="shared" si="1"/>
        <v>99</v>
      </c>
      <c r="C101" s="290" t="str">
        <f>hyperlink("http://open.spotify.com/track/5uw3GsFWWrM14FzWPbNxRr","Nessun Dorma")</f>
        <v>Nessun Dorma</v>
      </c>
      <c r="D101" s="291" t="s">
        <v>3314</v>
      </c>
      <c r="E101" s="55" t="s">
        <v>34</v>
      </c>
      <c r="F101" s="292">
        <v>1989.0</v>
      </c>
      <c r="G101" s="17"/>
      <c r="H101" s="1"/>
    </row>
    <row r="102">
      <c r="A102" s="9"/>
      <c r="B102" s="293">
        <f t="shared" si="1"/>
        <v>100</v>
      </c>
      <c r="C102" s="290" t="str">
        <f>hyperlink("http://open.spotify.com/track/3G69vJMWsX6ZohTykad2AU","One")</f>
        <v>One</v>
      </c>
      <c r="D102" s="291" t="s">
        <v>3315</v>
      </c>
      <c r="E102" s="55" t="s">
        <v>34</v>
      </c>
      <c r="F102" s="292">
        <v>1991.0</v>
      </c>
      <c r="G102" s="17"/>
      <c r="H102" s="1"/>
    </row>
    <row r="103">
      <c r="A103" s="9"/>
      <c r="B103" s="293">
        <f t="shared" si="1"/>
        <v>101</v>
      </c>
      <c r="C103" s="290" t="str">
        <f>hyperlink("http://open.spotify.com/track/1OrIF9k3A1wMADZnr4URUB","Boa Sorte")</f>
        <v>Boa Sorte</v>
      </c>
      <c r="D103" s="291" t="s">
        <v>3316</v>
      </c>
      <c r="E103" s="55" t="s">
        <v>34</v>
      </c>
      <c r="F103" s="292">
        <v>2007.0</v>
      </c>
      <c r="G103" s="17"/>
      <c r="H103" s="1"/>
    </row>
    <row r="104">
      <c r="A104" s="9"/>
      <c r="B104" s="293">
        <f t="shared" si="1"/>
        <v>102</v>
      </c>
      <c r="C104" s="290" t="str">
        <f>hyperlink("http://open.spotify.com/track/1ni7sP45dNxWgh9eUs8jRn","Tuesday's Gone")</f>
        <v>Tuesday's Gone</v>
      </c>
      <c r="D104" s="291" t="s">
        <v>3317</v>
      </c>
      <c r="E104" s="55" t="s">
        <v>34</v>
      </c>
      <c r="F104" s="292">
        <v>1976.0</v>
      </c>
      <c r="G104" s="17"/>
      <c r="H104" s="1"/>
    </row>
    <row r="105">
      <c r="A105" s="9"/>
      <c r="B105" s="293">
        <f t="shared" si="1"/>
        <v>103</v>
      </c>
      <c r="C105" s="290" t="str">
        <f>hyperlink("https://play.spotify.com/track/0Stfo5fEw4T6V1FzCsECBP","London Calling")</f>
        <v>London Calling</v>
      </c>
      <c r="D105" s="291" t="s">
        <v>3318</v>
      </c>
      <c r="E105" s="55" t="s">
        <v>34</v>
      </c>
      <c r="F105" s="292">
        <v>1979.0</v>
      </c>
      <c r="G105" s="17"/>
      <c r="H105" s="1"/>
    </row>
    <row r="106">
      <c r="A106" s="9"/>
      <c r="B106" s="293">
        <f t="shared" si="1"/>
        <v>104</v>
      </c>
      <c r="C106" s="290" t="str">
        <f>hyperlink("http://open.spotify.com/track/4An0hbjs1THl9cQprYrN6G","California Dreamin'")</f>
        <v>California Dreamin'</v>
      </c>
      <c r="D106" s="291" t="s">
        <v>3319</v>
      </c>
      <c r="E106" s="55" t="s">
        <v>34</v>
      </c>
      <c r="F106" s="292">
        <v>1965.0</v>
      </c>
      <c r="G106" s="17"/>
      <c r="H106" s="1"/>
    </row>
    <row r="107">
      <c r="A107" s="9"/>
      <c r="B107" s="293">
        <f t="shared" si="1"/>
        <v>105</v>
      </c>
      <c r="C107" s="290" t="str">
        <f>hyperlink("http://open.spotify.com/track/0LN0ASTtcGIbNTnjSHG6eO","Pour Some Sugar On Me")</f>
        <v>Pour Some Sugar On Me</v>
      </c>
      <c r="D107" s="291" t="s">
        <v>3320</v>
      </c>
      <c r="E107" s="55" t="s">
        <v>34</v>
      </c>
      <c r="F107" s="292">
        <v>1987.0</v>
      </c>
      <c r="G107" s="17"/>
      <c r="H107" s="1"/>
    </row>
    <row r="108">
      <c r="A108" s="9"/>
      <c r="B108" s="293">
        <f t="shared" si="1"/>
        <v>106</v>
      </c>
      <c r="C108" s="290" t="str">
        <f>hyperlink("http://open.spotify.com/track/5HkIFA9Eh5WwZjy5D1eMW9","Everybody Knows")</f>
        <v>Everybody Knows</v>
      </c>
      <c r="D108" s="291" t="s">
        <v>3321</v>
      </c>
      <c r="E108" s="55" t="s">
        <v>34</v>
      </c>
      <c r="F108" s="292">
        <v>2006.0</v>
      </c>
      <c r="G108" s="17"/>
      <c r="H108" s="1"/>
    </row>
    <row r="109">
      <c r="A109" s="9"/>
      <c r="B109" s="293">
        <f t="shared" si="1"/>
        <v>107</v>
      </c>
      <c r="C109" s="290" t="str">
        <f>hyperlink("http://open.spotify.com/track/0AGiRzHmZPHCloTbUWtbXz","Just To See You Smile")</f>
        <v>Just To See You Smile</v>
      </c>
      <c r="D109" s="291" t="s">
        <v>3322</v>
      </c>
      <c r="E109" s="55" t="s">
        <v>34</v>
      </c>
      <c r="F109" s="292">
        <v>1997.0</v>
      </c>
      <c r="G109" s="17"/>
      <c r="H109" s="1"/>
    </row>
    <row r="110">
      <c r="A110" s="1"/>
      <c r="B110" s="4"/>
      <c r="C110" s="1"/>
      <c r="D110" s="1"/>
      <c r="E110" s="4"/>
      <c r="F110" s="4"/>
      <c r="G110" s="1"/>
      <c r="H110" s="1"/>
    </row>
    <row r="111">
      <c r="A111" s="1"/>
      <c r="B111" s="4"/>
      <c r="C111" s="1"/>
      <c r="D111" s="1"/>
      <c r="E111" s="4"/>
      <c r="F111" s="4"/>
      <c r="G111" s="1"/>
      <c r="H111" s="1"/>
    </row>
    <row r="112">
      <c r="A112" s="1"/>
      <c r="B112" s="4"/>
      <c r="C112" s="1"/>
      <c r="D112" s="1"/>
      <c r="E112" s="4"/>
      <c r="F112" s="4"/>
      <c r="G112" s="1"/>
      <c r="H112" s="1"/>
    </row>
    <row r="113">
      <c r="A113" s="1"/>
      <c r="B113" s="4"/>
      <c r="C113" s="1"/>
      <c r="D113" s="1"/>
      <c r="E113" s="4"/>
      <c r="F113" s="4"/>
      <c r="G113" s="1"/>
      <c r="H113" s="1"/>
    </row>
    <row r="114">
      <c r="A114" s="1"/>
      <c r="B114" s="4"/>
      <c r="C114" s="1"/>
      <c r="D114" s="1"/>
      <c r="E114" s="4"/>
      <c r="F114" s="4"/>
      <c r="G114" s="1"/>
      <c r="H114" s="1"/>
    </row>
    <row r="115">
      <c r="A115" s="1"/>
      <c r="B115" s="4"/>
      <c r="C115" s="1"/>
      <c r="D115" s="1"/>
      <c r="E115" s="4"/>
      <c r="F115" s="4"/>
      <c r="G115" s="1"/>
      <c r="H115" s="1"/>
    </row>
    <row r="116">
      <c r="A116" s="1"/>
      <c r="B116" s="4"/>
      <c r="C116" s="1"/>
      <c r="D116" s="1"/>
      <c r="E116" s="4"/>
      <c r="F116" s="4"/>
      <c r="G116" s="1"/>
      <c r="H116" s="1"/>
    </row>
    <row r="117">
      <c r="A117" s="1"/>
      <c r="B117" s="4"/>
      <c r="C117" s="1"/>
      <c r="D117" s="1"/>
      <c r="E117" s="4"/>
      <c r="F117" s="4"/>
      <c r="G117" s="1"/>
      <c r="H117" s="1"/>
    </row>
    <row r="118">
      <c r="A118" s="1"/>
      <c r="B118" s="4"/>
      <c r="C118" s="1"/>
      <c r="D118" s="1"/>
      <c r="E118" s="4"/>
      <c r="F118" s="4"/>
      <c r="G118" s="1"/>
      <c r="H118" s="1"/>
    </row>
    <row r="119">
      <c r="B119" s="61"/>
      <c r="E119" s="61"/>
      <c r="F119" s="61"/>
    </row>
    <row r="120">
      <c r="B120" s="61"/>
      <c r="E120" s="61"/>
      <c r="F120" s="61"/>
    </row>
    <row r="121">
      <c r="B121" s="61"/>
      <c r="E121" s="61"/>
      <c r="F121" s="61"/>
    </row>
    <row r="122">
      <c r="B122" s="61"/>
      <c r="E122" s="61"/>
      <c r="F122" s="61"/>
    </row>
    <row r="123">
      <c r="B123" s="61"/>
      <c r="E123" s="61"/>
      <c r="F123" s="61"/>
    </row>
    <row r="124">
      <c r="B124" s="61"/>
      <c r="E124" s="61"/>
      <c r="F124" s="61"/>
    </row>
    <row r="125">
      <c r="B125" s="61"/>
      <c r="E125" s="61"/>
      <c r="F125" s="61"/>
    </row>
    <row r="126">
      <c r="B126" s="61"/>
      <c r="E126" s="61"/>
      <c r="F126" s="61"/>
    </row>
    <row r="127">
      <c r="B127" s="61"/>
      <c r="E127" s="61"/>
      <c r="F127" s="61"/>
    </row>
    <row r="128">
      <c r="B128" s="61"/>
      <c r="E128" s="61"/>
      <c r="F128" s="61"/>
    </row>
    <row r="129">
      <c r="B129" s="61"/>
      <c r="E129" s="61"/>
      <c r="F129" s="61"/>
    </row>
    <row r="130">
      <c r="B130" s="61"/>
      <c r="E130" s="61"/>
      <c r="F130" s="61"/>
    </row>
    <row r="131">
      <c r="B131" s="61"/>
      <c r="E131" s="61"/>
      <c r="F131" s="61"/>
    </row>
    <row r="132">
      <c r="B132" s="61"/>
      <c r="E132" s="61"/>
      <c r="F132" s="61"/>
    </row>
    <row r="133">
      <c r="B133" s="61"/>
      <c r="E133" s="61"/>
      <c r="F133" s="61"/>
    </row>
    <row r="134">
      <c r="B134" s="61"/>
      <c r="E134" s="61"/>
      <c r="F134" s="61"/>
    </row>
    <row r="135">
      <c r="B135" s="61"/>
      <c r="E135" s="61"/>
      <c r="F135" s="61"/>
    </row>
    <row r="136">
      <c r="B136" s="61"/>
      <c r="E136" s="61"/>
      <c r="F136" s="61"/>
    </row>
    <row r="137">
      <c r="B137" s="61"/>
      <c r="E137" s="61"/>
      <c r="F137" s="61"/>
    </row>
    <row r="138">
      <c r="B138" s="61"/>
      <c r="E138" s="61"/>
      <c r="F138" s="61"/>
    </row>
    <row r="139">
      <c r="B139" s="61"/>
      <c r="E139" s="61"/>
      <c r="F139" s="61"/>
    </row>
    <row r="140">
      <c r="B140" s="61"/>
      <c r="E140" s="61"/>
      <c r="F140" s="61"/>
    </row>
    <row r="141">
      <c r="B141" s="61"/>
      <c r="E141" s="61"/>
      <c r="F141" s="61"/>
    </row>
    <row r="142">
      <c r="B142" s="61"/>
      <c r="E142" s="61"/>
      <c r="F142" s="61"/>
    </row>
    <row r="143">
      <c r="B143" s="61"/>
      <c r="E143" s="61"/>
      <c r="F143" s="61"/>
    </row>
    <row r="144">
      <c r="B144" s="61"/>
      <c r="E144" s="61"/>
      <c r="F144" s="61"/>
    </row>
    <row r="145">
      <c r="B145" s="61"/>
      <c r="E145" s="61"/>
      <c r="F145" s="61"/>
    </row>
    <row r="146">
      <c r="B146" s="61"/>
      <c r="E146" s="61"/>
      <c r="F146" s="61"/>
    </row>
    <row r="147">
      <c r="B147" s="61"/>
      <c r="E147" s="61"/>
      <c r="F147" s="61"/>
    </row>
    <row r="148">
      <c r="B148" s="61"/>
      <c r="E148" s="61"/>
      <c r="F148" s="61"/>
    </row>
    <row r="149">
      <c r="B149" s="61"/>
      <c r="E149" s="61"/>
      <c r="F149" s="61"/>
    </row>
    <row r="150">
      <c r="B150" s="61"/>
      <c r="E150" s="61"/>
      <c r="F150" s="61"/>
    </row>
    <row r="151">
      <c r="B151" s="61"/>
      <c r="E151" s="61"/>
      <c r="F151" s="61"/>
    </row>
    <row r="152">
      <c r="B152" s="61"/>
      <c r="E152" s="61"/>
      <c r="F152" s="61"/>
    </row>
    <row r="153">
      <c r="B153" s="61"/>
      <c r="E153" s="61"/>
      <c r="F153" s="61"/>
    </row>
    <row r="154">
      <c r="B154" s="61"/>
      <c r="E154" s="61"/>
      <c r="F154" s="61"/>
    </row>
    <row r="155">
      <c r="B155" s="61"/>
      <c r="E155" s="61"/>
      <c r="F155" s="61"/>
    </row>
    <row r="156">
      <c r="B156" s="61"/>
      <c r="E156" s="61"/>
      <c r="F156" s="61"/>
    </row>
    <row r="157">
      <c r="B157" s="61"/>
      <c r="E157" s="61"/>
      <c r="F157" s="61"/>
    </row>
    <row r="158">
      <c r="B158" s="61"/>
      <c r="E158" s="61"/>
      <c r="F158" s="61"/>
    </row>
    <row r="159">
      <c r="B159" s="61"/>
      <c r="E159" s="61"/>
      <c r="F159" s="61"/>
    </row>
    <row r="160">
      <c r="B160" s="61"/>
      <c r="E160" s="61"/>
      <c r="F160" s="61"/>
    </row>
    <row r="161">
      <c r="B161" s="61"/>
      <c r="E161" s="61"/>
      <c r="F161" s="61"/>
    </row>
    <row r="162">
      <c r="B162" s="61"/>
      <c r="E162" s="61"/>
      <c r="F162" s="61"/>
    </row>
    <row r="163">
      <c r="B163" s="61"/>
      <c r="E163" s="61"/>
      <c r="F163" s="61"/>
    </row>
    <row r="164">
      <c r="B164" s="61"/>
      <c r="E164" s="61"/>
      <c r="F164" s="61"/>
    </row>
    <row r="165">
      <c r="B165" s="61"/>
      <c r="E165" s="61"/>
      <c r="F165" s="61"/>
    </row>
    <row r="166">
      <c r="B166" s="61"/>
      <c r="E166" s="61"/>
      <c r="F166" s="61"/>
    </row>
    <row r="167">
      <c r="B167" s="61"/>
      <c r="E167" s="61"/>
      <c r="F167" s="61"/>
    </row>
    <row r="168">
      <c r="B168" s="61"/>
      <c r="E168" s="61"/>
      <c r="F168" s="61"/>
    </row>
    <row r="169">
      <c r="B169" s="61"/>
      <c r="E169" s="61"/>
      <c r="F169" s="61"/>
    </row>
    <row r="170">
      <c r="B170" s="61"/>
      <c r="E170" s="61"/>
      <c r="F170" s="61"/>
    </row>
    <row r="171">
      <c r="B171" s="61"/>
      <c r="E171" s="61"/>
      <c r="F171" s="61"/>
    </row>
    <row r="172">
      <c r="B172" s="61"/>
      <c r="E172" s="61"/>
      <c r="F172" s="61"/>
    </row>
    <row r="173">
      <c r="B173" s="61"/>
      <c r="E173" s="61"/>
      <c r="F173" s="61"/>
    </row>
    <row r="174">
      <c r="B174" s="61"/>
      <c r="E174" s="61"/>
      <c r="F174" s="61"/>
    </row>
    <row r="175">
      <c r="B175" s="61"/>
      <c r="E175" s="61"/>
      <c r="F175" s="61"/>
    </row>
    <row r="176">
      <c r="B176" s="61"/>
      <c r="E176" s="61"/>
      <c r="F176" s="61"/>
    </row>
    <row r="177">
      <c r="B177" s="61"/>
      <c r="E177" s="61"/>
      <c r="F177" s="61"/>
    </row>
    <row r="178">
      <c r="B178" s="61"/>
      <c r="E178" s="61"/>
      <c r="F178" s="6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2" max="2" width="150.13"/>
  </cols>
  <sheetData>
    <row r="1">
      <c r="A1" s="297" t="s">
        <v>3323</v>
      </c>
      <c r="B1" s="298"/>
      <c r="C1" s="299"/>
    </row>
    <row r="2">
      <c r="A2" s="297" t="s">
        <v>3324</v>
      </c>
      <c r="B2" s="300" t="s">
        <v>3325</v>
      </c>
      <c r="C2" s="297" t="s">
        <v>3326</v>
      </c>
    </row>
    <row r="3">
      <c r="B3" s="301"/>
    </row>
    <row r="4">
      <c r="B4" s="301"/>
    </row>
    <row r="5">
      <c r="B5" s="301"/>
    </row>
    <row r="6">
      <c r="B6" s="301"/>
    </row>
    <row r="7">
      <c r="B7" s="301"/>
    </row>
    <row r="8">
      <c r="B8" s="301"/>
    </row>
    <row r="9">
      <c r="B9" s="301"/>
    </row>
    <row r="10">
      <c r="B10" s="301"/>
    </row>
    <row r="11">
      <c r="B11" s="301"/>
    </row>
    <row r="12">
      <c r="B12" s="301"/>
    </row>
    <row r="13">
      <c r="B13" s="301"/>
    </row>
    <row r="14">
      <c r="B14" s="301"/>
    </row>
    <row r="15">
      <c r="B15" s="301"/>
    </row>
    <row r="16">
      <c r="B16" s="301"/>
    </row>
    <row r="17">
      <c r="B17" s="301"/>
    </row>
    <row r="18">
      <c r="B18" s="301"/>
    </row>
    <row r="19">
      <c r="B19" s="301"/>
    </row>
    <row r="20">
      <c r="B20" s="301"/>
    </row>
    <row r="21">
      <c r="B21" s="301"/>
    </row>
    <row r="22">
      <c r="B22" s="301"/>
    </row>
    <row r="23">
      <c r="B23" s="301"/>
    </row>
    <row r="24">
      <c r="B24" s="301"/>
    </row>
    <row r="25">
      <c r="B25" s="301"/>
    </row>
    <row r="26">
      <c r="B26" s="301"/>
    </row>
    <row r="27">
      <c r="B27" s="301"/>
    </row>
    <row r="28">
      <c r="B28" s="301"/>
    </row>
    <row r="29">
      <c r="B29" s="301"/>
    </row>
    <row r="30">
      <c r="B30" s="301"/>
    </row>
    <row r="31">
      <c r="B31" s="301"/>
    </row>
    <row r="32">
      <c r="B32" s="301"/>
    </row>
    <row r="33">
      <c r="B33" s="301"/>
    </row>
    <row r="34">
      <c r="B34" s="301"/>
    </row>
    <row r="35">
      <c r="B35" s="301"/>
    </row>
    <row r="36">
      <c r="B36" s="301"/>
    </row>
    <row r="37">
      <c r="B37" s="301"/>
    </row>
    <row r="38">
      <c r="B38" s="301"/>
    </row>
    <row r="39">
      <c r="B39" s="301"/>
    </row>
    <row r="40">
      <c r="B40" s="301"/>
    </row>
    <row r="41">
      <c r="B41" s="301"/>
    </row>
    <row r="42">
      <c r="B42" s="301"/>
    </row>
    <row r="43">
      <c r="B43" s="301"/>
    </row>
    <row r="44">
      <c r="B44" s="301"/>
    </row>
    <row r="45">
      <c r="B45" s="301"/>
    </row>
    <row r="46">
      <c r="B46" s="301"/>
    </row>
    <row r="47">
      <c r="B47" s="301"/>
    </row>
    <row r="48">
      <c r="B48" s="301"/>
    </row>
    <row r="49">
      <c r="B49" s="301"/>
    </row>
    <row r="50">
      <c r="B50" s="301"/>
    </row>
    <row r="51">
      <c r="B51" s="301"/>
    </row>
    <row r="52">
      <c r="B52" s="301"/>
    </row>
    <row r="53">
      <c r="B53" s="301"/>
    </row>
    <row r="54">
      <c r="B54" s="301"/>
    </row>
    <row r="55">
      <c r="B55" s="301"/>
    </row>
    <row r="56">
      <c r="B56" s="301"/>
    </row>
    <row r="57">
      <c r="B57" s="301"/>
    </row>
    <row r="58">
      <c r="B58" s="301"/>
    </row>
    <row r="59">
      <c r="B59" s="301"/>
    </row>
    <row r="60">
      <c r="B60" s="301"/>
    </row>
    <row r="61">
      <c r="B61" s="301"/>
    </row>
    <row r="62">
      <c r="B62" s="301"/>
    </row>
    <row r="63">
      <c r="B63" s="301"/>
    </row>
    <row r="64">
      <c r="B64" s="301"/>
    </row>
    <row r="65">
      <c r="B65" s="301"/>
    </row>
    <row r="66">
      <c r="B66" s="301"/>
    </row>
    <row r="67">
      <c r="B67" s="301"/>
    </row>
    <row r="68">
      <c r="B68" s="301"/>
    </row>
    <row r="69">
      <c r="B69" s="301"/>
    </row>
    <row r="70">
      <c r="B70" s="301"/>
    </row>
    <row r="71">
      <c r="B71" s="301"/>
    </row>
    <row r="72">
      <c r="B72" s="301"/>
    </row>
    <row r="73">
      <c r="B73" s="301"/>
    </row>
    <row r="74">
      <c r="B74" s="301"/>
    </row>
    <row r="75">
      <c r="B75" s="301"/>
    </row>
    <row r="76">
      <c r="B76" s="301"/>
    </row>
    <row r="77">
      <c r="B77" s="301"/>
    </row>
    <row r="78">
      <c r="B78" s="301"/>
    </row>
    <row r="79">
      <c r="B79" s="301"/>
    </row>
    <row r="80">
      <c r="B80" s="301"/>
    </row>
    <row r="81">
      <c r="B81" s="301"/>
    </row>
    <row r="82">
      <c r="B82" s="301"/>
    </row>
    <row r="83">
      <c r="B83" s="301"/>
    </row>
    <row r="84">
      <c r="B84" s="301"/>
    </row>
    <row r="85">
      <c r="B85" s="301"/>
    </row>
    <row r="86">
      <c r="B86" s="301"/>
    </row>
    <row r="87">
      <c r="B87" s="301"/>
    </row>
    <row r="88">
      <c r="B88" s="301"/>
    </row>
    <row r="89">
      <c r="B89" s="301"/>
    </row>
    <row r="90">
      <c r="B90" s="301"/>
    </row>
    <row r="91">
      <c r="B91" s="301"/>
    </row>
    <row r="92">
      <c r="B92" s="301"/>
    </row>
    <row r="93">
      <c r="B93" s="301"/>
    </row>
    <row r="94">
      <c r="B94" s="301"/>
    </row>
    <row r="95">
      <c r="B95" s="301"/>
    </row>
    <row r="96">
      <c r="B96" s="301"/>
    </row>
    <row r="97">
      <c r="B97" s="301"/>
    </row>
    <row r="98">
      <c r="B98" s="301"/>
    </row>
    <row r="99">
      <c r="B99" s="301"/>
    </row>
    <row r="100">
      <c r="B100" s="301"/>
    </row>
  </sheetData>
  <drawing r:id="rId1"/>
</worksheet>
</file>